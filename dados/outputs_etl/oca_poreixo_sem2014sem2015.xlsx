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ucas\Documents\pbh_visualizacao_de_dados\dados\outputs_etl\"/>
    </mc:Choice>
  </mc:AlternateContent>
  <xr:revisionPtr revIDLastSave="0" documentId="13_ncr:40009_{883F602B-08D2-4203-9F11-237363FB4F57}" xr6:coauthVersionLast="47" xr6:coauthVersionMax="47" xr10:uidLastSave="{00000000-0000-0000-0000-000000000000}"/>
  <bookViews>
    <workbookView xWindow="-108" yWindow="-108" windowWidth="23256" windowHeight="12456" activeTab="1"/>
  </bookViews>
  <sheets>
    <sheet name="final" sheetId="22" r:id="rId1"/>
    <sheet name="Principal" sheetId="1" r:id="rId2"/>
  </sheets>
  <calcPr calcId="191029"/>
  <pivotCaches>
    <pivotCache cacheId="65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T22" i="22"/>
  <c r="R22" i="22"/>
  <c r="P22" i="22"/>
  <c r="N22" i="22"/>
  <c r="L22" i="22"/>
  <c r="J22" i="22"/>
  <c r="H22" i="22"/>
  <c r="F22" i="22"/>
  <c r="D22" i="22"/>
</calcChain>
</file>

<file path=xl/sharedStrings.xml><?xml version="1.0" encoding="utf-8"?>
<sst xmlns="http://schemas.openxmlformats.org/spreadsheetml/2006/main" count="11464" uniqueCount="36">
  <si>
    <t>eixo_normalizado</t>
  </si>
  <si>
    <t>sub_eixo_normalizado</t>
  </si>
  <si>
    <t>valor_orcado</t>
  </si>
  <si>
    <t>valor_empenhado</t>
  </si>
  <si>
    <t>valor_liquidado</t>
  </si>
  <si>
    <t>valor_pago</t>
  </si>
  <si>
    <t>exercicio</t>
  </si>
  <si>
    <t>ACESSO À EDUCAÇÃO DE QUALIDADE</t>
  </si>
  <si>
    <t>CULTURA</t>
  </si>
  <si>
    <t>2024</t>
  </si>
  <si>
    <t>DESPORTO E LAZER</t>
  </si>
  <si>
    <t>EDUCAÇÃO</t>
  </si>
  <si>
    <t>PROMOVENDO VIDAS SAUDÁVEIS</t>
  </si>
  <si>
    <t>HABITAÇÃO</t>
  </si>
  <si>
    <t>SANEAMENTO</t>
  </si>
  <si>
    <t>SAÚDE</t>
  </si>
  <si>
    <t>PROMOÇÃO DE DIREITOS E PROTEÇÃO INTEGRAL</t>
  </si>
  <si>
    <t>ASSISTÊNCIA SOCIAL</t>
  </si>
  <si>
    <t>2022</t>
  </si>
  <si>
    <t>DIREITOS E CIDADANIA</t>
  </si>
  <si>
    <t>2021</t>
  </si>
  <si>
    <t>2020</t>
  </si>
  <si>
    <t>2019</t>
  </si>
  <si>
    <t>2018</t>
  </si>
  <si>
    <t>2017</t>
  </si>
  <si>
    <t>2016</t>
  </si>
  <si>
    <t>2023</t>
  </si>
  <si>
    <t>e/o</t>
  </si>
  <si>
    <t>Total Geral</t>
  </si>
  <si>
    <t>Soma</t>
  </si>
  <si>
    <t>Média</t>
  </si>
  <si>
    <t>Soma Acumulada</t>
  </si>
  <si>
    <t>Contagem</t>
  </si>
  <si>
    <t>Valor orçado</t>
  </si>
  <si>
    <t>Valor Empenhado</t>
  </si>
  <si>
    <t>Porcentagem Empenhado / Orçado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</si>
</sst>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0" formatCode="_(&quot;$&quot;* #,##0.00_);_(&quot;$&quot;* \(#,##0.00\);_(&quot;$&quot;* &quot;-&quot;??_);_(@_)"/>
    <numFmt numFmtId="174" formatCode="_-[$R$-416]\ * #,##0.00_-;\-[$R$-416]\ * #,##0.00_-;_-[$R$-416]\ * &quot;-&quot;??_-;_-@_-"/>
  </numFmts>
  <fonts count="4" x14ac:knownFonts="1">
    <font>
      <sz val="10"/>
      <name val="Arial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2" fontId="0" fillId="0" borderId="0" xfId="1" applyNumberFormat="1" applyFont="1"/>
    <xf numFmtId="174" fontId="0" fillId="0" borderId="0" xfId="0" applyNumberFormat="1"/>
    <xf numFmtId="0" fontId="3" fillId="0" borderId="0" xfId="0" applyFont="1"/>
    <xf numFmtId="9" fontId="0" fillId="0" borderId="0" xfId="2" applyFont="1"/>
    <xf numFmtId="2" fontId="2" fillId="0" borderId="0" xfId="1" applyNumberFormat="1" applyFont="1"/>
    <xf numFmtId="49" fontId="2" fillId="0" borderId="0" xfId="0" applyNumberFormat="1" applyFont="1"/>
  </cellXfs>
  <cellStyles count="3">
    <cellStyle name="Moeda" xfId="1" builtinId="4"/>
    <cellStyle name="Normal" xfId="0" builtinId="0"/>
    <cellStyle name="Porcentagem" xfId="2" builtinId="5"/>
  </cellStyles>
  <dxfs count="10"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numFmt numFmtId="174" formatCode="_-[$R$-416]\ * #,##0.00_-;\-[$R$-416]\ * #,##0.00_-;_-[$R$-416]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ucas do Nascimento" refreshedDate="46013.8351744213" createdVersion="1" refreshedVersion="7" recordCount="3804" upgradeOnRefresh="1">
  <cacheSource type="worksheet">
    <worksheetSource name="Tabela_base"/>
  </cacheSource>
  <cacheFields count="8">
    <cacheField name="eixo_normalizado" numFmtId="0">
      <sharedItems count="3">
        <s v="ACESSO À EDUCAÇÃO DE QUALIDADE"/>
        <s v="PROMOVENDO VIDAS SAUDÁVEIS"/>
        <s v="PROMOÇÃO DE DIREITOS E PROTEÇÃO INTEGRAL"/>
      </sharedItems>
    </cacheField>
    <cacheField name="sub_eixo_normalizado" numFmtId="0">
      <sharedItems count="8">
        <s v="CULTURA"/>
        <s v="DESPORTO E LAZER"/>
        <s v="EDUCAÇÃO"/>
        <s v="HABITAÇÃO"/>
        <s v="SANEAMENTO"/>
        <s v="SAÚDE"/>
        <s v="ASSISTÊNCIA SOCIAL"/>
        <s v="DIREITOS E CIDADANIA"/>
      </sharedItems>
    </cacheField>
    <cacheField name="valor_orcado" numFmtId="2">
      <sharedItems containsSemiMixedTypes="0" containsString="0" containsNumber="1" minValue="0" maxValue="1483773515"/>
    </cacheField>
    <cacheField name="valor_empenhado" numFmtId="2">
      <sharedItems containsSemiMixedTypes="0" containsString="0" containsNumber="1" minValue="0" maxValue="1628384280.4200001"/>
    </cacheField>
    <cacheField name="valor_liquidado" numFmtId="2">
      <sharedItems containsSemiMixedTypes="0" containsString="0" containsNumber="1" minValue="0" maxValue="1565398453.6700001"/>
    </cacheField>
    <cacheField name="valor_pago" numFmtId="2">
      <sharedItems containsSemiMixedTypes="0" containsString="0" containsNumber="1" minValue="0" maxValue="1430465332.2"/>
    </cacheField>
    <cacheField name="exercicio" numFmtId="49">
      <sharedItems count="9">
        <s v="2024"/>
        <s v="2022"/>
        <s v="2021"/>
        <s v="2020"/>
        <s v="2019"/>
        <s v="2018"/>
        <s v="2017"/>
        <s v="2016"/>
        <s v="2023"/>
      </sharedItems>
    </cacheField>
    <cacheField name="e/o" numFmtId="0">
      <sharedItems containsSemiMixedTypes="0" containsString="0" containsNumber="1" minValue="0" maxValue="726.619393294917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804">
  <r>
    <x v="0"/>
    <x v="0"/>
    <n v="1314633"/>
    <n v="676243.7"/>
    <n v="650564.47499999998"/>
    <n v="542452.375"/>
    <x v="0"/>
    <n v="0.51439732609785394"/>
  </r>
  <r>
    <x v="0"/>
    <x v="0"/>
    <n v="72391.25"/>
    <n v="0"/>
    <n v="0"/>
    <n v="0"/>
    <x v="0"/>
    <n v="0"/>
  </r>
  <r>
    <x v="0"/>
    <x v="0"/>
    <n v="6000"/>
    <n v="0"/>
    <n v="0"/>
    <n v="0"/>
    <x v="0"/>
    <n v="0"/>
  </r>
  <r>
    <x v="0"/>
    <x v="0"/>
    <n v="27167"/>
    <n v="24672.3"/>
    <n v="24672.3"/>
    <n v="23659.8"/>
    <x v="0"/>
    <n v="0.90817167887510575"/>
  </r>
  <r>
    <x v="0"/>
    <x v="0"/>
    <n v="86012.75"/>
    <n v="93833.667499999996"/>
    <n v="67068.417499999996"/>
    <n v="67068.417499999996"/>
    <x v="0"/>
    <n v="1.0909274206440325"/>
  </r>
  <r>
    <x v="0"/>
    <x v="0"/>
    <n v="303585"/>
    <n v="37500"/>
    <n v="33750"/>
    <n v="33750"/>
    <x v="0"/>
    <n v="0.12352388952023322"/>
  </r>
  <r>
    <x v="0"/>
    <x v="0"/>
    <n v="3800250"/>
    <n v="5014887.1500000004"/>
    <n v="5014887.1500000004"/>
    <n v="5014887.1500000004"/>
    <x v="0"/>
    <n v="1.3196203276100258"/>
  </r>
  <r>
    <x v="0"/>
    <x v="0"/>
    <n v="45000"/>
    <n v="32022.5"/>
    <n v="20682.452499999999"/>
    <n v="20682.452499999999"/>
    <x v="0"/>
    <n v="0.71161111111111108"/>
  </r>
  <r>
    <x v="0"/>
    <x v="0"/>
    <n v="459700.25"/>
    <n v="526922.5"/>
    <n v="456112.07500000001"/>
    <n v="456112.07500000001"/>
    <x v="0"/>
    <n v="1.1462306144058003"/>
  </r>
  <r>
    <x v="0"/>
    <x v="0"/>
    <n v="6936687"/>
    <n v="1359341.395"/>
    <n v="1359341.395"/>
    <n v="1359341.395"/>
    <x v="0"/>
    <n v="0.19596406685208659"/>
  </r>
  <r>
    <x v="0"/>
    <x v="0"/>
    <n v="250000"/>
    <n v="119698.13"/>
    <n v="119698.13"/>
    <n v="119698.13"/>
    <x v="0"/>
    <n v="0.47879252"/>
  </r>
  <r>
    <x v="0"/>
    <x v="0"/>
    <n v="25600"/>
    <n v="4425"/>
    <n v="0"/>
    <n v="0"/>
    <x v="0"/>
    <n v="0.1728515625"/>
  </r>
  <r>
    <x v="0"/>
    <x v="0"/>
    <n v="3750"/>
    <n v="0"/>
    <n v="0"/>
    <n v="0"/>
    <x v="0"/>
    <n v="0"/>
  </r>
  <r>
    <x v="0"/>
    <x v="0"/>
    <n v="68443.25"/>
    <n v="23505.525000000001"/>
    <n v="20083.965"/>
    <n v="12297.945"/>
    <x v="0"/>
    <n v="0.34343087156147611"/>
  </r>
  <r>
    <x v="0"/>
    <x v="0"/>
    <n v="777591"/>
    <n v="2308046.1800000002"/>
    <n v="2299046.1800000002"/>
    <n v="2279546.1800000002"/>
    <x v="0"/>
    <n v="2.9682007379200637"/>
  </r>
  <r>
    <x v="0"/>
    <x v="0"/>
    <n v="20000"/>
    <n v="21500"/>
    <n v="12500"/>
    <n v="12500"/>
    <x v="0"/>
    <n v="1.075"/>
  </r>
  <r>
    <x v="0"/>
    <x v="0"/>
    <n v="90000"/>
    <n v="86000"/>
    <n v="50000"/>
    <n v="50000"/>
    <x v="0"/>
    <n v="0.9555555555555556"/>
  </r>
  <r>
    <x v="0"/>
    <x v="0"/>
    <n v="250000"/>
    <n v="250000"/>
    <n v="250000"/>
    <n v="250000"/>
    <x v="0"/>
    <n v="1"/>
  </r>
  <r>
    <x v="0"/>
    <x v="0"/>
    <n v="600000"/>
    <n v="600000"/>
    <n v="600000"/>
    <n v="600000"/>
    <x v="0"/>
    <n v="1"/>
  </r>
  <r>
    <x v="0"/>
    <x v="0"/>
    <n v="600000"/>
    <n v="675000"/>
    <n v="675000"/>
    <n v="675000"/>
    <x v="0"/>
    <n v="1.125"/>
  </r>
  <r>
    <x v="0"/>
    <x v="0"/>
    <n v="20000"/>
    <n v="11000"/>
    <n v="11000"/>
    <n v="11000"/>
    <x v="0"/>
    <n v="0.55000000000000004"/>
  </r>
  <r>
    <x v="0"/>
    <x v="0"/>
    <n v="388997.5"/>
    <n v="673750"/>
    <n v="630000"/>
    <n v="630000"/>
    <x v="0"/>
    <n v="1.7320162725981529"/>
  </r>
  <r>
    <x v="0"/>
    <x v="0"/>
    <n v="101212.5"/>
    <n v="267080.25"/>
    <n v="262000"/>
    <n v="262000"/>
    <x v="0"/>
    <n v="2.6388069655427935"/>
  </r>
  <r>
    <x v="0"/>
    <x v="0"/>
    <n v="7500"/>
    <n v="6997.5"/>
    <n v="6997.5"/>
    <n v="6997.5"/>
    <x v="0"/>
    <n v="0.93300000000000005"/>
  </r>
  <r>
    <x v="0"/>
    <x v="0"/>
    <n v="866057"/>
    <n v="1066057"/>
    <n v="1066057"/>
    <n v="1066057"/>
    <x v="0"/>
    <n v="1.2309316823257592"/>
  </r>
  <r>
    <x v="0"/>
    <x v="0"/>
    <n v="794366"/>
    <n v="964694"/>
    <n v="964694"/>
    <n v="964694"/>
    <x v="0"/>
    <n v="1.2144200532248359"/>
  </r>
  <r>
    <x v="0"/>
    <x v="1"/>
    <n v="977565.5"/>
    <n v="1175216.845"/>
    <n v="941403.05500000005"/>
    <n v="941403.05500000005"/>
    <x v="0"/>
    <n v="1.2021873163486232"/>
  </r>
  <r>
    <x v="0"/>
    <x v="1"/>
    <n v="142675.75"/>
    <n v="191326.41250000001"/>
    <n v="121326.41250000001"/>
    <n v="111326.41250000001"/>
    <x v="0"/>
    <n v="1.3409876065133703"/>
  </r>
  <r>
    <x v="0"/>
    <x v="1"/>
    <n v="5255114.25"/>
    <n v="5308739.49"/>
    <n v="5200646.6825000001"/>
    <n v="4813888.7074999996"/>
    <x v="0"/>
    <n v="1.0102043908940705"/>
  </r>
  <r>
    <x v="0"/>
    <x v="1"/>
    <n v="1260671"/>
    <n v="1373759.9875"/>
    <n v="1203865.835"/>
    <n v="1199703.7050000001"/>
    <x v="0"/>
    <n v="1.0897053930010288"/>
  </r>
  <r>
    <x v="0"/>
    <x v="1"/>
    <n v="43087.25"/>
    <n v="0"/>
    <n v="0"/>
    <n v="0"/>
    <x v="0"/>
    <n v="0"/>
  </r>
  <r>
    <x v="0"/>
    <x v="1"/>
    <n v="415456.5"/>
    <n v="105742.2175"/>
    <n v="70170.48"/>
    <n v="67104.442500000005"/>
    <x v="0"/>
    <n v="0.25452055148974684"/>
  </r>
  <r>
    <x v="0"/>
    <x v="1"/>
    <n v="296460"/>
    <n v="15400"/>
    <n v="15400"/>
    <n v="15400"/>
    <x v="0"/>
    <n v="5.1946299669432636E-2"/>
  </r>
  <r>
    <x v="0"/>
    <x v="1"/>
    <n v="106387"/>
    <n v="119355.69"/>
    <n v="89727.96"/>
    <n v="89727.96"/>
    <x v="0"/>
    <n v="1.1219010781392464"/>
  </r>
  <r>
    <x v="0"/>
    <x v="1"/>
    <n v="732950"/>
    <n v="126495.6075"/>
    <n v="83161.695000000007"/>
    <n v="81616.695000000007"/>
    <x v="0"/>
    <n v="0.17258422470837029"/>
  </r>
  <r>
    <x v="0"/>
    <x v="1"/>
    <n v="293467.25"/>
    <n v="164010.27499999999"/>
    <n v="154421.02499999999"/>
    <n v="154421.02499999999"/>
    <x v="0"/>
    <n v="0.55887079393015748"/>
  </r>
  <r>
    <x v="0"/>
    <x v="1"/>
    <n v="1122790"/>
    <n v="794180.09"/>
    <n v="654457.9"/>
    <n v="654457.9"/>
    <x v="0"/>
    <n v="0.70732736308659672"/>
  </r>
  <r>
    <x v="0"/>
    <x v="1"/>
    <n v="133063"/>
    <n v="128383.11"/>
    <n v="113807.25"/>
    <n v="113807.25"/>
    <x v="0"/>
    <n v="0.96482951684540408"/>
  </r>
  <r>
    <x v="0"/>
    <x v="1"/>
    <n v="50000"/>
    <n v="0"/>
    <n v="0"/>
    <n v="0"/>
    <x v="0"/>
    <n v="0"/>
  </r>
  <r>
    <x v="0"/>
    <x v="1"/>
    <n v="16562.5"/>
    <n v="17950"/>
    <n v="17950"/>
    <n v="17950"/>
    <x v="0"/>
    <n v="1.0837735849056604"/>
  </r>
  <r>
    <x v="0"/>
    <x v="1"/>
    <n v="2410667"/>
    <n v="250508.17"/>
    <n v="127564.93"/>
    <n v="127564.93"/>
    <x v="0"/>
    <n v="0.10391653845180608"/>
  </r>
  <r>
    <x v="0"/>
    <x v="1"/>
    <n v="69491.75"/>
    <n v="41189.39"/>
    <n v="24808.63"/>
    <n v="24808.63"/>
    <x v="0"/>
    <n v="0.59272345278396354"/>
  </r>
  <r>
    <x v="0"/>
    <x v="1"/>
    <n v="18832.25"/>
    <n v="14915.12"/>
    <n v="320.36250000000001"/>
    <n v="320.36250000000001"/>
    <x v="0"/>
    <n v="0.79199883179120922"/>
  </r>
  <r>
    <x v="0"/>
    <x v="1"/>
    <n v="418909"/>
    <n v="259766.57"/>
    <n v="202910.88500000001"/>
    <n v="202910.88500000001"/>
    <x v="0"/>
    <n v="0.62010262372018743"/>
  </r>
  <r>
    <x v="0"/>
    <x v="2"/>
    <n v="15452.25"/>
    <n v="736.21"/>
    <n v="736.21"/>
    <n v="736.21"/>
    <x v="0"/>
    <n v="4.7644194211199017E-2"/>
  </r>
  <r>
    <x v="0"/>
    <x v="2"/>
    <n v="83592"/>
    <n v="39833.97"/>
    <n v="38693.184999999998"/>
    <n v="38693.184999999998"/>
    <x v="0"/>
    <n v="0.47652849554981341"/>
  </r>
  <r>
    <x v="0"/>
    <x v="2"/>
    <n v="53698"/>
    <n v="5587.7775000000001"/>
    <n v="2333.5500000000002"/>
    <n v="2333.5500000000002"/>
    <x v="0"/>
    <n v="0.10405932250735596"/>
  </r>
  <r>
    <x v="0"/>
    <x v="2"/>
    <n v="1344231.5"/>
    <n v="1293965.8500000001"/>
    <n v="1200537.675"/>
    <n v="1187229.8149999999"/>
    <x v="0"/>
    <n v="0.96260640373328554"/>
  </r>
  <r>
    <x v="0"/>
    <x v="2"/>
    <n v="671687"/>
    <n v="358943.46"/>
    <n v="192879.51"/>
    <n v="176096.21"/>
    <x v="0"/>
    <n v="0.53439095888412314"/>
  </r>
  <r>
    <x v="0"/>
    <x v="2"/>
    <n v="2120"/>
    <n v="0"/>
    <n v="0"/>
    <n v="0"/>
    <x v="0"/>
    <n v="0"/>
  </r>
  <r>
    <x v="0"/>
    <x v="2"/>
    <n v="88810600"/>
    <n v="86787441.650000006"/>
    <n v="77206216.019999996"/>
    <n v="76470771.180000007"/>
    <x v="0"/>
    <n v="0.97721940455306022"/>
  </r>
  <r>
    <x v="0"/>
    <x v="2"/>
    <n v="7423728"/>
    <n v="6629943.6900000004"/>
    <n v="6626585.9800000004"/>
    <n v="6134563.1600000001"/>
    <x v="0"/>
    <n v="0.89307470451503612"/>
  </r>
  <r>
    <x v="0"/>
    <x v="2"/>
    <n v="1000"/>
    <n v="0"/>
    <n v="0"/>
    <n v="0"/>
    <x v="0"/>
    <n v="0"/>
  </r>
  <r>
    <x v="0"/>
    <x v="2"/>
    <n v="221691"/>
    <n v="66835"/>
    <n v="48085"/>
    <n v="48085"/>
    <x v="0"/>
    <n v="0.30147818359789075"/>
  </r>
  <r>
    <x v="0"/>
    <x v="2"/>
    <n v="1000"/>
    <n v="0"/>
    <n v="0"/>
    <n v="0"/>
    <x v="0"/>
    <n v="0"/>
  </r>
  <r>
    <x v="0"/>
    <x v="2"/>
    <n v="5000"/>
    <n v="0"/>
    <n v="0"/>
    <n v="0"/>
    <x v="0"/>
    <n v="0"/>
  </r>
  <r>
    <x v="0"/>
    <x v="2"/>
    <n v="108926682"/>
    <n v="130722411.06"/>
    <n v="125101278.14"/>
    <n v="116792178.93000001"/>
    <x v="0"/>
    <n v="1.2000954096811651"/>
  </r>
  <r>
    <x v="0"/>
    <x v="2"/>
    <n v="5000"/>
    <n v="0"/>
    <n v="0"/>
    <n v="0"/>
    <x v="0"/>
    <n v="0"/>
  </r>
  <r>
    <x v="0"/>
    <x v="2"/>
    <n v="1800000"/>
    <n v="457970.58"/>
    <n v="390468.92"/>
    <n v="359671.06"/>
    <x v="0"/>
    <n v="0.25442809999999999"/>
  </r>
  <r>
    <x v="0"/>
    <x v="2"/>
    <n v="2907000"/>
    <n v="2932968.28"/>
    <n v="2653981.2799999998"/>
    <n v="2520181.2799999998"/>
    <x v="0"/>
    <n v="1.008933016855865"/>
  </r>
  <r>
    <x v="0"/>
    <x v="2"/>
    <n v="20000"/>
    <n v="0"/>
    <n v="0"/>
    <n v="0"/>
    <x v="0"/>
    <n v="0"/>
  </r>
  <r>
    <x v="0"/>
    <x v="2"/>
    <n v="120000"/>
    <n v="0"/>
    <n v="0"/>
    <n v="0"/>
    <x v="0"/>
    <n v="0"/>
  </r>
  <r>
    <x v="0"/>
    <x v="2"/>
    <n v="5000"/>
    <n v="0"/>
    <n v="0"/>
    <n v="0"/>
    <x v="0"/>
    <n v="0"/>
  </r>
  <r>
    <x v="0"/>
    <x v="2"/>
    <n v="5000"/>
    <n v="0"/>
    <n v="0"/>
    <n v="0"/>
    <x v="0"/>
    <n v="0"/>
  </r>
  <r>
    <x v="0"/>
    <x v="2"/>
    <n v="5000"/>
    <n v="0"/>
    <n v="0"/>
    <n v="0"/>
    <x v="0"/>
    <n v="0"/>
  </r>
  <r>
    <x v="0"/>
    <x v="2"/>
    <n v="5000"/>
    <n v="0"/>
    <n v="0"/>
    <n v="0"/>
    <x v="0"/>
    <n v="0"/>
  </r>
  <r>
    <x v="0"/>
    <x v="2"/>
    <n v="313500"/>
    <n v="165532.79999999999"/>
    <n v="157492.79999999999"/>
    <n v="157492.79999999999"/>
    <x v="0"/>
    <n v="0.5280153110047846"/>
  </r>
  <r>
    <x v="0"/>
    <x v="2"/>
    <n v="813100"/>
    <n v="362204"/>
    <n v="362204"/>
    <n v="362204"/>
    <x v="0"/>
    <n v="0.44546058295412616"/>
  </r>
  <r>
    <x v="0"/>
    <x v="2"/>
    <n v="78900"/>
    <n v="0"/>
    <n v="0"/>
    <n v="0"/>
    <x v="0"/>
    <n v="0"/>
  </r>
  <r>
    <x v="0"/>
    <x v="2"/>
    <n v="7141800"/>
    <n v="483306"/>
    <n v="483306"/>
    <n v="483306"/>
    <x v="0"/>
    <n v="6.7672855582626229E-2"/>
  </r>
  <r>
    <x v="0"/>
    <x v="2"/>
    <n v="25900"/>
    <n v="4664"/>
    <n v="4664"/>
    <n v="4664"/>
    <x v="0"/>
    <n v="0.18007722007722007"/>
  </r>
  <r>
    <x v="0"/>
    <x v="2"/>
    <n v="309900"/>
    <n v="0"/>
    <n v="0"/>
    <n v="0"/>
    <x v="0"/>
    <n v="0"/>
  </r>
  <r>
    <x v="0"/>
    <x v="2"/>
    <n v="624100"/>
    <n v="0"/>
    <n v="0"/>
    <n v="0"/>
    <x v="0"/>
    <n v="0"/>
  </r>
  <r>
    <x v="0"/>
    <x v="2"/>
    <n v="689000"/>
    <n v="378823.04"/>
    <n v="378823.04"/>
    <n v="378823.04"/>
    <x v="0"/>
    <n v="0.54981573294629893"/>
  </r>
  <r>
    <x v="0"/>
    <x v="2"/>
    <n v="561000"/>
    <n v="264534.18"/>
    <n v="264534.18"/>
    <n v="264534.18"/>
    <x v="0"/>
    <n v="0.47154042780748662"/>
  </r>
  <r>
    <x v="0"/>
    <x v="2"/>
    <n v="5000"/>
    <n v="0"/>
    <n v="0"/>
    <n v="0"/>
    <x v="0"/>
    <n v="0"/>
  </r>
  <r>
    <x v="0"/>
    <x v="2"/>
    <n v="87319600"/>
    <n v="204009456.34999999"/>
    <n v="204009456.34999999"/>
    <n v="187508302.80000001"/>
    <x v="0"/>
    <n v="2.33635353746467"/>
  </r>
  <r>
    <x v="0"/>
    <x v="2"/>
    <n v="2351800"/>
    <n v="2398999.58"/>
    <n v="2199082.94"/>
    <n v="2199082.94"/>
    <x v="0"/>
    <n v="1.0200695552342887"/>
  </r>
  <r>
    <x v="0"/>
    <x v="2"/>
    <n v="508800"/>
    <n v="0"/>
    <n v="0"/>
    <n v="0"/>
    <x v="0"/>
    <n v="0"/>
  </r>
  <r>
    <x v="0"/>
    <x v="2"/>
    <n v="7680600"/>
    <n v="4045500.07"/>
    <n v="4045500.07"/>
    <n v="4045500.07"/>
    <x v="0"/>
    <n v="0.52671667187459315"/>
  </r>
  <r>
    <x v="0"/>
    <x v="2"/>
    <n v="45000"/>
    <n v="0"/>
    <n v="0"/>
    <n v="0"/>
    <x v="0"/>
    <n v="0"/>
  </r>
  <r>
    <x v="0"/>
    <x v="2"/>
    <n v="1524100"/>
    <n v="0"/>
    <n v="0"/>
    <n v="0"/>
    <x v="0"/>
    <n v="0"/>
  </r>
  <r>
    <x v="0"/>
    <x v="2"/>
    <n v="4984820"/>
    <n v="242267.41"/>
    <n v="242267.41"/>
    <n v="239387.41"/>
    <x v="0"/>
    <n v="4.8601034741475119E-2"/>
  </r>
  <r>
    <x v="0"/>
    <x v="2"/>
    <n v="5000"/>
    <n v="0"/>
    <n v="0"/>
    <n v="0"/>
    <x v="0"/>
    <n v="0"/>
  </r>
  <r>
    <x v="0"/>
    <x v="2"/>
    <n v="4002020"/>
    <n v="0"/>
    <n v="0"/>
    <n v="0"/>
    <x v="0"/>
    <n v="0"/>
  </r>
  <r>
    <x v="0"/>
    <x v="2"/>
    <n v="15000"/>
    <n v="0"/>
    <n v="0"/>
    <n v="0"/>
    <x v="0"/>
    <n v="0"/>
  </r>
  <r>
    <x v="0"/>
    <x v="2"/>
    <n v="50349000"/>
    <n v="70612444.099999994"/>
    <n v="70594368.859999999"/>
    <n v="70594368.859999999"/>
    <x v="0"/>
    <n v="1.402459713201851"/>
  </r>
  <r>
    <x v="0"/>
    <x v="2"/>
    <n v="939900"/>
    <n v="0"/>
    <n v="0"/>
    <n v="0"/>
    <x v="0"/>
    <n v="0"/>
  </r>
  <r>
    <x v="0"/>
    <x v="2"/>
    <n v="13965300"/>
    <n v="48370960.460000001"/>
    <n v="48370960.460000001"/>
    <n v="48370960.460000001"/>
    <x v="0"/>
    <n v="3.463653516931251"/>
  </r>
  <r>
    <x v="0"/>
    <x v="2"/>
    <n v="26300"/>
    <n v="0"/>
    <n v="0"/>
    <n v="0"/>
    <x v="0"/>
    <n v="0"/>
  </r>
  <r>
    <x v="0"/>
    <x v="2"/>
    <n v="49305100"/>
    <n v="28373401.190000001"/>
    <n v="28373401.190000001"/>
    <n v="28373401.190000001"/>
    <x v="0"/>
    <n v="0.57546584815769564"/>
  </r>
  <r>
    <x v="0"/>
    <x v="2"/>
    <n v="2338500"/>
    <n v="0"/>
    <n v="0"/>
    <n v="0"/>
    <x v="0"/>
    <n v="0"/>
  </r>
  <r>
    <x v="0"/>
    <x v="2"/>
    <n v="4618200"/>
    <n v="1842725.75"/>
    <n v="1842725.75"/>
    <n v="1842725.75"/>
    <x v="0"/>
    <n v="0.39901384738642759"/>
  </r>
  <r>
    <x v="0"/>
    <x v="2"/>
    <n v="8500"/>
    <n v="0"/>
    <n v="0"/>
    <n v="0"/>
    <x v="0"/>
    <n v="0"/>
  </r>
  <r>
    <x v="0"/>
    <x v="2"/>
    <n v="1483773515"/>
    <n v="1628384280.4200001"/>
    <n v="1565398453.6700001"/>
    <n v="1430465332.2"/>
    <x v="0"/>
    <n v="1.0974614817949491"/>
  </r>
  <r>
    <x v="0"/>
    <x v="2"/>
    <n v="29299516"/>
    <n v="30607570.780000001"/>
    <n v="30607570.780000001"/>
    <n v="27815269.219999999"/>
    <x v="0"/>
    <n v="1.044644245317909"/>
  </r>
  <r>
    <x v="0"/>
    <x v="2"/>
    <n v="5000"/>
    <n v="0"/>
    <n v="0"/>
    <n v="0"/>
    <x v="0"/>
    <n v="0"/>
  </r>
  <r>
    <x v="0"/>
    <x v="2"/>
    <n v="21525900"/>
    <n v="0"/>
    <n v="0"/>
    <n v="0"/>
    <x v="0"/>
    <n v="0"/>
  </r>
  <r>
    <x v="0"/>
    <x v="2"/>
    <n v="15000"/>
    <n v="0"/>
    <n v="0"/>
    <n v="0"/>
    <x v="0"/>
    <n v="0"/>
  </r>
  <r>
    <x v="0"/>
    <x v="2"/>
    <n v="5000"/>
    <n v="0"/>
    <n v="0"/>
    <n v="0"/>
    <x v="0"/>
    <n v="0"/>
  </r>
  <r>
    <x v="0"/>
    <x v="2"/>
    <n v="15000"/>
    <n v="0"/>
    <n v="0"/>
    <n v="0"/>
    <x v="0"/>
    <n v="0"/>
  </r>
  <r>
    <x v="0"/>
    <x v="2"/>
    <n v="20000"/>
    <n v="0"/>
    <n v="0"/>
    <n v="0"/>
    <x v="0"/>
    <n v="0"/>
  </r>
  <r>
    <x v="0"/>
    <x v="2"/>
    <n v="5370938"/>
    <n v="5032069.7"/>
    <n v="5032069.7"/>
    <n v="5032069.7"/>
    <x v="0"/>
    <n v="0.93690705422404807"/>
  </r>
  <r>
    <x v="0"/>
    <x v="2"/>
    <n v="3045006"/>
    <n v="0"/>
    <n v="0"/>
    <n v="0"/>
    <x v="0"/>
    <n v="0"/>
  </r>
  <r>
    <x v="0"/>
    <x v="2"/>
    <n v="18529950"/>
    <n v="16842936.420000002"/>
    <n v="16842936.420000002"/>
    <n v="15688925.33"/>
    <x v="0"/>
    <n v="0.90895746723547566"/>
  </r>
  <r>
    <x v="0"/>
    <x v="2"/>
    <n v="60000"/>
    <n v="0"/>
    <n v="0"/>
    <n v="0"/>
    <x v="0"/>
    <n v="0"/>
  </r>
  <r>
    <x v="0"/>
    <x v="2"/>
    <n v="60000"/>
    <n v="0"/>
    <n v="0"/>
    <n v="0"/>
    <x v="0"/>
    <n v="0"/>
  </r>
  <r>
    <x v="0"/>
    <x v="2"/>
    <n v="1434636"/>
    <n v="0"/>
    <n v="0"/>
    <n v="0"/>
    <x v="0"/>
    <n v="0"/>
  </r>
  <r>
    <x v="0"/>
    <x v="2"/>
    <n v="300000"/>
    <n v="47156.04"/>
    <n v="47156.04"/>
    <n v="47156.04"/>
    <x v="0"/>
    <n v="0.15718680000000002"/>
  </r>
  <r>
    <x v="0"/>
    <x v="2"/>
    <n v="20000"/>
    <n v="0"/>
    <n v="0"/>
    <n v="0"/>
    <x v="0"/>
    <n v="0"/>
  </r>
  <r>
    <x v="0"/>
    <x v="2"/>
    <n v="1899300"/>
    <n v="1949316"/>
    <n v="1949316"/>
    <n v="1949316"/>
    <x v="0"/>
    <n v="1.0263339124940767"/>
  </r>
  <r>
    <x v="0"/>
    <x v="2"/>
    <n v="2600000"/>
    <n v="1912705.82"/>
    <n v="1912705.82"/>
    <n v="1912705.82"/>
    <x v="0"/>
    <n v="0.73565608461538468"/>
  </r>
  <r>
    <x v="0"/>
    <x v="2"/>
    <n v="20000"/>
    <n v="0"/>
    <n v="0"/>
    <n v="0"/>
    <x v="0"/>
    <n v="0"/>
  </r>
  <r>
    <x v="0"/>
    <x v="2"/>
    <n v="180000"/>
    <n v="0"/>
    <n v="0"/>
    <n v="0"/>
    <x v="0"/>
    <n v="0"/>
  </r>
  <r>
    <x v="0"/>
    <x v="2"/>
    <n v="5000"/>
    <n v="0"/>
    <n v="0"/>
    <n v="0"/>
    <x v="0"/>
    <n v="0"/>
  </r>
  <r>
    <x v="0"/>
    <x v="2"/>
    <n v="1200000"/>
    <n v="0"/>
    <n v="0"/>
    <n v="0"/>
    <x v="0"/>
    <n v="0"/>
  </r>
  <r>
    <x v="0"/>
    <x v="2"/>
    <n v="5000"/>
    <n v="0"/>
    <n v="0"/>
    <n v="0"/>
    <x v="0"/>
    <n v="0"/>
  </r>
  <r>
    <x v="0"/>
    <x v="2"/>
    <n v="2000000"/>
    <n v="0"/>
    <n v="0"/>
    <n v="0"/>
    <x v="0"/>
    <n v="0"/>
  </r>
  <r>
    <x v="0"/>
    <x v="2"/>
    <n v="5000"/>
    <n v="6720"/>
    <n v="6720"/>
    <n v="4480"/>
    <x v="0"/>
    <n v="1.3440000000000001"/>
  </r>
  <r>
    <x v="0"/>
    <x v="2"/>
    <n v="26877000"/>
    <n v="7755324.25"/>
    <n v="7755324.25"/>
    <n v="7755324.25"/>
    <x v="0"/>
    <n v="0.28854873125720876"/>
  </r>
  <r>
    <x v="0"/>
    <x v="2"/>
    <n v="866500"/>
    <n v="16378789.74"/>
    <n v="16378789.74"/>
    <n v="16378789.74"/>
    <x v="0"/>
    <n v="18.90223859203693"/>
  </r>
  <r>
    <x v="0"/>
    <x v="2"/>
    <n v="25225700"/>
    <n v="1636757.42"/>
    <n v="1636757.42"/>
    <n v="1636757.42"/>
    <x v="0"/>
    <n v="6.4884519359224915E-2"/>
  </r>
  <r>
    <x v="0"/>
    <x v="2"/>
    <n v="1421500"/>
    <n v="208983.66"/>
    <n v="208983.66"/>
    <n v="208983.66"/>
    <x v="0"/>
    <n v="0.14701629264861063"/>
  </r>
  <r>
    <x v="0"/>
    <x v="2"/>
    <n v="903457859"/>
    <n v="928652110.86000001"/>
    <n v="922439359.72000003"/>
    <n v="845340784.71000004"/>
    <x v="0"/>
    <n v="1.0278864715260616"/>
  </r>
  <r>
    <x v="0"/>
    <x v="2"/>
    <n v="45000"/>
    <n v="21568016.370000001"/>
    <n v="3596837.37"/>
    <n v="3596837.37"/>
    <x v="0"/>
    <n v="479.2892526666667"/>
  </r>
  <r>
    <x v="0"/>
    <x v="2"/>
    <n v="424826294"/>
    <n v="398280982.47000003"/>
    <n v="398229303.47000003"/>
    <n v="398194624.88999999"/>
    <x v="0"/>
    <n v="0.93751490455061148"/>
  </r>
  <r>
    <x v="0"/>
    <x v="2"/>
    <n v="5000"/>
    <n v="0"/>
    <n v="0"/>
    <n v="0"/>
    <x v="0"/>
    <n v="0"/>
  </r>
  <r>
    <x v="0"/>
    <x v="2"/>
    <n v="5000"/>
    <n v="0"/>
    <n v="0"/>
    <n v="0"/>
    <x v="0"/>
    <n v="0"/>
  </r>
  <r>
    <x v="0"/>
    <x v="2"/>
    <n v="1558500"/>
    <n v="0"/>
    <n v="0"/>
    <n v="0"/>
    <x v="0"/>
    <n v="0"/>
  </r>
  <r>
    <x v="0"/>
    <x v="2"/>
    <n v="45000"/>
    <n v="0"/>
    <n v="0"/>
    <n v="0"/>
    <x v="0"/>
    <n v="0"/>
  </r>
  <r>
    <x v="0"/>
    <x v="2"/>
    <n v="1434618"/>
    <n v="0"/>
    <n v="0"/>
    <n v="0"/>
    <x v="0"/>
    <n v="0"/>
  </r>
  <r>
    <x v="0"/>
    <x v="2"/>
    <n v="3700000"/>
    <n v="141468.21"/>
    <n v="141468.21"/>
    <n v="141468.21"/>
    <x v="0"/>
    <n v="3.8234651351351352E-2"/>
  </r>
  <r>
    <x v="0"/>
    <x v="2"/>
    <n v="5000"/>
    <n v="0"/>
    <n v="0"/>
    <n v="0"/>
    <x v="0"/>
    <n v="0"/>
  </r>
  <r>
    <x v="0"/>
    <x v="2"/>
    <n v="45000"/>
    <n v="0"/>
    <n v="0"/>
    <n v="0"/>
    <x v="0"/>
    <n v="0"/>
  </r>
  <r>
    <x v="0"/>
    <x v="2"/>
    <n v="4766300"/>
    <n v="805929.12"/>
    <n v="805929.12"/>
    <n v="805929.12"/>
    <x v="0"/>
    <n v="0.16908904601053229"/>
  </r>
  <r>
    <x v="0"/>
    <x v="2"/>
    <n v="1320000"/>
    <n v="347016.21"/>
    <n v="347016.21"/>
    <n v="347016.21"/>
    <x v="0"/>
    <n v="0.26289106818181818"/>
  </r>
  <r>
    <x v="0"/>
    <x v="2"/>
    <n v="150000"/>
    <n v="0"/>
    <n v="0"/>
    <n v="0"/>
    <x v="0"/>
    <n v="0"/>
  </r>
  <r>
    <x v="0"/>
    <x v="2"/>
    <n v="6673.75"/>
    <n v="0"/>
    <n v="0"/>
    <n v="0"/>
    <x v="0"/>
    <n v="0"/>
  </r>
  <r>
    <x v="0"/>
    <x v="2"/>
    <n v="1969"/>
    <n v="2280"/>
    <n v="2280"/>
    <n v="2280"/>
    <x v="0"/>
    <n v="1.1579481970543424"/>
  </r>
  <r>
    <x v="0"/>
    <x v="2"/>
    <n v="3626.5"/>
    <n v="0"/>
    <n v="0"/>
    <n v="0"/>
    <x v="0"/>
    <n v="0"/>
  </r>
  <r>
    <x v="0"/>
    <x v="2"/>
    <n v="405"/>
    <n v="0"/>
    <n v="0"/>
    <n v="0"/>
    <x v="0"/>
    <n v="0"/>
  </r>
  <r>
    <x v="0"/>
    <x v="2"/>
    <n v="5343489"/>
    <n v="14234804.689999999"/>
    <n v="14234804.689999999"/>
    <n v="12011539.539999999"/>
    <x v="0"/>
    <n v="2.6639532129662848"/>
  </r>
  <r>
    <x v="0"/>
    <x v="2"/>
    <n v="180762"/>
    <n v="100233.3325"/>
    <n v="100233.3325"/>
    <n v="84733.332500000004"/>
    <x v="0"/>
    <n v="0.55450444507141994"/>
  </r>
  <r>
    <x v="1"/>
    <x v="3"/>
    <n v="1428305.75"/>
    <n v="0"/>
    <n v="0"/>
    <n v="0"/>
    <x v="0"/>
    <n v="0"/>
  </r>
  <r>
    <x v="1"/>
    <x v="3"/>
    <n v="846469"/>
    <n v="1926681.3025"/>
    <n v="1903967.2075"/>
    <n v="1903967.2075"/>
    <x v="0"/>
    <n v="2.276139235459302"/>
  </r>
  <r>
    <x v="1"/>
    <x v="3"/>
    <n v="3112"/>
    <n v="0"/>
    <n v="0"/>
    <n v="0"/>
    <x v="0"/>
    <n v="0"/>
  </r>
  <r>
    <x v="1"/>
    <x v="3"/>
    <n v="14352.25"/>
    <n v="0"/>
    <n v="0"/>
    <n v="0"/>
    <x v="0"/>
    <n v="0"/>
  </r>
  <r>
    <x v="1"/>
    <x v="3"/>
    <n v="2555151.25"/>
    <n v="28762.267500000002"/>
    <n v="28762.267500000002"/>
    <n v="28762.267500000002"/>
    <x v="0"/>
    <n v="1.1256581190643803E-2"/>
  </r>
  <r>
    <x v="1"/>
    <x v="3"/>
    <n v="397217.75"/>
    <n v="0"/>
    <n v="0"/>
    <n v="0"/>
    <x v="0"/>
    <n v="0"/>
  </r>
  <r>
    <x v="1"/>
    <x v="3"/>
    <n v="12750"/>
    <n v="0"/>
    <n v="0"/>
    <n v="0"/>
    <x v="0"/>
    <n v="0"/>
  </r>
  <r>
    <x v="1"/>
    <x v="3"/>
    <n v="150500"/>
    <n v="0"/>
    <n v="0"/>
    <n v="0"/>
    <x v="0"/>
    <n v="0"/>
  </r>
  <r>
    <x v="1"/>
    <x v="3"/>
    <n v="17250"/>
    <n v="0"/>
    <n v="0"/>
    <n v="0"/>
    <x v="0"/>
    <n v="0"/>
  </r>
  <r>
    <x v="1"/>
    <x v="3"/>
    <n v="1242981.75"/>
    <n v="255192.6925"/>
    <n v="255192.6925"/>
    <n v="255192.6925"/>
    <x v="0"/>
    <n v="0.20530686995203268"/>
  </r>
  <r>
    <x v="1"/>
    <x v="3"/>
    <n v="264455.75"/>
    <n v="0"/>
    <n v="0"/>
    <n v="0"/>
    <x v="0"/>
    <n v="0"/>
  </r>
  <r>
    <x v="1"/>
    <x v="3"/>
    <n v="2500"/>
    <n v="17500"/>
    <n v="16162.897499999999"/>
    <n v="16162.897499999999"/>
    <x v="0"/>
    <n v="7"/>
  </r>
  <r>
    <x v="1"/>
    <x v="3"/>
    <n v="1651082"/>
    <n v="96323.85"/>
    <n v="40347.07"/>
    <n v="40347.07"/>
    <x v="0"/>
    <n v="5.8339834120897695E-2"/>
  </r>
  <r>
    <x v="1"/>
    <x v="3"/>
    <n v="1228017.25"/>
    <n v="2615630.7124999999"/>
    <n v="1971873.7375"/>
    <n v="1971873.7375"/>
    <x v="0"/>
    <n v="2.1299625168131797"/>
  </r>
  <r>
    <x v="1"/>
    <x v="3"/>
    <n v="26062.5"/>
    <n v="0"/>
    <n v="0"/>
    <n v="0"/>
    <x v="0"/>
    <n v="0"/>
  </r>
  <r>
    <x v="1"/>
    <x v="3"/>
    <n v="1754190"/>
    <n v="0"/>
    <n v="0"/>
    <n v="0"/>
    <x v="0"/>
    <n v="0"/>
  </r>
  <r>
    <x v="1"/>
    <x v="3"/>
    <n v="267232.5"/>
    <n v="326314.07250000001"/>
    <n v="229385.60000000001"/>
    <n v="229385.60000000001"/>
    <x v="0"/>
    <n v="1.2210867783671522"/>
  </r>
  <r>
    <x v="1"/>
    <x v="3"/>
    <n v="1219326.5"/>
    <n v="0"/>
    <n v="0"/>
    <n v="0"/>
    <x v="0"/>
    <n v="0"/>
  </r>
  <r>
    <x v="1"/>
    <x v="3"/>
    <n v="287455.5"/>
    <n v="0"/>
    <n v="0"/>
    <n v="0"/>
    <x v="0"/>
    <n v="0"/>
  </r>
  <r>
    <x v="1"/>
    <x v="3"/>
    <n v="499515"/>
    <n v="256674.61749999999"/>
    <n v="234343.41500000001"/>
    <n v="206104.26749999999"/>
    <x v="0"/>
    <n v="0.51384766723722008"/>
  </r>
  <r>
    <x v="1"/>
    <x v="3"/>
    <n v="8862.5"/>
    <n v="500"/>
    <n v="500"/>
    <n v="500"/>
    <x v="0"/>
    <n v="5.6417489421720736E-2"/>
  </r>
  <r>
    <x v="1"/>
    <x v="3"/>
    <n v="23125"/>
    <n v="96368.985000000001"/>
    <n v="95243.985000000001"/>
    <n v="95243.985000000001"/>
    <x v="0"/>
    <n v="4.1673074594594599"/>
  </r>
  <r>
    <x v="1"/>
    <x v="3"/>
    <n v="694910"/>
    <n v="2471082.42"/>
    <n v="2428513.585"/>
    <n v="1954331.355"/>
    <x v="0"/>
    <n v="3.5559747593213507"/>
  </r>
  <r>
    <x v="1"/>
    <x v="3"/>
    <n v="4870660.5"/>
    <n v="1579489.27"/>
    <n v="1328939.7175"/>
    <n v="1314662.0449999999"/>
    <x v="0"/>
    <n v="0.32428646381738163"/>
  </r>
  <r>
    <x v="1"/>
    <x v="3"/>
    <n v="169290.75"/>
    <n v="0"/>
    <n v="0"/>
    <n v="0"/>
    <x v="0"/>
    <n v="0"/>
  </r>
  <r>
    <x v="1"/>
    <x v="3"/>
    <n v="1519873.75"/>
    <n v="2215995.0175000001"/>
    <n v="2186804.2374999998"/>
    <n v="2186804.2374999998"/>
    <x v="0"/>
    <n v="1.458012560253771"/>
  </r>
  <r>
    <x v="1"/>
    <x v="3"/>
    <n v="1413543.75"/>
    <n v="970708.00749999995"/>
    <n v="819357.17500000005"/>
    <n v="796027.60750000004"/>
    <x v="0"/>
    <n v="0.68671946482024337"/>
  </r>
  <r>
    <x v="1"/>
    <x v="3"/>
    <n v="727807.5"/>
    <n v="1181695.6425000001"/>
    <n v="1073729.23"/>
    <n v="1073729.23"/>
    <x v="0"/>
    <n v="1.6236376273946065"/>
  </r>
  <r>
    <x v="1"/>
    <x v="3"/>
    <n v="913082.75"/>
    <n v="532750.375"/>
    <n v="332343.83"/>
    <n v="332343.83"/>
    <x v="0"/>
    <n v="0.58346341007975455"/>
  </r>
  <r>
    <x v="1"/>
    <x v="3"/>
    <n v="2877765.25"/>
    <n v="1576819.2625"/>
    <n v="1421850.06"/>
    <n v="1421850.06"/>
    <x v="0"/>
    <n v="0.54793185875741601"/>
  </r>
  <r>
    <x v="1"/>
    <x v="3"/>
    <n v="10358460"/>
    <n v="8364947.7575000003"/>
    <n v="6927605.4649999999"/>
    <n v="6457470.0175000001"/>
    <x v="0"/>
    <n v="0.80754743055434886"/>
  </r>
  <r>
    <x v="1"/>
    <x v="3"/>
    <n v="3455568"/>
    <n v="1680751.94"/>
    <n v="1281272.2124999999"/>
    <n v="1226015.08"/>
    <x v="0"/>
    <n v="0.4863894850282211"/>
  </r>
  <r>
    <x v="1"/>
    <x v="3"/>
    <n v="593996.25"/>
    <n v="370839.46500000003"/>
    <n v="263809.66499999998"/>
    <n v="263809.66499999998"/>
    <x v="0"/>
    <n v="0.62431280500508213"/>
  </r>
  <r>
    <x v="1"/>
    <x v="3"/>
    <n v="584966.5"/>
    <n v="76250"/>
    <n v="0"/>
    <n v="0"/>
    <x v="0"/>
    <n v="0.13034934479153934"/>
  </r>
  <r>
    <x v="1"/>
    <x v="3"/>
    <n v="352305.75"/>
    <n v="0"/>
    <n v="0"/>
    <n v="0"/>
    <x v="0"/>
    <n v="0"/>
  </r>
  <r>
    <x v="1"/>
    <x v="3"/>
    <n v="277845.25"/>
    <n v="0"/>
    <n v="0"/>
    <n v="0"/>
    <x v="0"/>
    <n v="0"/>
  </r>
  <r>
    <x v="1"/>
    <x v="3"/>
    <n v="14262.5"/>
    <n v="0"/>
    <n v="0"/>
    <n v="0"/>
    <x v="0"/>
    <n v="0"/>
  </r>
  <r>
    <x v="1"/>
    <x v="3"/>
    <n v="1630193.75"/>
    <n v="97857.25"/>
    <n v="38292.9"/>
    <n v="34381.287499999999"/>
    <x v="0"/>
    <n v="6.0027987470814434E-2"/>
  </r>
  <r>
    <x v="1"/>
    <x v="3"/>
    <n v="10731500"/>
    <n v="707367.36499999999"/>
    <n v="707242.36499999999"/>
    <n v="636480.03500000003"/>
    <x v="0"/>
    <n v="6.5915050552112942E-2"/>
  </r>
  <r>
    <x v="1"/>
    <x v="3"/>
    <n v="1386525"/>
    <n v="105713.56"/>
    <n v="105713.56"/>
    <n v="105713.56"/>
    <x v="0"/>
    <n v="7.6243529687528178E-2"/>
  </r>
  <r>
    <x v="1"/>
    <x v="3"/>
    <n v="697125"/>
    <n v="493669.01750000002"/>
    <n v="444082.755"/>
    <n v="444082.755"/>
    <x v="0"/>
    <n v="0.70814992648377262"/>
  </r>
  <r>
    <x v="1"/>
    <x v="3"/>
    <n v="1455000"/>
    <n v="1004375"/>
    <n v="922000"/>
    <n v="922000"/>
    <x v="0"/>
    <n v="0.69029209621993126"/>
  </r>
  <r>
    <x v="1"/>
    <x v="3"/>
    <n v="108500"/>
    <n v="290500"/>
    <n v="268875"/>
    <n v="268875"/>
    <x v="0"/>
    <n v="2.6774193548387095"/>
  </r>
  <r>
    <x v="1"/>
    <x v="3"/>
    <n v="263500"/>
    <n v="185676.54500000001"/>
    <n v="185676.54500000001"/>
    <n v="185676.54500000001"/>
    <x v="0"/>
    <n v="0.70465481973434541"/>
  </r>
  <r>
    <x v="1"/>
    <x v="3"/>
    <n v="130725"/>
    <n v="38000"/>
    <n v="38000"/>
    <n v="38000"/>
    <x v="0"/>
    <n v="0.29068655574679669"/>
  </r>
  <r>
    <x v="1"/>
    <x v="3"/>
    <n v="5330649"/>
    <n v="2408622.0049999999"/>
    <n v="2285411.4525000001"/>
    <n v="2099304.6825000001"/>
    <x v="0"/>
    <n v="0.45184404469324463"/>
  </r>
  <r>
    <x v="1"/>
    <x v="4"/>
    <n v="4013915.5"/>
    <n v="28505365.765000001"/>
    <n v="16115720.484999999"/>
    <n v="14651637.83"/>
    <x v="0"/>
    <n v="7.1016357382211961"/>
  </r>
  <r>
    <x v="1"/>
    <x v="4"/>
    <n v="7687927.75"/>
    <n v="1647726.18"/>
    <n v="1376249.1575"/>
    <n v="1335904.8574999999"/>
    <x v="0"/>
    <n v="0.21432643926707037"/>
  </r>
  <r>
    <x v="1"/>
    <x v="4"/>
    <n v="2712212.75"/>
    <n v="0"/>
    <n v="0"/>
    <n v="0"/>
    <x v="0"/>
    <n v="0"/>
  </r>
  <r>
    <x v="1"/>
    <x v="4"/>
    <n v="13259613"/>
    <n v="249601.87"/>
    <n v="249601.87"/>
    <n v="249601.87"/>
    <x v="0"/>
    <n v="1.8824219832056937E-2"/>
  </r>
  <r>
    <x v="1"/>
    <x v="4"/>
    <n v="1613629"/>
    <n v="431364.5"/>
    <n v="360187.84250000003"/>
    <n v="360187.84250000003"/>
    <x v="0"/>
    <n v="0.26732569878206203"/>
  </r>
  <r>
    <x v="1"/>
    <x v="4"/>
    <n v="221076"/>
    <n v="0"/>
    <n v="0"/>
    <n v="0"/>
    <x v="0"/>
    <n v="0"/>
  </r>
  <r>
    <x v="1"/>
    <x v="4"/>
    <n v="13642.5"/>
    <n v="0"/>
    <n v="0"/>
    <n v="0"/>
    <x v="0"/>
    <n v="0"/>
  </r>
  <r>
    <x v="1"/>
    <x v="4"/>
    <n v="2049800"/>
    <n v="1843309.2549999999"/>
    <n v="1698983.3274999999"/>
    <n v="1698983.3274999999"/>
    <x v="0"/>
    <n v="0.89926297931505506"/>
  </r>
  <r>
    <x v="1"/>
    <x v="4"/>
    <n v="16979065"/>
    <n v="16292804.247500001"/>
    <n v="15749639.135"/>
    <n v="15749639.135"/>
    <x v="0"/>
    <n v="0.95958194679742381"/>
  </r>
  <r>
    <x v="1"/>
    <x v="4"/>
    <n v="38034322.5"/>
    <n v="35420881.009999998"/>
    <n v="34299018.604999997"/>
    <n v="34299018.604999997"/>
    <x v="0"/>
    <n v="0.93128728689724916"/>
  </r>
  <r>
    <x v="1"/>
    <x v="4"/>
    <n v="1638561.25"/>
    <n v="1483915.0349999999"/>
    <n v="1396016.26"/>
    <n v="1396016.26"/>
    <x v="0"/>
    <n v="0.90562072977131614"/>
  </r>
  <r>
    <x v="1"/>
    <x v="4"/>
    <n v="14936429.5"/>
    <n v="15382063.942500001"/>
    <n v="13917235.752499999"/>
    <n v="13917235.752499999"/>
    <x v="0"/>
    <n v="1.0298354062796602"/>
  </r>
  <r>
    <x v="1"/>
    <x v="4"/>
    <n v="236859.5"/>
    <n v="8465.4349999999995"/>
    <n v="8465.4349999999995"/>
    <n v="8465.4349999999995"/>
    <x v="0"/>
    <n v="3.5740322849621822E-2"/>
  </r>
  <r>
    <x v="1"/>
    <x v="4"/>
    <n v="500"/>
    <n v="0"/>
    <n v="0"/>
    <n v="0"/>
    <x v="0"/>
    <n v="0"/>
  </r>
  <r>
    <x v="1"/>
    <x v="4"/>
    <n v="65066706"/>
    <n v="66806738.880000003"/>
    <n v="63766571.549999997"/>
    <n v="63766571.549999997"/>
    <x v="0"/>
    <n v="1.0267422924406224"/>
  </r>
  <r>
    <x v="1"/>
    <x v="4"/>
    <n v="11500"/>
    <n v="0"/>
    <n v="0"/>
    <n v="0"/>
    <x v="0"/>
    <n v="0"/>
  </r>
  <r>
    <x v="1"/>
    <x v="4"/>
    <n v="1587326.5"/>
    <n v="1064121.3799999999"/>
    <n v="982725.95499999996"/>
    <n v="982725.95499999996"/>
    <x v="0"/>
    <n v="0.67038594769255089"/>
  </r>
  <r>
    <x v="1"/>
    <x v="4"/>
    <n v="250"/>
    <n v="0"/>
    <n v="0"/>
    <n v="0"/>
    <x v="0"/>
    <n v="0"/>
  </r>
  <r>
    <x v="1"/>
    <x v="4"/>
    <n v="1000"/>
    <n v="0"/>
    <n v="0"/>
    <n v="0"/>
    <x v="0"/>
    <n v="0"/>
  </r>
  <r>
    <x v="1"/>
    <x v="5"/>
    <n v="18412448.75"/>
    <n v="18144871.605"/>
    <n v="16773640.3475"/>
    <n v="15575430.195"/>
    <x v="0"/>
    <n v="0.98546759593831867"/>
  </r>
  <r>
    <x v="1"/>
    <x v="5"/>
    <n v="82513173.75"/>
    <n v="90453851.542500004"/>
    <n v="88147820.189999998"/>
    <n v="81645709.077500001"/>
    <x v="0"/>
    <n v="1.0962352728857434"/>
  </r>
  <r>
    <x v="1"/>
    <x v="5"/>
    <n v="2537972.5"/>
    <n v="2174499.1524999999"/>
    <n v="1564881.11"/>
    <n v="1504516.9375"/>
    <x v="0"/>
    <n v="0.85678593936695524"/>
  </r>
  <r>
    <x v="1"/>
    <x v="5"/>
    <n v="15041465.75"/>
    <n v="16281356.5625"/>
    <n v="14242192.782500001"/>
    <n v="13602469.3925"/>
    <x v="0"/>
    <n v="1.0824315151932584"/>
  </r>
  <r>
    <x v="1"/>
    <x v="5"/>
    <n v="2025848"/>
    <n v="480993.505"/>
    <n v="426350.47749999998"/>
    <n v="399382.84250000003"/>
    <x v="0"/>
    <n v="0.23742823005477212"/>
  </r>
  <r>
    <x v="1"/>
    <x v="5"/>
    <n v="1428687.75"/>
    <n v="192078.14249999999"/>
    <n v="106441.97"/>
    <n v="97106.847500000003"/>
    <x v="0"/>
    <n v="0.13444375266743905"/>
  </r>
  <r>
    <x v="1"/>
    <x v="5"/>
    <n v="4589900.25"/>
    <n v="4976230.0674999999"/>
    <n v="4016278.1875"/>
    <n v="3589222.4725000001"/>
    <x v="0"/>
    <n v="1.0841695454056981"/>
  </r>
  <r>
    <x v="1"/>
    <x v="5"/>
    <n v="43823339.5"/>
    <n v="34480839.634999998"/>
    <n v="34478500.767499998"/>
    <n v="32324711.6325"/>
    <x v="0"/>
    <n v="0.78681451547068881"/>
  </r>
  <r>
    <x v="1"/>
    <x v="5"/>
    <n v="3062477.25"/>
    <n v="5489961.3499999996"/>
    <n v="4935323.4924999997"/>
    <n v="4854192.0925000003"/>
    <x v="0"/>
    <n v="1.7926537576728119"/>
  </r>
  <r>
    <x v="1"/>
    <x v="5"/>
    <n v="1182131.5"/>
    <n v="791211.34250000003"/>
    <n v="703638.87"/>
    <n v="450059.36"/>
    <x v="0"/>
    <n v="0.66930907644369519"/>
  </r>
  <r>
    <x v="1"/>
    <x v="5"/>
    <n v="34593433"/>
    <n v="33558402.015000001"/>
    <n v="30812460.039999999"/>
    <n v="30800230.265000001"/>
    <x v="0"/>
    <n v="0.97008013096011603"/>
  </r>
  <r>
    <x v="1"/>
    <x v="5"/>
    <n v="178520824.5"/>
    <n v="159161734.14750001"/>
    <n v="149662689.16999999"/>
    <n v="144388266.08250001"/>
    <x v="0"/>
    <n v="0.89155836353142104"/>
  </r>
  <r>
    <x v="1"/>
    <x v="5"/>
    <n v="20437622.5"/>
    <n v="21372630.817499999"/>
    <n v="17257379.557500001"/>
    <n v="15938794.42"/>
    <x v="0"/>
    <n v="1.0457493682300865"/>
  </r>
  <r>
    <x v="1"/>
    <x v="5"/>
    <n v="413856163.5"/>
    <n v="471548193.22250003"/>
    <n v="434582610.46249998"/>
    <n v="430415275.67000002"/>
    <x v="0"/>
    <n v="1.1394011611053365"/>
  </r>
  <r>
    <x v="1"/>
    <x v="5"/>
    <n v="1980000"/>
    <n v="1776237.73"/>
    <n v="1701799.2324999999"/>
    <n v="1701799.2324999999"/>
    <x v="0"/>
    <n v="0.89708976262626261"/>
  </r>
  <r>
    <x v="1"/>
    <x v="5"/>
    <n v="111887491.25"/>
    <n v="117841741.41"/>
    <n v="116471445.45999999"/>
    <n v="116470600.80249999"/>
    <x v="0"/>
    <n v="1.0532164059939095"/>
  </r>
  <r>
    <x v="1"/>
    <x v="5"/>
    <n v="720000"/>
    <n v="762031.20499999996"/>
    <n v="745377.46250000002"/>
    <n v="745377.46250000002"/>
    <x v="0"/>
    <n v="1.0583766736111111"/>
  </r>
  <r>
    <x v="1"/>
    <x v="5"/>
    <n v="55395792.25"/>
    <n v="48077304.672499999"/>
    <n v="44371411.657499999"/>
    <n v="44361839.122500002"/>
    <x v="0"/>
    <n v="0.86788730190062402"/>
  </r>
  <r>
    <x v="1"/>
    <x v="5"/>
    <n v="4278412.5"/>
    <n v="4136892.9975000001"/>
    <n v="3788570.0975000001"/>
    <n v="3176136.7974999999"/>
    <x v="0"/>
    <n v="0.96692242683471963"/>
  </r>
  <r>
    <x v="1"/>
    <x v="5"/>
    <n v="5358446.75"/>
    <n v="3838912.3250000002"/>
    <n v="2941280.8925000001"/>
    <n v="2683924.105"/>
    <x v="0"/>
    <n v="0.71642259484989756"/>
  </r>
  <r>
    <x v="1"/>
    <x v="5"/>
    <n v="16250"/>
    <n v="1817499.9850000001"/>
    <n v="1817499.9850000001"/>
    <n v="1817499.9850000001"/>
    <x v="0"/>
    <n v="111.84615292307693"/>
  </r>
  <r>
    <x v="1"/>
    <x v="5"/>
    <n v="3831952.25"/>
    <n v="811709.23250000004"/>
    <n v="528501.29500000004"/>
    <n v="527354.28749999998"/>
    <x v="0"/>
    <n v="0.21182655198795863"/>
  </r>
  <r>
    <x v="1"/>
    <x v="5"/>
    <n v="7803767.5"/>
    <n v="2402148.0024999999"/>
    <n v="1383672.7450000001"/>
    <n v="1235719.4075"/>
    <x v="0"/>
    <n v="0.30781901209896373"/>
  </r>
  <r>
    <x v="1"/>
    <x v="5"/>
    <n v="3172093.75"/>
    <n v="93327"/>
    <n v="25049.47"/>
    <n v="21746.032500000001"/>
    <x v="0"/>
    <n v="2.9421261587870787E-2"/>
  </r>
  <r>
    <x v="1"/>
    <x v="5"/>
    <n v="5294.75"/>
    <n v="4953.75"/>
    <n v="4953.75"/>
    <n v="4953.75"/>
    <x v="0"/>
    <n v="0.93559658151942959"/>
  </r>
  <r>
    <x v="1"/>
    <x v="5"/>
    <n v="491112"/>
    <n v="346916.77750000003"/>
    <n v="295862.85749999998"/>
    <n v="272606.17249999999"/>
    <x v="0"/>
    <n v="0.70639034985909532"/>
  </r>
  <r>
    <x v="1"/>
    <x v="5"/>
    <n v="150205.25"/>
    <n v="5134.5"/>
    <n v="5134.5"/>
    <n v="5134.5"/>
    <x v="0"/>
    <n v="3.4183225952488343E-2"/>
  </r>
  <r>
    <x v="1"/>
    <x v="5"/>
    <n v="31482"/>
    <n v="0"/>
    <n v="0"/>
    <n v="0"/>
    <x v="0"/>
    <n v="0"/>
  </r>
  <r>
    <x v="1"/>
    <x v="5"/>
    <n v="25000"/>
    <n v="2545.2399999999998"/>
    <n v="2545.2399999999998"/>
    <n v="2545.2399999999998"/>
    <x v="0"/>
    <n v="0.10180959999999999"/>
  </r>
  <r>
    <x v="1"/>
    <x v="5"/>
    <n v="2236823"/>
    <n v="2850768.8774999999"/>
    <n v="2593339.8149999999"/>
    <n v="2593339.8149999999"/>
    <x v="0"/>
    <n v="1.2744722660219427"/>
  </r>
  <r>
    <x v="1"/>
    <x v="5"/>
    <n v="504627.5"/>
    <n v="123397.61749999999"/>
    <n v="114656.9875"/>
    <n v="110951.44500000001"/>
    <x v="0"/>
    <n v="0.24453209050240027"/>
  </r>
  <r>
    <x v="1"/>
    <x v="5"/>
    <n v="14125"/>
    <n v="0"/>
    <n v="0"/>
    <n v="0"/>
    <x v="0"/>
    <n v="0"/>
  </r>
  <r>
    <x v="1"/>
    <x v="5"/>
    <n v="9116078.75"/>
    <n v="8593218.4049999993"/>
    <n v="5650138.3324999996"/>
    <n v="5082710.8274999997"/>
    <x v="0"/>
    <n v="0.94264416101056603"/>
  </r>
  <r>
    <x v="1"/>
    <x v="5"/>
    <n v="39270970.75"/>
    <n v="40835883.987499997"/>
    <n v="32789646.9575"/>
    <n v="29425800.337499999"/>
    <x v="0"/>
    <n v="1.0398491101088962"/>
  </r>
  <r>
    <x v="1"/>
    <x v="5"/>
    <n v="261054838.75"/>
    <n v="288217777.185"/>
    <n v="287472340.89749998"/>
    <n v="269019360.54250002"/>
    <x v="0"/>
    <n v="1.104050698945338"/>
  </r>
  <r>
    <x v="1"/>
    <x v="5"/>
    <n v="32173250.75"/>
    <n v="33768395.524999999"/>
    <n v="33136535.017499998"/>
    <n v="33114520.892499998"/>
    <x v="0"/>
    <n v="1.0495798446788904"/>
  </r>
  <r>
    <x v="1"/>
    <x v="5"/>
    <n v="89750"/>
    <n v="0"/>
    <n v="0"/>
    <n v="0"/>
    <x v="0"/>
    <n v="0"/>
  </r>
  <r>
    <x v="2"/>
    <x v="6"/>
    <n v="3777240.25"/>
    <n v="4513610.97"/>
    <n v="4305266.46"/>
    <n v="4238250.1725000003"/>
    <x v="0"/>
    <n v="1.1949493998958631"/>
  </r>
  <r>
    <x v="2"/>
    <x v="6"/>
    <n v="3750"/>
    <n v="0"/>
    <n v="0"/>
    <n v="0"/>
    <x v="0"/>
    <n v="0"/>
  </r>
  <r>
    <x v="2"/>
    <x v="6"/>
    <n v="265"/>
    <n v="0"/>
    <n v="0"/>
    <n v="0"/>
    <x v="0"/>
    <n v="0"/>
  </r>
  <r>
    <x v="2"/>
    <x v="6"/>
    <n v="13943.75"/>
    <n v="77883.39"/>
    <n v="6879.4650000000001"/>
    <n v="6879.4650000000001"/>
    <x v="0"/>
    <n v="5.585541192290453"/>
  </r>
  <r>
    <x v="2"/>
    <x v="6"/>
    <n v="2750"/>
    <n v="0"/>
    <n v="0"/>
    <n v="0"/>
    <x v="0"/>
    <n v="0"/>
  </r>
  <r>
    <x v="2"/>
    <x v="6"/>
    <n v="20720150.25"/>
    <n v="23280508.625"/>
    <n v="22983547.2775"/>
    <n v="21264980.995000001"/>
    <x v="0"/>
    <n v="1.1235685235921491"/>
  </r>
  <r>
    <x v="2"/>
    <x v="6"/>
    <n v="5611471"/>
    <n v="4827342.7649999997"/>
    <n v="3911028.2749999999"/>
    <n v="3824624.375"/>
    <x v="0"/>
    <n v="0.86026333647630004"/>
  </r>
  <r>
    <x v="2"/>
    <x v="6"/>
    <n v="1628983"/>
    <n v="1818556.4775"/>
    <n v="1818419.07"/>
    <n v="1818419.07"/>
    <x v="0"/>
    <n v="1.116375356587515"/>
  </r>
  <r>
    <x v="2"/>
    <x v="6"/>
    <n v="782432.25"/>
    <n v="451534.99249999999"/>
    <n v="369209.86499999999"/>
    <n v="354229.88250000001"/>
    <x v="0"/>
    <n v="0.57709148939093446"/>
  </r>
  <r>
    <x v="2"/>
    <x v="6"/>
    <n v="3650"/>
    <n v="0"/>
    <n v="0"/>
    <n v="0"/>
    <x v="0"/>
    <n v="0"/>
  </r>
  <r>
    <x v="2"/>
    <x v="6"/>
    <n v="899264"/>
    <n v="726548.85"/>
    <n v="633565.05000000005"/>
    <n v="617936.31999999995"/>
    <x v="0"/>
    <n v="0.8079372130987118"/>
  </r>
  <r>
    <x v="2"/>
    <x v="6"/>
    <n v="41304.75"/>
    <n v="2368.4625000000001"/>
    <n v="1595.825"/>
    <n v="1595.825"/>
    <x v="0"/>
    <n v="5.7341165362337264E-2"/>
  </r>
  <r>
    <x v="2"/>
    <x v="6"/>
    <n v="119957"/>
    <n v="55276.53"/>
    <n v="26222.37"/>
    <n v="23936.555"/>
    <x v="0"/>
    <n v="0.46080287102878531"/>
  </r>
  <r>
    <x v="2"/>
    <x v="6"/>
    <n v="12431557.5"/>
    <n v="12941930.445"/>
    <n v="12315068.814999999"/>
    <n v="11426339.5725"/>
    <x v="0"/>
    <n v="1.0410546260997466"/>
  </r>
  <r>
    <x v="2"/>
    <x v="6"/>
    <n v="2924568.75"/>
    <n v="2620170.3525"/>
    <n v="2503577.6375000002"/>
    <n v="2419445.7774999999"/>
    <x v="0"/>
    <n v="0.89591682619873447"/>
  </r>
  <r>
    <x v="2"/>
    <x v="6"/>
    <n v="456150"/>
    <n v="430066.18"/>
    <n v="326205.3775"/>
    <n v="326205.3775"/>
    <x v="0"/>
    <n v="0.94281745040008769"/>
  </r>
  <r>
    <x v="2"/>
    <x v="6"/>
    <n v="57387.5"/>
    <n v="0"/>
    <n v="0"/>
    <n v="0"/>
    <x v="0"/>
    <n v="0"/>
  </r>
  <r>
    <x v="2"/>
    <x v="6"/>
    <n v="765"/>
    <n v="0"/>
    <n v="0"/>
    <n v="0"/>
    <x v="0"/>
    <n v="0"/>
  </r>
  <r>
    <x v="2"/>
    <x v="6"/>
    <n v="2571265"/>
    <n v="2105843.2374999998"/>
    <n v="1955657.1425000001"/>
    <n v="1835595.78"/>
    <x v="0"/>
    <n v="0.81899113374156296"/>
  </r>
  <r>
    <x v="2"/>
    <x v="6"/>
    <n v="335900"/>
    <n v="342971"/>
    <n v="334271"/>
    <n v="311396"/>
    <x v="0"/>
    <n v="1.0210509080083359"/>
  </r>
  <r>
    <x v="2"/>
    <x v="6"/>
    <n v="225623.5"/>
    <n v="83608.539999999994"/>
    <n v="13657.602500000001"/>
    <n v="13657.602500000001"/>
    <x v="0"/>
    <n v="0.37056662980584909"/>
  </r>
  <r>
    <x v="2"/>
    <x v="6"/>
    <n v="4003631"/>
    <n v="6057727.29"/>
    <n v="6057727.29"/>
    <n v="6057727.29"/>
    <x v="0"/>
    <n v="1.513058343788426"/>
  </r>
  <r>
    <x v="2"/>
    <x v="6"/>
    <n v="230350"/>
    <n v="273624.61349999998"/>
    <n v="273624.61349999998"/>
    <n v="273624.61349999998"/>
    <x v="0"/>
    <n v="1.1878646125461254"/>
  </r>
  <r>
    <x v="2"/>
    <x v="6"/>
    <n v="401309.5"/>
    <n v="571934.12250000006"/>
    <n v="510998.11749999999"/>
    <n v="401309.5575"/>
    <x v="0"/>
    <n v="1.4251696570851178"/>
  </r>
  <r>
    <x v="2"/>
    <x v="6"/>
    <n v="113440"/>
    <n v="0"/>
    <n v="0"/>
    <n v="0"/>
    <x v="0"/>
    <n v="0"/>
  </r>
  <r>
    <x v="2"/>
    <x v="6"/>
    <n v="352439.5"/>
    <n v="403189.84749999997"/>
    <n v="403189.84749999997"/>
    <n v="396501.92499999999"/>
    <x v="0"/>
    <n v="1.1439973314568883"/>
  </r>
  <r>
    <x v="2"/>
    <x v="6"/>
    <n v="35124637"/>
    <n v="45159403.600000001"/>
    <n v="45122528.799999997"/>
    <n v="44446745.560000002"/>
    <x v="0"/>
    <n v="1.2856902578096394"/>
  </r>
  <r>
    <x v="2"/>
    <x v="6"/>
    <n v="2530222.25"/>
    <n v="2270374.6074999999"/>
    <n v="2256437.41"/>
    <n v="2234933.1724999999"/>
    <x v="0"/>
    <n v="0.89730244349088306"/>
  </r>
  <r>
    <x v="2"/>
    <x v="6"/>
    <n v="1091454"/>
    <n v="1095992.1000000001"/>
    <n v="1095992.1000000001"/>
    <n v="1071454.32"/>
    <x v="0"/>
    <n v="1.0041578481548468"/>
  </r>
  <r>
    <x v="2"/>
    <x v="6"/>
    <n v="1442265"/>
    <n v="2272338.27"/>
    <n v="2272338.27"/>
    <n v="2075758.9875"/>
    <x v="0"/>
    <n v="1.5755345030212895"/>
  </r>
  <r>
    <x v="2"/>
    <x v="6"/>
    <n v="217678.5"/>
    <n v="276583.86"/>
    <n v="276583.86"/>
    <n v="217678.44"/>
    <x v="0"/>
    <n v="1.270607156885039"/>
  </r>
  <r>
    <x v="2"/>
    <x v="6"/>
    <n v="141384.25"/>
    <n v="159035.4325"/>
    <n v="159035.4325"/>
    <n v="141134.25"/>
    <x v="0"/>
    <n v="1.1248454654602615"/>
  </r>
  <r>
    <x v="2"/>
    <x v="6"/>
    <n v="765"/>
    <n v="0"/>
    <n v="0"/>
    <n v="0"/>
    <x v="0"/>
    <n v="0"/>
  </r>
  <r>
    <x v="2"/>
    <x v="6"/>
    <n v="160625"/>
    <n v="291304.04749999999"/>
    <n v="260394.8"/>
    <n v="260394.8"/>
    <x v="0"/>
    <n v="1.8135660544747081"/>
  </r>
  <r>
    <x v="2"/>
    <x v="6"/>
    <n v="754860.5"/>
    <n v="594971.6825"/>
    <n v="594971.6825"/>
    <n v="587609.52"/>
    <x v="0"/>
    <n v="0.78818759558885387"/>
  </r>
  <r>
    <x v="2"/>
    <x v="6"/>
    <n v="500"/>
    <n v="0"/>
    <n v="0"/>
    <n v="0"/>
    <x v="0"/>
    <n v="0"/>
  </r>
  <r>
    <x v="2"/>
    <x v="6"/>
    <n v="250"/>
    <n v="0"/>
    <n v="0"/>
    <n v="0"/>
    <x v="0"/>
    <n v="0"/>
  </r>
  <r>
    <x v="2"/>
    <x v="6"/>
    <n v="233169"/>
    <n v="71931.740000000005"/>
    <n v="61754.080000000002"/>
    <n v="60128.39"/>
    <x v="0"/>
    <n v="0.30849615514926942"/>
  </r>
  <r>
    <x v="2"/>
    <x v="6"/>
    <n v="416249"/>
    <n v="537972"/>
    <n v="536560"/>
    <n v="536560"/>
    <x v="0"/>
    <n v="1.2924283301581505"/>
  </r>
  <r>
    <x v="2"/>
    <x v="6"/>
    <n v="863340"/>
    <n v="598688"/>
    <n v="594452"/>
    <n v="593040"/>
    <x v="0"/>
    <n v="0.69345564899112744"/>
  </r>
  <r>
    <x v="2"/>
    <x v="6"/>
    <n v="74092"/>
    <n v="74865.210000000006"/>
    <n v="68465.100000000006"/>
    <n v="68465.100000000006"/>
    <x v="0"/>
    <n v="1.0104358095340928"/>
  </r>
  <r>
    <x v="2"/>
    <x v="6"/>
    <n v="8597643.25"/>
    <n v="7973820.3099999996"/>
    <n v="7734169.4249999998"/>
    <n v="7454595.4474999998"/>
    <x v="0"/>
    <n v="0.92744256514714074"/>
  </r>
  <r>
    <x v="2"/>
    <x v="6"/>
    <n v="14272"/>
    <n v="0"/>
    <n v="0"/>
    <n v="0"/>
    <x v="0"/>
    <n v="0"/>
  </r>
  <r>
    <x v="2"/>
    <x v="6"/>
    <n v="483738.25"/>
    <n v="406565.32"/>
    <n v="406565.32"/>
    <n v="398738.19"/>
    <x v="0"/>
    <n v="0.8404655203511403"/>
  </r>
  <r>
    <x v="2"/>
    <x v="6"/>
    <n v="1722335.25"/>
    <n v="1791520.17"/>
    <n v="1767176.58"/>
    <n v="1767176.58"/>
    <x v="0"/>
    <n v="1.0401692527630726"/>
  </r>
  <r>
    <x v="2"/>
    <x v="6"/>
    <n v="1216364"/>
    <n v="1239731.1074999999"/>
    <n v="1239731.1074999999"/>
    <n v="1215864"/>
    <x v="0"/>
    <n v="1.0192106207516829"/>
  </r>
  <r>
    <x v="2"/>
    <x v="6"/>
    <n v="1020013"/>
    <n v="891011.01"/>
    <n v="881356.96"/>
    <n v="881356.96"/>
    <x v="0"/>
    <n v="0.87352907266868163"/>
  </r>
  <r>
    <x v="2"/>
    <x v="6"/>
    <n v="298909.5"/>
    <n v="60284.49"/>
    <n v="59534.49"/>
    <n v="59534.49"/>
    <x v="0"/>
    <n v="0.20168141193237418"/>
  </r>
  <r>
    <x v="2"/>
    <x v="6"/>
    <n v="30000"/>
    <n v="0"/>
    <n v="0"/>
    <n v="0"/>
    <x v="0"/>
    <n v="0"/>
  </r>
  <r>
    <x v="2"/>
    <x v="6"/>
    <n v="500"/>
    <n v="0"/>
    <n v="0"/>
    <n v="0"/>
    <x v="0"/>
    <n v="0"/>
  </r>
  <r>
    <x v="2"/>
    <x v="6"/>
    <n v="23750"/>
    <n v="0"/>
    <n v="0"/>
    <n v="0"/>
    <x v="0"/>
    <n v="0"/>
  </r>
  <r>
    <x v="2"/>
    <x v="6"/>
    <n v="8519099.75"/>
    <n v="9240796.6300000008"/>
    <n v="9049520.8000000007"/>
    <n v="8345844.7525000004"/>
    <x v="0"/>
    <n v="1.0847151578428227"/>
  </r>
  <r>
    <x v="2"/>
    <x v="6"/>
    <n v="306219.75"/>
    <n v="84258.5625"/>
    <n v="84258.5625"/>
    <n v="84258.5625"/>
    <x v="0"/>
    <n v="0.27515717879072138"/>
  </r>
  <r>
    <x v="2"/>
    <x v="6"/>
    <n v="250"/>
    <n v="0"/>
    <n v="0"/>
    <n v="0"/>
    <x v="0"/>
    <n v="0"/>
  </r>
  <r>
    <x v="2"/>
    <x v="6"/>
    <n v="221865.75"/>
    <n v="160489.3075"/>
    <n v="114504.7375"/>
    <n v="114504.7375"/>
    <x v="0"/>
    <n v="0.72336224721481346"/>
  </r>
  <r>
    <x v="2"/>
    <x v="6"/>
    <n v="45000"/>
    <n v="0"/>
    <n v="0"/>
    <n v="0"/>
    <x v="0"/>
    <n v="0"/>
  </r>
  <r>
    <x v="2"/>
    <x v="6"/>
    <n v="500"/>
    <n v="0"/>
    <n v="0"/>
    <n v="0"/>
    <x v="0"/>
    <n v="0"/>
  </r>
  <r>
    <x v="2"/>
    <x v="6"/>
    <n v="515"/>
    <n v="0"/>
    <n v="0"/>
    <n v="0"/>
    <x v="0"/>
    <n v="0"/>
  </r>
  <r>
    <x v="2"/>
    <x v="6"/>
    <n v="386337"/>
    <n v="252213.1825"/>
    <n v="167981.78750000001"/>
    <n v="167981.78750000001"/>
    <x v="0"/>
    <n v="0.65283206759901324"/>
  </r>
  <r>
    <x v="2"/>
    <x v="6"/>
    <n v="54766.75"/>
    <n v="15569.1325"/>
    <n v="13057.497499999999"/>
    <n v="13057.497499999999"/>
    <x v="0"/>
    <n v="0.2842807451601565"/>
  </r>
  <r>
    <x v="2"/>
    <x v="6"/>
    <n v="9836.5"/>
    <n v="2650.75"/>
    <n v="307.315"/>
    <n v="307.315"/>
    <x v="0"/>
    <n v="0.26948101458852236"/>
  </r>
  <r>
    <x v="2"/>
    <x v="6"/>
    <n v="20064"/>
    <n v="4091.6849999999999"/>
    <n v="1160"/>
    <n v="1160"/>
    <x v="0"/>
    <n v="0.20393166866028709"/>
  </r>
  <r>
    <x v="2"/>
    <x v="6"/>
    <n v="13502495"/>
    <n v="13905447.810000001"/>
    <n v="13703536.310000001"/>
    <n v="13703536.310000001"/>
    <x v="0"/>
    <n v="1.0298428408971825"/>
  </r>
  <r>
    <x v="2"/>
    <x v="6"/>
    <n v="210000"/>
    <n v="0"/>
    <n v="0"/>
    <n v="0"/>
    <x v="0"/>
    <n v="0"/>
  </r>
  <r>
    <x v="2"/>
    <x v="6"/>
    <n v="400000"/>
    <n v="0"/>
    <n v="0"/>
    <n v="0"/>
    <x v="0"/>
    <n v="0"/>
  </r>
  <r>
    <x v="2"/>
    <x v="6"/>
    <n v="400000"/>
    <n v="0"/>
    <n v="0"/>
    <n v="0"/>
    <x v="0"/>
    <n v="0"/>
  </r>
  <r>
    <x v="2"/>
    <x v="6"/>
    <n v="519300"/>
    <n v="38919.96"/>
    <n v="38919.96"/>
    <n v="38919.96"/>
    <x v="0"/>
    <n v="7.4946967071057191E-2"/>
  </r>
  <r>
    <x v="2"/>
    <x v="6"/>
    <n v="846180"/>
    <n v="182560.59"/>
    <n v="128057.09"/>
    <n v="127444.59"/>
    <x v="0"/>
    <n v="0.21574675600935972"/>
  </r>
  <r>
    <x v="2"/>
    <x v="6"/>
    <n v="201000"/>
    <n v="100000"/>
    <n v="100000"/>
    <n v="100000"/>
    <x v="0"/>
    <n v="0.49751243781094528"/>
  </r>
  <r>
    <x v="2"/>
    <x v="6"/>
    <n v="811000"/>
    <n v="144072.73000000001"/>
    <n v="72.73"/>
    <n v="72.73"/>
    <x v="0"/>
    <n v="0.17764824907521579"/>
  </r>
  <r>
    <x v="2"/>
    <x v="6"/>
    <n v="48784.05"/>
    <n v="0"/>
    <n v="0"/>
    <n v="0"/>
    <x v="0"/>
    <n v="0"/>
  </r>
  <r>
    <x v="2"/>
    <x v="6"/>
    <n v="3054351.25"/>
    <n v="92158.095000000001"/>
    <n v="14658.1"/>
    <n v="14658.1"/>
    <x v="0"/>
    <n v="3.0172723258335137E-2"/>
  </r>
  <r>
    <x v="2"/>
    <x v="6"/>
    <n v="93610.25"/>
    <n v="89345.63"/>
    <n v="76845.602499999994"/>
    <n v="76845.602499999994"/>
    <x v="0"/>
    <n v="0.95444280941456738"/>
  </r>
  <r>
    <x v="2"/>
    <x v="6"/>
    <n v="529802.25"/>
    <n v="120734.6075"/>
    <n v="106919.10249999999"/>
    <n v="106345.76"/>
    <x v="0"/>
    <n v="0.22788617356759056"/>
  </r>
  <r>
    <x v="2"/>
    <x v="6"/>
    <n v="201507"/>
    <n v="148433.8775"/>
    <n v="126710.285"/>
    <n v="125680.75"/>
    <x v="0"/>
    <n v="0.73661896360920465"/>
  </r>
  <r>
    <x v="2"/>
    <x v="6"/>
    <n v="124285.75"/>
    <n v="53617.925000000003"/>
    <n v="49524.3675"/>
    <n v="49218.794999999998"/>
    <x v="0"/>
    <n v="0.43140846798607246"/>
  </r>
  <r>
    <x v="2"/>
    <x v="7"/>
    <n v="4358"/>
    <n v="2729.3775000000001"/>
    <n v="1750.625"/>
    <n v="1750.625"/>
    <x v="0"/>
    <n v="0.62629130335016059"/>
  </r>
  <r>
    <x v="2"/>
    <x v="7"/>
    <n v="283088.25"/>
    <n v="203691.86499999999"/>
    <n v="200781.51250000001"/>
    <n v="180388.15"/>
    <x v="0"/>
    <n v="0.71953486236182529"/>
  </r>
  <r>
    <x v="2"/>
    <x v="7"/>
    <n v="96750"/>
    <n v="38418.857499999998"/>
    <n v="3751.75"/>
    <n v="3751.75"/>
    <x v="0"/>
    <n v="0.39709413436692503"/>
  </r>
  <r>
    <x v="2"/>
    <x v="7"/>
    <n v="47152.5"/>
    <n v="0"/>
    <n v="0"/>
    <n v="0"/>
    <x v="0"/>
    <n v="0"/>
  </r>
  <r>
    <x v="2"/>
    <x v="7"/>
    <n v="44902.5"/>
    <n v="0"/>
    <n v="0"/>
    <n v="0"/>
    <x v="0"/>
    <n v="0"/>
  </r>
  <r>
    <x v="2"/>
    <x v="7"/>
    <n v="6636.75"/>
    <n v="24540.744999999999"/>
    <n v="15359.495000000001"/>
    <n v="12953.245000000001"/>
    <x v="0"/>
    <n v="3.6977052020943986"/>
  </r>
  <r>
    <x v="2"/>
    <x v="7"/>
    <n v="98019.5"/>
    <n v="30070.522499999999"/>
    <n v="3099.85"/>
    <n v="2915.85"/>
    <x v="0"/>
    <n v="0.30678102316375822"/>
  </r>
  <r>
    <x v="2"/>
    <x v="7"/>
    <n v="27000"/>
    <n v="3414.63"/>
    <n v="3405.5475000000001"/>
    <n v="3405.5475000000001"/>
    <x v="0"/>
    <n v="0.12646777777777779"/>
  </r>
  <r>
    <x v="2"/>
    <x v="7"/>
    <n v="62750"/>
    <n v="0"/>
    <n v="0"/>
    <n v="0"/>
    <x v="0"/>
    <n v="0"/>
  </r>
  <r>
    <x v="2"/>
    <x v="7"/>
    <n v="12500"/>
    <n v="0"/>
    <n v="0"/>
    <n v="0"/>
    <x v="0"/>
    <n v="0"/>
  </r>
  <r>
    <x v="2"/>
    <x v="7"/>
    <n v="565482.75"/>
    <n v="484991.3125"/>
    <n v="452127.76250000001"/>
    <n v="430525.48499999999"/>
    <x v="0"/>
    <n v="0.85765889852519817"/>
  </r>
  <r>
    <x v="2"/>
    <x v="7"/>
    <n v="298688.5"/>
    <n v="145528.36249999999"/>
    <n v="145528.36249999999"/>
    <n v="145528.36249999999"/>
    <x v="0"/>
    <n v="0.4872245248812726"/>
  </r>
  <r>
    <x v="2"/>
    <x v="7"/>
    <n v="380206.25"/>
    <n v="526306.70250000001"/>
    <n v="516858.16"/>
    <n v="483434.3775"/>
    <x v="0"/>
    <n v="1.3842663094044352"/>
  </r>
  <r>
    <x v="2"/>
    <x v="7"/>
    <n v="12500"/>
    <n v="0"/>
    <n v="0"/>
    <n v="0"/>
    <x v="0"/>
    <n v="0"/>
  </r>
  <r>
    <x v="2"/>
    <x v="7"/>
    <n v="375500"/>
    <n v="0"/>
    <n v="0"/>
    <n v="0"/>
    <x v="0"/>
    <n v="0"/>
  </r>
  <r>
    <x v="2"/>
    <x v="7"/>
    <n v="1796579"/>
    <n v="2540454.59"/>
    <n v="2342328.02"/>
    <n v="2331596.77"/>
    <x v="0"/>
    <n v="1.4140511438684298"/>
  </r>
  <r>
    <x v="2"/>
    <x v="7"/>
    <n v="15000"/>
    <n v="0"/>
    <n v="0"/>
    <n v="0"/>
    <x v="0"/>
    <n v="0"/>
  </r>
  <r>
    <x v="2"/>
    <x v="7"/>
    <n v="58800"/>
    <n v="5653.9575000000004"/>
    <n v="4620.8325000000004"/>
    <n v="4512.0825000000004"/>
    <x v="0"/>
    <n v="9.6155739795918377E-2"/>
  </r>
  <r>
    <x v="2"/>
    <x v="7"/>
    <n v="87750"/>
    <n v="167500"/>
    <n v="167500"/>
    <n v="167500"/>
    <x v="0"/>
    <n v="1.9088319088319088"/>
  </r>
  <r>
    <x v="2"/>
    <x v="7"/>
    <n v="290449"/>
    <n v="332999.63500000001"/>
    <n v="332999.63500000001"/>
    <n v="304476.41249999998"/>
    <x v="0"/>
    <n v="1.1464995059373591"/>
  </r>
  <r>
    <x v="2"/>
    <x v="7"/>
    <n v="79500"/>
    <n v="0"/>
    <n v="0"/>
    <n v="0"/>
    <x v="0"/>
    <n v="0"/>
  </r>
  <r>
    <x v="2"/>
    <x v="7"/>
    <n v="89069.75"/>
    <n v="238157.85"/>
    <n v="238157.85"/>
    <n v="218640.3"/>
    <x v="0"/>
    <n v="2.6738353930487064"/>
  </r>
  <r>
    <x v="2"/>
    <x v="7"/>
    <n v="265"/>
    <n v="0"/>
    <n v="0"/>
    <n v="0"/>
    <x v="0"/>
    <n v="0"/>
  </r>
  <r>
    <x v="2"/>
    <x v="7"/>
    <n v="9945"/>
    <n v="234.67500000000001"/>
    <n v="0"/>
    <n v="0"/>
    <x v="0"/>
    <n v="2.3597285067873303E-2"/>
  </r>
  <r>
    <x v="2"/>
    <x v="7"/>
    <n v="18725"/>
    <n v="0"/>
    <n v="0"/>
    <n v="0"/>
    <x v="0"/>
    <n v="0"/>
  </r>
  <r>
    <x v="2"/>
    <x v="7"/>
    <n v="1529539"/>
    <n v="1279332.4650000001"/>
    <n v="1271057.2475000001"/>
    <n v="1258014.4575"/>
    <x v="0"/>
    <n v="0.83641702826799458"/>
  </r>
  <r>
    <x v="2"/>
    <x v="7"/>
    <n v="430635"/>
    <n v="260516.4"/>
    <n v="228055.86"/>
    <n v="86055.86"/>
    <x v="0"/>
    <n v="0.60495872374516702"/>
  </r>
  <r>
    <x v="2"/>
    <x v="7"/>
    <n v="1750"/>
    <n v="0"/>
    <n v="0"/>
    <n v="0"/>
    <x v="0"/>
    <n v="0"/>
  </r>
  <r>
    <x v="2"/>
    <x v="7"/>
    <n v="2750"/>
    <n v="0"/>
    <n v="0"/>
    <n v="0"/>
    <x v="0"/>
    <n v="0"/>
  </r>
  <r>
    <x v="2"/>
    <x v="7"/>
    <n v="4074344"/>
    <n v="2389329.7450000001"/>
    <n v="2338888.5825"/>
    <n v="2192264.5449999999"/>
    <x v="0"/>
    <n v="0.58643299264863258"/>
  </r>
  <r>
    <x v="2"/>
    <x v="7"/>
    <n v="375000.5"/>
    <n v="1063718.1274999999"/>
    <n v="789900.86499999999"/>
    <n v="789900.86499999999"/>
    <x v="0"/>
    <n v="2.8365778912294783"/>
  </r>
  <r>
    <x v="2"/>
    <x v="7"/>
    <n v="329706"/>
    <n v="42495.654999999999"/>
    <n v="31194.897499999999"/>
    <n v="28628.77"/>
    <x v="0"/>
    <n v="0.12888954098499875"/>
  </r>
  <r>
    <x v="2"/>
    <x v="7"/>
    <n v="179931.5"/>
    <n v="0"/>
    <n v="0"/>
    <n v="0"/>
    <x v="0"/>
    <n v="0"/>
  </r>
  <r>
    <x v="2"/>
    <x v="7"/>
    <n v="159000"/>
    <n v="0"/>
    <n v="0"/>
    <n v="0"/>
    <x v="0"/>
    <n v="0"/>
  </r>
  <r>
    <x v="0"/>
    <x v="0"/>
    <n v="1000000"/>
    <n v="999730.74"/>
    <n v="281088.23"/>
    <n v="281088.23"/>
    <x v="1"/>
    <n v="0.99973073999999995"/>
  </r>
  <r>
    <x v="0"/>
    <x v="0"/>
    <n v="12500"/>
    <n v="0"/>
    <n v="0"/>
    <n v="0"/>
    <x v="1"/>
    <n v="0"/>
  </r>
  <r>
    <x v="0"/>
    <x v="0"/>
    <n v="17025"/>
    <n v="7196.9750000000004"/>
    <n v="7196.9750000000004"/>
    <n v="7196.9750000000004"/>
    <x v="1"/>
    <n v="0.42272980910425845"/>
  </r>
  <r>
    <x v="0"/>
    <x v="0"/>
    <n v="7886184.5"/>
    <n v="8485998.125"/>
    <n v="7720888.5975000001"/>
    <n v="7589320.4800000004"/>
    <x v="1"/>
    <n v="1.0760587867301354"/>
  </r>
  <r>
    <x v="0"/>
    <x v="0"/>
    <n v="7500"/>
    <n v="0"/>
    <n v="0"/>
    <n v="0"/>
    <x v="1"/>
    <n v="0"/>
  </r>
  <r>
    <x v="0"/>
    <x v="0"/>
    <n v="7500"/>
    <n v="0"/>
    <n v="0"/>
    <n v="0"/>
    <x v="1"/>
    <n v="0"/>
  </r>
  <r>
    <x v="0"/>
    <x v="0"/>
    <n v="7500"/>
    <n v="0"/>
    <n v="0"/>
    <n v="0"/>
    <x v="1"/>
    <n v="0"/>
  </r>
  <r>
    <x v="0"/>
    <x v="0"/>
    <n v="7500"/>
    <n v="0"/>
    <n v="0"/>
    <n v="0"/>
    <x v="1"/>
    <n v="0"/>
  </r>
  <r>
    <x v="0"/>
    <x v="0"/>
    <n v="7500"/>
    <n v="0"/>
    <n v="0"/>
    <n v="0"/>
    <x v="1"/>
    <n v="0"/>
  </r>
  <r>
    <x v="0"/>
    <x v="0"/>
    <n v="7500"/>
    <n v="0"/>
    <n v="0"/>
    <n v="0"/>
    <x v="1"/>
    <n v="0"/>
  </r>
  <r>
    <x v="0"/>
    <x v="0"/>
    <n v="7500"/>
    <n v="0"/>
    <n v="0"/>
    <n v="0"/>
    <x v="1"/>
    <n v="0"/>
  </r>
  <r>
    <x v="0"/>
    <x v="0"/>
    <n v="7500"/>
    <n v="0"/>
    <n v="0"/>
    <n v="0"/>
    <x v="1"/>
    <n v="0"/>
  </r>
  <r>
    <x v="0"/>
    <x v="0"/>
    <n v="103722.5"/>
    <n v="27606.285"/>
    <n v="19772.154999999999"/>
    <n v="12662.82"/>
    <x v="1"/>
    <n v="0.2661552218660368"/>
  </r>
  <r>
    <x v="0"/>
    <x v="0"/>
    <n v="6250"/>
    <n v="6238.26"/>
    <n v="6238.26"/>
    <n v="6238.26"/>
    <x v="1"/>
    <n v="0.99812160000000005"/>
  </r>
  <r>
    <x v="0"/>
    <x v="0"/>
    <n v="126125"/>
    <n v="150459.54999999999"/>
    <n v="118258.33749999999"/>
    <n v="107372.1225"/>
    <x v="1"/>
    <n v="1.1929399405351833"/>
  </r>
  <r>
    <x v="0"/>
    <x v="0"/>
    <n v="139379.75"/>
    <n v="240333.75"/>
    <n v="240333.75"/>
    <n v="240333.75"/>
    <x v="1"/>
    <n v="1.7243089473183875"/>
  </r>
  <r>
    <x v="0"/>
    <x v="0"/>
    <n v="67300"/>
    <n v="43249.7"/>
    <n v="43249.7"/>
    <n v="43249.7"/>
    <x v="1"/>
    <n v="0.64264041604754829"/>
  </r>
  <r>
    <x v="0"/>
    <x v="0"/>
    <n v="250000"/>
    <n v="218855.2225"/>
    <n v="93774.722500000003"/>
    <n v="93774.722500000003"/>
    <x v="1"/>
    <n v="0.87542089000000001"/>
  </r>
  <r>
    <x v="0"/>
    <x v="0"/>
    <n v="179375"/>
    <n v="23212.802500000002"/>
    <n v="6966.3975"/>
    <n v="6966.3975"/>
    <x v="1"/>
    <n v="0.12940935191637631"/>
  </r>
  <r>
    <x v="0"/>
    <x v="0"/>
    <n v="1697989.5"/>
    <n v="1709609.7450000001"/>
    <n v="1709609.7450000001"/>
    <n v="1687542.9724999999"/>
    <x v="1"/>
    <n v="1.0068435317179525"/>
  </r>
  <r>
    <x v="0"/>
    <x v="0"/>
    <n v="28650"/>
    <n v="21810.955000000002"/>
    <n v="19665.955000000002"/>
    <n v="19665.955000000002"/>
    <x v="1"/>
    <n v="0.76128987783595115"/>
  </r>
  <r>
    <x v="0"/>
    <x v="0"/>
    <n v="100000"/>
    <n v="100000"/>
    <n v="0"/>
    <n v="0"/>
    <x v="1"/>
    <n v="1"/>
  </r>
  <r>
    <x v="0"/>
    <x v="0"/>
    <n v="250000"/>
    <n v="0"/>
    <n v="0"/>
    <n v="0"/>
    <x v="1"/>
    <n v="0"/>
  </r>
  <r>
    <x v="0"/>
    <x v="0"/>
    <n v="0"/>
    <n v="20681.75"/>
    <n v="0"/>
    <n v="0"/>
    <x v="1"/>
    <n v="0"/>
  </r>
  <r>
    <x v="0"/>
    <x v="0"/>
    <n v="34750"/>
    <n v="0"/>
    <n v="0"/>
    <n v="0"/>
    <x v="1"/>
    <n v="0"/>
  </r>
  <r>
    <x v="0"/>
    <x v="0"/>
    <n v="241250"/>
    <n v="581515.69499999995"/>
    <n v="574369.60499999998"/>
    <n v="566014.82999999996"/>
    <x v="1"/>
    <n v="2.4104277512953365"/>
  </r>
  <r>
    <x v="0"/>
    <x v="0"/>
    <n v="2357346"/>
    <n v="2242404.5825"/>
    <n v="2212824.6625000001"/>
    <n v="2179074.2349999999"/>
    <x v="1"/>
    <n v="0.95124117651799944"/>
  </r>
  <r>
    <x v="0"/>
    <x v="0"/>
    <n v="180000"/>
    <n v="137224.29500000001"/>
    <n v="137224.29500000001"/>
    <n v="127878.9175"/>
    <x v="1"/>
    <n v="0.7623571944444445"/>
  </r>
  <r>
    <x v="0"/>
    <x v="0"/>
    <n v="32500"/>
    <n v="19988"/>
    <n v="19988"/>
    <n v="18740"/>
    <x v="1"/>
    <n v="0.61501538461538463"/>
  </r>
  <r>
    <x v="0"/>
    <x v="0"/>
    <n v="130000"/>
    <n v="79952"/>
    <n v="79952"/>
    <n v="79952"/>
    <x v="1"/>
    <n v="0.61501538461538463"/>
  </r>
  <r>
    <x v="0"/>
    <x v="0"/>
    <n v="650000"/>
    <n v="650000"/>
    <n v="650000"/>
    <n v="650000"/>
    <x v="1"/>
    <n v="1"/>
  </r>
  <r>
    <x v="0"/>
    <x v="0"/>
    <n v="500000"/>
    <n v="625000"/>
    <n v="625000"/>
    <n v="625000"/>
    <x v="1"/>
    <n v="1.25"/>
  </r>
  <r>
    <x v="0"/>
    <x v="0"/>
    <n v="500000"/>
    <n v="625000"/>
    <n v="625000"/>
    <n v="625000"/>
    <x v="1"/>
    <n v="1.25"/>
  </r>
  <r>
    <x v="0"/>
    <x v="0"/>
    <n v="30000"/>
    <n v="29760.03"/>
    <n v="9669.4575000000004"/>
    <n v="0"/>
    <x v="1"/>
    <n v="0.99200099999999991"/>
  </r>
  <r>
    <x v="0"/>
    <x v="0"/>
    <n v="550000"/>
    <n v="740000"/>
    <n v="740000"/>
    <n v="740000"/>
    <x v="1"/>
    <n v="1.3454545454545455"/>
  </r>
  <r>
    <x v="0"/>
    <x v="0"/>
    <n v="100000"/>
    <n v="100000"/>
    <n v="100000"/>
    <n v="100000"/>
    <x v="1"/>
    <n v="1"/>
  </r>
  <r>
    <x v="0"/>
    <x v="0"/>
    <n v="142500"/>
    <n v="110087.5"/>
    <n v="109097.5"/>
    <n v="5512.5"/>
    <x v="1"/>
    <n v="0.77254385964912275"/>
  </r>
  <r>
    <x v="0"/>
    <x v="0"/>
    <n v="75000"/>
    <n v="75000"/>
    <n v="75000"/>
    <n v="75000"/>
    <x v="1"/>
    <n v="1"/>
  </r>
  <r>
    <x v="0"/>
    <x v="0"/>
    <n v="75000"/>
    <n v="75000"/>
    <n v="75000"/>
    <n v="75000"/>
    <x v="1"/>
    <n v="1"/>
  </r>
  <r>
    <x v="0"/>
    <x v="0"/>
    <n v="7500"/>
    <n v="0"/>
    <n v="0"/>
    <n v="0"/>
    <x v="1"/>
    <n v="0"/>
  </r>
  <r>
    <x v="0"/>
    <x v="0"/>
    <n v="25000"/>
    <n v="32072.5275"/>
    <n v="12500"/>
    <n v="12500"/>
    <x v="1"/>
    <n v="1.2829010999999999"/>
  </r>
  <r>
    <x v="0"/>
    <x v="0"/>
    <n v="12500"/>
    <n v="4247.5"/>
    <n v="4247.5"/>
    <n v="4247.5"/>
    <x v="1"/>
    <n v="0.33979999999999999"/>
  </r>
  <r>
    <x v="0"/>
    <x v="0"/>
    <n v="14625"/>
    <n v="13624.7925"/>
    <n v="9514.2474999999995"/>
    <n v="9514.2474999999995"/>
    <x v="1"/>
    <n v="0.93160974358974358"/>
  </r>
  <r>
    <x v="0"/>
    <x v="0"/>
    <n v="912417.75"/>
    <n v="912501.01"/>
    <n v="477888.45500000002"/>
    <n v="468678.34749999997"/>
    <x v="1"/>
    <n v="1.0000912520608023"/>
  </r>
  <r>
    <x v="0"/>
    <x v="1"/>
    <n v="603798.25"/>
    <n v="164392.7225"/>
    <n v="106644.47749999999"/>
    <n v="106644.47749999999"/>
    <x v="1"/>
    <n v="0.27226432421756769"/>
  </r>
  <r>
    <x v="0"/>
    <x v="1"/>
    <n v="7500"/>
    <n v="0"/>
    <n v="0"/>
    <n v="0"/>
    <x v="1"/>
    <n v="0"/>
  </r>
  <r>
    <x v="0"/>
    <x v="1"/>
    <n v="22500"/>
    <n v="0"/>
    <n v="0"/>
    <n v="0"/>
    <x v="1"/>
    <n v="0"/>
  </r>
  <r>
    <x v="0"/>
    <x v="1"/>
    <n v="13750"/>
    <n v="0"/>
    <n v="0"/>
    <n v="0"/>
    <x v="1"/>
    <n v="0"/>
  </r>
  <r>
    <x v="0"/>
    <x v="1"/>
    <n v="19500"/>
    <n v="0"/>
    <n v="0"/>
    <n v="0"/>
    <x v="1"/>
    <n v="0"/>
  </r>
  <r>
    <x v="0"/>
    <x v="1"/>
    <n v="42500"/>
    <n v="0"/>
    <n v="0"/>
    <n v="0"/>
    <x v="1"/>
    <n v="0"/>
  </r>
  <r>
    <x v="0"/>
    <x v="1"/>
    <n v="86250"/>
    <n v="0"/>
    <n v="0"/>
    <n v="0"/>
    <x v="1"/>
    <n v="0"/>
  </r>
  <r>
    <x v="0"/>
    <x v="1"/>
    <n v="25000"/>
    <n v="0"/>
    <n v="0"/>
    <n v="0"/>
    <x v="1"/>
    <n v="0"/>
  </r>
  <r>
    <x v="0"/>
    <x v="1"/>
    <n v="62500"/>
    <n v="0"/>
    <n v="0"/>
    <n v="0"/>
    <x v="1"/>
    <n v="0"/>
  </r>
  <r>
    <x v="0"/>
    <x v="1"/>
    <n v="62500"/>
    <n v="0"/>
    <n v="0"/>
    <n v="0"/>
    <x v="1"/>
    <n v="0"/>
  </r>
  <r>
    <x v="0"/>
    <x v="1"/>
    <n v="25000"/>
    <n v="0"/>
    <n v="0"/>
    <n v="0"/>
    <x v="1"/>
    <n v="0"/>
  </r>
  <r>
    <x v="0"/>
    <x v="1"/>
    <n v="32603.5"/>
    <n v="0"/>
    <n v="0"/>
    <n v="0"/>
    <x v="1"/>
    <n v="0"/>
  </r>
  <r>
    <x v="0"/>
    <x v="1"/>
    <n v="10000"/>
    <n v="10000"/>
    <n v="0"/>
    <n v="0"/>
    <x v="1"/>
    <n v="1"/>
  </r>
  <r>
    <x v="0"/>
    <x v="1"/>
    <n v="37500"/>
    <n v="0"/>
    <n v="0"/>
    <n v="0"/>
    <x v="1"/>
    <n v="0"/>
  </r>
  <r>
    <x v="0"/>
    <x v="1"/>
    <n v="12500"/>
    <n v="0"/>
    <n v="0"/>
    <n v="0"/>
    <x v="1"/>
    <n v="0"/>
  </r>
  <r>
    <x v="0"/>
    <x v="1"/>
    <n v="50000"/>
    <n v="0"/>
    <n v="0"/>
    <n v="0"/>
    <x v="1"/>
    <n v="0"/>
  </r>
  <r>
    <x v="0"/>
    <x v="1"/>
    <n v="172000"/>
    <n v="0"/>
    <n v="0"/>
    <n v="0"/>
    <x v="1"/>
    <n v="0"/>
  </r>
  <r>
    <x v="0"/>
    <x v="1"/>
    <n v="50000"/>
    <n v="4250"/>
    <n v="4250"/>
    <n v="4250"/>
    <x v="1"/>
    <n v="8.5000000000000006E-2"/>
  </r>
  <r>
    <x v="0"/>
    <x v="1"/>
    <n v="4036658"/>
    <n v="4125955.1675"/>
    <n v="4087646.0525000002"/>
    <n v="4030890.3525"/>
    <x v="1"/>
    <n v="1.022121558848929"/>
  </r>
  <r>
    <x v="0"/>
    <x v="1"/>
    <n v="500"/>
    <n v="0"/>
    <n v="0"/>
    <n v="0"/>
    <x v="1"/>
    <n v="0"/>
  </r>
  <r>
    <x v="0"/>
    <x v="1"/>
    <n v="173825"/>
    <n v="149998.73000000001"/>
    <n v="149998.73000000001"/>
    <n v="149998.73000000001"/>
    <x v="1"/>
    <n v="0.86292955558751627"/>
  </r>
  <r>
    <x v="0"/>
    <x v="1"/>
    <n v="700"/>
    <n v="0"/>
    <n v="0"/>
    <n v="0"/>
    <x v="1"/>
    <n v="0"/>
  </r>
  <r>
    <x v="0"/>
    <x v="1"/>
    <n v="750"/>
    <n v="9601.8225000000002"/>
    <n v="4601.8225000000002"/>
    <n v="4601.8225000000002"/>
    <x v="1"/>
    <n v="12.802430000000001"/>
  </r>
  <r>
    <x v="0"/>
    <x v="1"/>
    <n v="570000"/>
    <n v="153299.99"/>
    <n v="153299.99"/>
    <n v="153299.99"/>
    <x v="1"/>
    <n v="0.26894735087719296"/>
  </r>
  <r>
    <x v="0"/>
    <x v="1"/>
    <n v="74000"/>
    <n v="59218.54"/>
    <n v="31428.7"/>
    <n v="31428.7"/>
    <x v="1"/>
    <n v="0.80025054054054057"/>
  </r>
  <r>
    <x v="0"/>
    <x v="1"/>
    <n v="1161507.25"/>
    <n v="1125814.4125000001"/>
    <n v="986761.57"/>
    <n v="985224.36499999999"/>
    <x v="1"/>
    <n v="0.96927024131790829"/>
  </r>
  <r>
    <x v="0"/>
    <x v="1"/>
    <n v="172500"/>
    <n v="0"/>
    <n v="0"/>
    <n v="0"/>
    <x v="1"/>
    <n v="0"/>
  </r>
  <r>
    <x v="0"/>
    <x v="1"/>
    <n v="96250"/>
    <n v="13477.295"/>
    <n v="0"/>
    <n v="0"/>
    <x v="1"/>
    <n v="0.14002384415584415"/>
  </r>
  <r>
    <x v="0"/>
    <x v="1"/>
    <n v="25000"/>
    <n v="0"/>
    <n v="0"/>
    <n v="0"/>
    <x v="1"/>
    <n v="0"/>
  </r>
  <r>
    <x v="0"/>
    <x v="1"/>
    <n v="25000"/>
    <n v="0"/>
    <n v="0"/>
    <n v="0"/>
    <x v="1"/>
    <n v="0"/>
  </r>
  <r>
    <x v="0"/>
    <x v="1"/>
    <n v="25000"/>
    <n v="0"/>
    <n v="0"/>
    <n v="0"/>
    <x v="1"/>
    <n v="0"/>
  </r>
  <r>
    <x v="0"/>
    <x v="1"/>
    <n v="75000"/>
    <n v="0"/>
    <n v="0"/>
    <n v="0"/>
    <x v="1"/>
    <n v="0"/>
  </r>
  <r>
    <x v="0"/>
    <x v="1"/>
    <n v="22500"/>
    <n v="0"/>
    <n v="0"/>
    <n v="0"/>
    <x v="1"/>
    <n v="0"/>
  </r>
  <r>
    <x v="0"/>
    <x v="1"/>
    <n v="5055"/>
    <n v="0"/>
    <n v="0"/>
    <n v="0"/>
    <x v="1"/>
    <n v="0"/>
  </r>
  <r>
    <x v="0"/>
    <x v="1"/>
    <n v="39250"/>
    <n v="0"/>
    <n v="0"/>
    <n v="0"/>
    <x v="1"/>
    <n v="0"/>
  </r>
  <r>
    <x v="0"/>
    <x v="1"/>
    <n v="14750"/>
    <n v="0"/>
    <n v="0"/>
    <n v="0"/>
    <x v="1"/>
    <n v="0"/>
  </r>
  <r>
    <x v="0"/>
    <x v="1"/>
    <n v="10000"/>
    <n v="0"/>
    <n v="0"/>
    <n v="0"/>
    <x v="1"/>
    <n v="0"/>
  </r>
  <r>
    <x v="0"/>
    <x v="1"/>
    <n v="10000"/>
    <n v="0"/>
    <n v="0"/>
    <n v="0"/>
    <x v="1"/>
    <n v="0"/>
  </r>
  <r>
    <x v="0"/>
    <x v="1"/>
    <n v="10000"/>
    <n v="0"/>
    <n v="0"/>
    <n v="0"/>
    <x v="1"/>
    <n v="0"/>
  </r>
  <r>
    <x v="0"/>
    <x v="1"/>
    <n v="10000"/>
    <n v="0"/>
    <n v="0"/>
    <n v="0"/>
    <x v="1"/>
    <n v="0"/>
  </r>
  <r>
    <x v="0"/>
    <x v="1"/>
    <n v="25000"/>
    <n v="0"/>
    <n v="0"/>
    <n v="0"/>
    <x v="1"/>
    <n v="0"/>
  </r>
  <r>
    <x v="0"/>
    <x v="1"/>
    <n v="50500"/>
    <n v="52034.962500000001"/>
    <n v="32376.78"/>
    <n v="32376.78"/>
    <x v="1"/>
    <n v="1.030395297029703"/>
  </r>
  <r>
    <x v="0"/>
    <x v="1"/>
    <n v="258250"/>
    <n v="83419.862500000003"/>
    <n v="83249.992499999993"/>
    <n v="73364.992499999993"/>
    <x v="1"/>
    <n v="0.32301979670861569"/>
  </r>
  <r>
    <x v="0"/>
    <x v="1"/>
    <n v="414200"/>
    <n v="414689.8"/>
    <n v="414689.8"/>
    <n v="204441.9"/>
    <x v="1"/>
    <n v="1.0011825205214873"/>
  </r>
  <r>
    <x v="0"/>
    <x v="1"/>
    <n v="21625"/>
    <n v="11791.4125"/>
    <n v="11791.4125"/>
    <n v="11791.4125"/>
    <x v="1"/>
    <n v="0.54526763005780343"/>
  </r>
  <r>
    <x v="0"/>
    <x v="1"/>
    <n v="9290"/>
    <n v="2814.5425"/>
    <n v="849.25"/>
    <n v="849.25"/>
    <x v="1"/>
    <n v="0.30296474703982779"/>
  </r>
  <r>
    <x v="0"/>
    <x v="1"/>
    <n v="375"/>
    <n v="70553.835000000006"/>
    <n v="68104.395000000004"/>
    <n v="64124.055"/>
    <x v="1"/>
    <n v="188.14356000000001"/>
  </r>
  <r>
    <x v="0"/>
    <x v="1"/>
    <n v="147450"/>
    <n v="96849.955000000002"/>
    <n v="96555.955000000002"/>
    <n v="96555.955000000002"/>
    <x v="1"/>
    <n v="0.65683251949813493"/>
  </r>
  <r>
    <x v="0"/>
    <x v="1"/>
    <n v="157747.5"/>
    <n v="62311.25"/>
    <n v="58061.25"/>
    <n v="58061.25"/>
    <x v="1"/>
    <n v="0.39500626000412054"/>
  </r>
  <r>
    <x v="0"/>
    <x v="2"/>
    <n v="241300"/>
    <n v="148629.2525"/>
    <n v="135531.16500000001"/>
    <n v="135531.16500000001"/>
    <x v="1"/>
    <n v="0.61595214463323666"/>
  </r>
  <r>
    <x v="0"/>
    <x v="2"/>
    <n v="90500"/>
    <n v="0"/>
    <n v="0"/>
    <n v="0"/>
    <x v="1"/>
    <n v="0"/>
  </r>
  <r>
    <x v="0"/>
    <x v="2"/>
    <n v="200"/>
    <n v="0"/>
    <n v="0"/>
    <n v="0"/>
    <x v="1"/>
    <n v="0"/>
  </r>
  <r>
    <x v="0"/>
    <x v="2"/>
    <n v="486933"/>
    <n v="505610.99"/>
    <n v="417500.25"/>
    <n v="259776.47"/>
    <x v="1"/>
    <n v="1.0383584394567631"/>
  </r>
  <r>
    <x v="0"/>
    <x v="2"/>
    <n v="2000"/>
    <n v="0"/>
    <n v="0"/>
    <n v="0"/>
    <x v="1"/>
    <n v="0"/>
  </r>
  <r>
    <x v="0"/>
    <x v="2"/>
    <n v="37841804.5"/>
    <n v="59153096.580499999"/>
    <n v="55209064.085000001"/>
    <n v="51554555.912"/>
    <x v="1"/>
    <n v="1.5631679662765554"/>
  </r>
  <r>
    <x v="0"/>
    <x v="2"/>
    <n v="2000"/>
    <n v="0"/>
    <n v="0"/>
    <n v="0"/>
    <x v="1"/>
    <n v="0"/>
  </r>
  <r>
    <x v="0"/>
    <x v="2"/>
    <n v="150000"/>
    <n v="0"/>
    <n v="0"/>
    <n v="0"/>
    <x v="1"/>
    <n v="0"/>
  </r>
  <r>
    <x v="0"/>
    <x v="2"/>
    <n v="100000"/>
    <n v="0"/>
    <n v="0"/>
    <n v="0"/>
    <x v="1"/>
    <n v="0"/>
  </r>
  <r>
    <x v="0"/>
    <x v="2"/>
    <n v="11602500"/>
    <n v="11777855"/>
    <n v="11713000"/>
    <n v="11713000"/>
    <x v="1"/>
    <n v="1.0151135531135531"/>
  </r>
  <r>
    <x v="0"/>
    <x v="2"/>
    <n v="28262.5"/>
    <n v="1445.9690000000001"/>
    <n v="1029.0440000000001"/>
    <n v="813.45"/>
    <x v="1"/>
    <n v="5.1162105263157898E-2"/>
  </r>
  <r>
    <x v="0"/>
    <x v="2"/>
    <n v="10183"/>
    <n v="0"/>
    <n v="0"/>
    <n v="0"/>
    <x v="1"/>
    <n v="0"/>
  </r>
  <r>
    <x v="0"/>
    <x v="2"/>
    <n v="178199110"/>
    <n v="88726523.480000004"/>
    <n v="85386081.030000001"/>
    <n v="85169340.359999999"/>
    <x v="1"/>
    <n v="0.49790665890531105"/>
  </r>
  <r>
    <x v="0"/>
    <x v="2"/>
    <n v="10000"/>
    <n v="0"/>
    <n v="0"/>
    <n v="0"/>
    <x v="1"/>
    <n v="0"/>
  </r>
  <r>
    <x v="0"/>
    <x v="2"/>
    <n v="1184760"/>
    <n v="805950"/>
    <n v="738787.5"/>
    <n v="738787.5"/>
    <x v="1"/>
    <n v="0.68026435733819512"/>
  </r>
  <r>
    <x v="0"/>
    <x v="2"/>
    <n v="110000"/>
    <n v="0"/>
    <n v="0"/>
    <n v="0"/>
    <x v="1"/>
    <n v="0"/>
  </r>
  <r>
    <x v="0"/>
    <x v="2"/>
    <n v="100000"/>
    <n v="0"/>
    <n v="0"/>
    <n v="0"/>
    <x v="1"/>
    <n v="0"/>
  </r>
  <r>
    <x v="0"/>
    <x v="2"/>
    <n v="100000"/>
    <n v="0"/>
    <n v="0"/>
    <n v="0"/>
    <x v="1"/>
    <n v="0"/>
  </r>
  <r>
    <x v="0"/>
    <x v="2"/>
    <n v="50000"/>
    <n v="0"/>
    <n v="0"/>
    <n v="0"/>
    <x v="1"/>
    <n v="0"/>
  </r>
  <r>
    <x v="0"/>
    <x v="2"/>
    <n v="200000"/>
    <n v="0"/>
    <n v="0"/>
    <n v="0"/>
    <x v="1"/>
    <n v="0"/>
  </r>
  <r>
    <x v="0"/>
    <x v="2"/>
    <n v="103000"/>
    <n v="0"/>
    <n v="0"/>
    <n v="0"/>
    <x v="1"/>
    <n v="0"/>
  </r>
  <r>
    <x v="0"/>
    <x v="2"/>
    <n v="21000"/>
    <n v="0"/>
    <n v="0"/>
    <n v="0"/>
    <x v="1"/>
    <n v="0"/>
  </r>
  <r>
    <x v="0"/>
    <x v="2"/>
    <n v="100000"/>
    <n v="0"/>
    <n v="0"/>
    <n v="0"/>
    <x v="1"/>
    <n v="0"/>
  </r>
  <r>
    <x v="0"/>
    <x v="2"/>
    <n v="10000"/>
    <n v="0"/>
    <n v="0"/>
    <n v="0"/>
    <x v="1"/>
    <n v="0"/>
  </r>
  <r>
    <x v="0"/>
    <x v="2"/>
    <n v="579800"/>
    <n v="0"/>
    <n v="0"/>
    <n v="0"/>
    <x v="1"/>
    <n v="0"/>
  </r>
  <r>
    <x v="0"/>
    <x v="2"/>
    <n v="1000"/>
    <n v="0"/>
    <n v="0"/>
    <n v="0"/>
    <x v="1"/>
    <n v="0"/>
  </r>
  <r>
    <x v="0"/>
    <x v="2"/>
    <n v="140000"/>
    <n v="0"/>
    <n v="0"/>
    <n v="0"/>
    <x v="1"/>
    <n v="0"/>
  </r>
  <r>
    <x v="0"/>
    <x v="2"/>
    <n v="20000"/>
    <n v="0"/>
    <n v="0"/>
    <n v="0"/>
    <x v="1"/>
    <n v="0"/>
  </r>
  <r>
    <x v="0"/>
    <x v="2"/>
    <n v="1970976"/>
    <n v="1458394.44"/>
    <n v="1187260.8600000001"/>
    <n v="1114835.55"/>
    <x v="1"/>
    <n v="0.7399351590278116"/>
  </r>
  <r>
    <x v="0"/>
    <x v="2"/>
    <n v="7273000"/>
    <n v="4344053.3499999996"/>
    <n v="4334412.17"/>
    <n v="4334412.17"/>
    <x v="1"/>
    <n v="0.59728493743984601"/>
  </r>
  <r>
    <x v="0"/>
    <x v="2"/>
    <n v="188386"/>
    <n v="0"/>
    <n v="0"/>
    <n v="0"/>
    <x v="1"/>
    <n v="0"/>
  </r>
  <r>
    <x v="0"/>
    <x v="2"/>
    <n v="4000"/>
    <n v="0"/>
    <n v="0"/>
    <n v="0"/>
    <x v="1"/>
    <n v="0"/>
  </r>
  <r>
    <x v="0"/>
    <x v="2"/>
    <n v="3000"/>
    <n v="0"/>
    <n v="0"/>
    <n v="0"/>
    <x v="1"/>
    <n v="0"/>
  </r>
  <r>
    <x v="0"/>
    <x v="2"/>
    <n v="0"/>
    <n v="705065.72"/>
    <n v="0"/>
    <n v="0"/>
    <x v="1"/>
    <n v="0"/>
  </r>
  <r>
    <x v="0"/>
    <x v="2"/>
    <n v="1000"/>
    <n v="0"/>
    <n v="0"/>
    <n v="0"/>
    <x v="1"/>
    <n v="0"/>
  </r>
  <r>
    <x v="0"/>
    <x v="2"/>
    <n v="100000"/>
    <n v="99057.1"/>
    <n v="0"/>
    <n v="0"/>
    <x v="1"/>
    <n v="0.99057100000000009"/>
  </r>
  <r>
    <x v="0"/>
    <x v="2"/>
    <n v="1403000"/>
    <n v="2461663.94"/>
    <n v="1326623.3400000001"/>
    <n v="1326623.3400000001"/>
    <x v="1"/>
    <n v="1.754571589451176"/>
  </r>
  <r>
    <x v="0"/>
    <x v="2"/>
    <n v="1000"/>
    <n v="0"/>
    <n v="0"/>
    <n v="0"/>
    <x v="1"/>
    <n v="0"/>
  </r>
  <r>
    <x v="0"/>
    <x v="2"/>
    <n v="13282320"/>
    <n v="121552493.81999999"/>
    <n v="47596652.399999999"/>
    <n v="47545652.399999999"/>
    <x v="1"/>
    <n v="9.1514504860596642"/>
  </r>
  <r>
    <x v="0"/>
    <x v="2"/>
    <n v="9000"/>
    <n v="0"/>
    <n v="0"/>
    <n v="0"/>
    <x v="1"/>
    <n v="0"/>
  </r>
  <r>
    <x v="0"/>
    <x v="2"/>
    <n v="39900000"/>
    <n v="192673031.81999999"/>
    <n v="39616702.759999998"/>
    <n v="39616702.759999998"/>
    <x v="1"/>
    <n v="4.8288980406015032"/>
  </r>
  <r>
    <x v="0"/>
    <x v="2"/>
    <n v="43891369"/>
    <n v="43159800"/>
    <n v="42995510"/>
    <n v="42995510"/>
    <x v="1"/>
    <n v="0.98333228111431203"/>
  </r>
  <r>
    <x v="0"/>
    <x v="2"/>
    <n v="2667104"/>
    <n v="3796974"/>
    <n v="3796974"/>
    <n v="3796974"/>
    <x v="1"/>
    <n v="1.4236317743890001"/>
  </r>
  <r>
    <x v="0"/>
    <x v="2"/>
    <n v="1258869910"/>
    <n v="1342164307.2"/>
    <n v="1211539877.6600001"/>
    <n v="1192456374.4300001"/>
    <x v="1"/>
    <n v="1.066166008527442"/>
  </r>
  <r>
    <x v="0"/>
    <x v="2"/>
    <n v="1000"/>
    <n v="0"/>
    <n v="0"/>
    <n v="0"/>
    <x v="1"/>
    <n v="0"/>
  </r>
  <r>
    <x v="0"/>
    <x v="2"/>
    <n v="18534926"/>
    <n v="0"/>
    <n v="0"/>
    <n v="0"/>
    <x v="1"/>
    <n v="0"/>
  </r>
  <r>
    <x v="0"/>
    <x v="2"/>
    <n v="26000"/>
    <n v="0"/>
    <n v="0"/>
    <n v="0"/>
    <x v="1"/>
    <n v="0"/>
  </r>
  <r>
    <x v="0"/>
    <x v="2"/>
    <n v="2000"/>
    <n v="0"/>
    <n v="0"/>
    <n v="0"/>
    <x v="1"/>
    <n v="0"/>
  </r>
  <r>
    <x v="0"/>
    <x v="2"/>
    <n v="3000"/>
    <n v="0"/>
    <n v="0"/>
    <n v="0"/>
    <x v="1"/>
    <n v="0"/>
  </r>
  <r>
    <x v="0"/>
    <x v="2"/>
    <n v="42000"/>
    <n v="0"/>
    <n v="0"/>
    <n v="0"/>
    <x v="1"/>
    <n v="0"/>
  </r>
  <r>
    <x v="0"/>
    <x v="2"/>
    <n v="42000"/>
    <n v="0"/>
    <n v="0"/>
    <n v="0"/>
    <x v="1"/>
    <n v="0"/>
  </r>
  <r>
    <x v="0"/>
    <x v="2"/>
    <n v="42000"/>
    <n v="0"/>
    <n v="0"/>
    <n v="0"/>
    <x v="1"/>
    <n v="0"/>
  </r>
  <r>
    <x v="0"/>
    <x v="2"/>
    <n v="102305"/>
    <n v="0"/>
    <n v="0"/>
    <n v="0"/>
    <x v="1"/>
    <n v="0"/>
  </r>
  <r>
    <x v="0"/>
    <x v="2"/>
    <n v="100000"/>
    <n v="0"/>
    <n v="0"/>
    <n v="0"/>
    <x v="1"/>
    <n v="0"/>
  </r>
  <r>
    <x v="0"/>
    <x v="2"/>
    <n v="22000"/>
    <n v="21190"/>
    <n v="0"/>
    <n v="0"/>
    <x v="1"/>
    <n v="0.96318181818181814"/>
  </r>
  <r>
    <x v="0"/>
    <x v="2"/>
    <n v="22000"/>
    <n v="21190"/>
    <n v="0"/>
    <n v="0"/>
    <x v="1"/>
    <n v="0.96318181818181814"/>
  </r>
  <r>
    <x v="0"/>
    <x v="2"/>
    <n v="22000"/>
    <n v="21190"/>
    <n v="0"/>
    <n v="0"/>
    <x v="1"/>
    <n v="0.96318181818181814"/>
  </r>
  <r>
    <x v="0"/>
    <x v="2"/>
    <n v="22000"/>
    <n v="21190"/>
    <n v="0"/>
    <n v="0"/>
    <x v="1"/>
    <n v="0.96318181818181814"/>
  </r>
  <r>
    <x v="0"/>
    <x v="2"/>
    <n v="22000"/>
    <n v="21190"/>
    <n v="0"/>
    <n v="0"/>
    <x v="1"/>
    <n v="0.96318181818181814"/>
  </r>
  <r>
    <x v="0"/>
    <x v="2"/>
    <n v="22000"/>
    <n v="21190"/>
    <n v="0"/>
    <n v="0"/>
    <x v="1"/>
    <n v="0.96318181818181814"/>
  </r>
  <r>
    <x v="0"/>
    <x v="2"/>
    <n v="22000"/>
    <n v="21190"/>
    <n v="0"/>
    <n v="0"/>
    <x v="1"/>
    <n v="0.96318181818181814"/>
  </r>
  <r>
    <x v="0"/>
    <x v="2"/>
    <n v="22000"/>
    <n v="21190"/>
    <n v="0"/>
    <n v="0"/>
    <x v="1"/>
    <n v="0.96318181818181814"/>
  </r>
  <r>
    <x v="0"/>
    <x v="2"/>
    <n v="50000"/>
    <n v="48005"/>
    <n v="0"/>
    <n v="0"/>
    <x v="1"/>
    <n v="0.96009999999999995"/>
  </r>
  <r>
    <x v="0"/>
    <x v="2"/>
    <n v="50000"/>
    <n v="48340"/>
    <n v="0"/>
    <n v="0"/>
    <x v="1"/>
    <n v="0.96679999999999999"/>
  </r>
  <r>
    <x v="0"/>
    <x v="2"/>
    <n v="50000"/>
    <n v="48340"/>
    <n v="0"/>
    <n v="0"/>
    <x v="1"/>
    <n v="0.96679999999999999"/>
  </r>
  <r>
    <x v="0"/>
    <x v="2"/>
    <n v="50000"/>
    <n v="48340"/>
    <n v="0"/>
    <n v="0"/>
    <x v="1"/>
    <n v="0.96679999999999999"/>
  </r>
  <r>
    <x v="0"/>
    <x v="2"/>
    <n v="90000"/>
    <n v="89980"/>
    <n v="0"/>
    <n v="0"/>
    <x v="1"/>
    <n v="0.99977777777777777"/>
  </r>
  <r>
    <x v="0"/>
    <x v="2"/>
    <n v="22000"/>
    <n v="21190"/>
    <n v="0"/>
    <n v="0"/>
    <x v="1"/>
    <n v="0.96318181818181814"/>
  </r>
  <r>
    <x v="0"/>
    <x v="2"/>
    <n v="22000"/>
    <n v="21190"/>
    <n v="0"/>
    <n v="0"/>
    <x v="1"/>
    <n v="0.96318181818181814"/>
  </r>
  <r>
    <x v="0"/>
    <x v="2"/>
    <n v="22000"/>
    <n v="21190"/>
    <n v="0"/>
    <n v="0"/>
    <x v="1"/>
    <n v="0.96318181818181814"/>
  </r>
  <r>
    <x v="0"/>
    <x v="2"/>
    <n v="22000"/>
    <n v="21190"/>
    <n v="0"/>
    <n v="0"/>
    <x v="1"/>
    <n v="0.96318181818181814"/>
  </r>
  <r>
    <x v="0"/>
    <x v="2"/>
    <n v="22000"/>
    <n v="21190"/>
    <n v="0"/>
    <n v="0"/>
    <x v="1"/>
    <n v="0.96318181818181814"/>
  </r>
  <r>
    <x v="0"/>
    <x v="2"/>
    <n v="22000"/>
    <n v="21190"/>
    <n v="0"/>
    <n v="0"/>
    <x v="1"/>
    <n v="0.96318181818181814"/>
  </r>
  <r>
    <x v="0"/>
    <x v="2"/>
    <n v="22000"/>
    <n v="21190"/>
    <n v="0"/>
    <n v="0"/>
    <x v="1"/>
    <n v="0.96318181818181814"/>
  </r>
  <r>
    <x v="0"/>
    <x v="2"/>
    <n v="22000"/>
    <n v="21190"/>
    <n v="0"/>
    <n v="0"/>
    <x v="1"/>
    <n v="0.96318181818181814"/>
  </r>
  <r>
    <x v="0"/>
    <x v="2"/>
    <n v="25000"/>
    <n v="0"/>
    <n v="0"/>
    <n v="0"/>
    <x v="1"/>
    <n v="0"/>
  </r>
  <r>
    <x v="0"/>
    <x v="2"/>
    <n v="440000"/>
    <n v="0"/>
    <n v="0"/>
    <n v="0"/>
    <x v="1"/>
    <n v="0"/>
  </r>
  <r>
    <x v="0"/>
    <x v="2"/>
    <n v="1000"/>
    <n v="0"/>
    <n v="0"/>
    <n v="0"/>
    <x v="1"/>
    <n v="0"/>
  </r>
  <r>
    <x v="0"/>
    <x v="2"/>
    <n v="13132668"/>
    <n v="31865680.199999999"/>
    <n v="27451591.960000001"/>
    <n v="26229292.039999999"/>
    <x v="1"/>
    <n v="2.4264437508052437"/>
  </r>
  <r>
    <x v="0"/>
    <x v="2"/>
    <n v="3717000"/>
    <n v="1496169.36"/>
    <n v="1381666.59"/>
    <n v="1381666.59"/>
    <x v="1"/>
    <n v="0.40252067796610175"/>
  </r>
  <r>
    <x v="0"/>
    <x v="2"/>
    <n v="1000"/>
    <n v="0"/>
    <n v="0"/>
    <n v="0"/>
    <x v="1"/>
    <n v="0"/>
  </r>
  <r>
    <x v="0"/>
    <x v="2"/>
    <n v="1000"/>
    <n v="0"/>
    <n v="0"/>
    <n v="0"/>
    <x v="1"/>
    <n v="0"/>
  </r>
  <r>
    <x v="0"/>
    <x v="2"/>
    <n v="308000"/>
    <n v="720357.06"/>
    <n v="720357.06"/>
    <n v="720357.06"/>
    <x v="1"/>
    <n v="2.3388216233766235"/>
  </r>
  <r>
    <x v="0"/>
    <x v="2"/>
    <n v="80000"/>
    <n v="0"/>
    <n v="0"/>
    <n v="0"/>
    <x v="1"/>
    <n v="0"/>
  </r>
  <r>
    <x v="0"/>
    <x v="2"/>
    <n v="1000"/>
    <n v="0"/>
    <n v="0"/>
    <n v="0"/>
    <x v="1"/>
    <n v="0"/>
  </r>
  <r>
    <x v="0"/>
    <x v="2"/>
    <n v="1000"/>
    <n v="0"/>
    <n v="0"/>
    <n v="0"/>
    <x v="1"/>
    <n v="0"/>
  </r>
  <r>
    <x v="0"/>
    <x v="2"/>
    <n v="5584943"/>
    <n v="5295906.5999999996"/>
    <n v="317898.71999999997"/>
    <n v="317898.71999999997"/>
    <x v="1"/>
    <n v="0.94824720682019492"/>
  </r>
  <r>
    <x v="0"/>
    <x v="2"/>
    <n v="25000"/>
    <n v="23535"/>
    <n v="0"/>
    <n v="0"/>
    <x v="1"/>
    <n v="0.94140000000000001"/>
  </r>
  <r>
    <x v="0"/>
    <x v="2"/>
    <n v="293692"/>
    <n v="3251230.19"/>
    <n v="3251230.19"/>
    <n v="3251230.19"/>
    <x v="1"/>
    <n v="11.070203444424772"/>
  </r>
  <r>
    <x v="0"/>
    <x v="2"/>
    <n v="80000"/>
    <n v="0"/>
    <n v="0"/>
    <n v="0"/>
    <x v="1"/>
    <n v="0"/>
  </r>
  <r>
    <x v="0"/>
    <x v="2"/>
    <n v="80000"/>
    <n v="0"/>
    <n v="0"/>
    <n v="0"/>
    <x v="1"/>
    <n v="0"/>
  </r>
  <r>
    <x v="0"/>
    <x v="2"/>
    <n v="80000"/>
    <n v="0"/>
    <n v="0"/>
    <n v="0"/>
    <x v="1"/>
    <n v="0"/>
  </r>
  <r>
    <x v="0"/>
    <x v="2"/>
    <n v="80000"/>
    <n v="0"/>
    <n v="0"/>
    <n v="0"/>
    <x v="1"/>
    <n v="0"/>
  </r>
  <r>
    <x v="0"/>
    <x v="2"/>
    <n v="15000"/>
    <n v="0"/>
    <n v="0"/>
    <n v="0"/>
    <x v="1"/>
    <n v="0"/>
  </r>
  <r>
    <x v="0"/>
    <x v="2"/>
    <n v="644610"/>
    <n v="0"/>
    <n v="0"/>
    <n v="0"/>
    <x v="1"/>
    <n v="0"/>
  </r>
  <r>
    <x v="0"/>
    <x v="2"/>
    <n v="60000"/>
    <n v="0"/>
    <n v="0"/>
    <n v="0"/>
    <x v="1"/>
    <n v="0"/>
  </r>
  <r>
    <x v="0"/>
    <x v="2"/>
    <n v="10000"/>
    <n v="0"/>
    <n v="0"/>
    <n v="0"/>
    <x v="1"/>
    <n v="0"/>
  </r>
  <r>
    <x v="0"/>
    <x v="2"/>
    <n v="80000"/>
    <n v="0"/>
    <n v="0"/>
    <n v="0"/>
    <x v="1"/>
    <n v="0"/>
  </r>
  <r>
    <x v="0"/>
    <x v="2"/>
    <n v="80000"/>
    <n v="0"/>
    <n v="0"/>
    <n v="0"/>
    <x v="1"/>
    <n v="0"/>
  </r>
  <r>
    <x v="0"/>
    <x v="2"/>
    <n v="200000"/>
    <n v="0"/>
    <n v="0"/>
    <n v="0"/>
    <x v="1"/>
    <n v="0"/>
  </r>
  <r>
    <x v="0"/>
    <x v="2"/>
    <n v="78000"/>
    <n v="0"/>
    <n v="0"/>
    <n v="0"/>
    <x v="1"/>
    <n v="0"/>
  </r>
  <r>
    <x v="0"/>
    <x v="2"/>
    <n v="80000"/>
    <n v="0"/>
    <n v="0"/>
    <n v="0"/>
    <x v="1"/>
    <n v="0"/>
  </r>
  <r>
    <x v="0"/>
    <x v="2"/>
    <n v="100000"/>
    <n v="0"/>
    <n v="0"/>
    <n v="0"/>
    <x v="1"/>
    <n v="0"/>
  </r>
  <r>
    <x v="0"/>
    <x v="2"/>
    <n v="69610"/>
    <n v="0"/>
    <n v="0"/>
    <n v="0"/>
    <x v="1"/>
    <n v="0"/>
  </r>
  <r>
    <x v="0"/>
    <x v="2"/>
    <n v="69610"/>
    <n v="0"/>
    <n v="0"/>
    <n v="0"/>
    <x v="1"/>
    <n v="0"/>
  </r>
  <r>
    <x v="0"/>
    <x v="2"/>
    <n v="604000"/>
    <n v="195399.37"/>
    <n v="195399.37"/>
    <n v="195399.37"/>
    <x v="1"/>
    <n v="0.32350889072847683"/>
  </r>
  <r>
    <x v="0"/>
    <x v="2"/>
    <n v="8451528"/>
    <n v="64383465.969999999"/>
    <n v="17897637.170000002"/>
    <n v="17897637.170000002"/>
    <x v="1"/>
    <n v="7.6179675403075038"/>
  </r>
  <r>
    <x v="0"/>
    <x v="2"/>
    <n v="9000"/>
    <n v="0"/>
    <n v="0"/>
    <n v="0"/>
    <x v="1"/>
    <n v="0"/>
  </r>
  <r>
    <x v="0"/>
    <x v="2"/>
    <n v="2475000"/>
    <n v="48972071.689999998"/>
    <n v="3689883.55"/>
    <n v="3689883.55"/>
    <x v="1"/>
    <n v="19.78669563232323"/>
  </r>
  <r>
    <x v="0"/>
    <x v="2"/>
    <n v="60924"/>
    <n v="1099500"/>
    <n v="1099500"/>
    <n v="1099500"/>
    <x v="1"/>
    <n v="18.047075044317509"/>
  </r>
  <r>
    <x v="0"/>
    <x v="2"/>
    <n v="2248429"/>
    <n v="1158656.3999999999"/>
    <n v="1158656.3999999999"/>
    <n v="1158656.3999999999"/>
    <x v="1"/>
    <n v="0.51531820662338013"/>
  </r>
  <r>
    <x v="0"/>
    <x v="2"/>
    <n v="667284594"/>
    <n v="739519601.13999999"/>
    <n v="682861257.99000001"/>
    <n v="671640272.63"/>
    <x v="1"/>
    <n v="1.1082521727453518"/>
  </r>
  <r>
    <x v="0"/>
    <x v="2"/>
    <n v="9000"/>
    <n v="0"/>
    <n v="0"/>
    <n v="0"/>
    <x v="1"/>
    <n v="0"/>
  </r>
  <r>
    <x v="0"/>
    <x v="2"/>
    <n v="294071411"/>
    <n v="263670845.16999999"/>
    <n v="251084699.06"/>
    <n v="249614868.81999999"/>
    <x v="1"/>
    <n v="0.89662182486008468"/>
  </r>
  <r>
    <x v="0"/>
    <x v="2"/>
    <n v="2000"/>
    <n v="0"/>
    <n v="0"/>
    <n v="0"/>
    <x v="1"/>
    <n v="0"/>
  </r>
  <r>
    <x v="0"/>
    <x v="2"/>
    <n v="3000"/>
    <n v="0"/>
    <n v="0"/>
    <n v="0"/>
    <x v="1"/>
    <n v="0"/>
  </r>
  <r>
    <x v="0"/>
    <x v="2"/>
    <n v="28000"/>
    <n v="0"/>
    <n v="0"/>
    <n v="0"/>
    <x v="1"/>
    <n v="0"/>
  </r>
  <r>
    <x v="0"/>
    <x v="2"/>
    <n v="25000"/>
    <n v="0"/>
    <n v="0"/>
    <n v="0"/>
    <x v="1"/>
    <n v="0"/>
  </r>
  <r>
    <x v="0"/>
    <x v="2"/>
    <n v="22000"/>
    <n v="21190"/>
    <n v="0"/>
    <n v="0"/>
    <x v="1"/>
    <n v="0.96318181818181814"/>
  </r>
  <r>
    <x v="0"/>
    <x v="2"/>
    <n v="22000"/>
    <n v="21190"/>
    <n v="0"/>
    <n v="0"/>
    <x v="1"/>
    <n v="0.96318181818181814"/>
  </r>
  <r>
    <x v="0"/>
    <x v="2"/>
    <n v="22000"/>
    <n v="21190"/>
    <n v="0"/>
    <n v="0"/>
    <x v="1"/>
    <n v="0.96318181818181814"/>
  </r>
  <r>
    <x v="0"/>
    <x v="2"/>
    <n v="22000"/>
    <n v="21190"/>
    <n v="0"/>
    <n v="0"/>
    <x v="1"/>
    <n v="0.96318181818181814"/>
  </r>
  <r>
    <x v="0"/>
    <x v="2"/>
    <n v="22000"/>
    <n v="21190"/>
    <n v="0"/>
    <n v="0"/>
    <x v="1"/>
    <n v="0.96318181818181814"/>
  </r>
  <r>
    <x v="0"/>
    <x v="2"/>
    <n v="22000"/>
    <n v="21190"/>
    <n v="0"/>
    <n v="0"/>
    <x v="1"/>
    <n v="0.96318181818181814"/>
  </r>
  <r>
    <x v="0"/>
    <x v="2"/>
    <n v="22000"/>
    <n v="21190"/>
    <n v="0"/>
    <n v="0"/>
    <x v="1"/>
    <n v="0.96318181818181814"/>
  </r>
  <r>
    <x v="0"/>
    <x v="2"/>
    <n v="22000"/>
    <n v="21190"/>
    <n v="0"/>
    <n v="0"/>
    <x v="1"/>
    <n v="0.96318181818181814"/>
  </r>
  <r>
    <x v="0"/>
    <x v="2"/>
    <n v="22000"/>
    <n v="21190"/>
    <n v="0"/>
    <n v="0"/>
    <x v="1"/>
    <n v="0.96318181818181814"/>
  </r>
  <r>
    <x v="0"/>
    <x v="2"/>
    <n v="22000"/>
    <n v="21190"/>
    <n v="0"/>
    <n v="0"/>
    <x v="1"/>
    <n v="0.96318181818181814"/>
  </r>
  <r>
    <x v="0"/>
    <x v="2"/>
    <n v="22000"/>
    <n v="21190"/>
    <n v="0"/>
    <n v="0"/>
    <x v="1"/>
    <n v="0.96318181818181814"/>
  </r>
  <r>
    <x v="0"/>
    <x v="2"/>
    <n v="22000"/>
    <n v="21190"/>
    <n v="0"/>
    <n v="0"/>
    <x v="1"/>
    <n v="0.96318181818181814"/>
  </r>
  <r>
    <x v="0"/>
    <x v="2"/>
    <n v="22000"/>
    <n v="21190"/>
    <n v="0"/>
    <n v="0"/>
    <x v="1"/>
    <n v="0.96318181818181814"/>
  </r>
  <r>
    <x v="0"/>
    <x v="2"/>
    <n v="22000"/>
    <n v="21190"/>
    <n v="0"/>
    <n v="0"/>
    <x v="1"/>
    <n v="0.96318181818181814"/>
  </r>
  <r>
    <x v="0"/>
    <x v="2"/>
    <n v="22000"/>
    <n v="21190"/>
    <n v="0"/>
    <n v="0"/>
    <x v="1"/>
    <n v="0.96318181818181814"/>
  </r>
  <r>
    <x v="0"/>
    <x v="2"/>
    <n v="2238516"/>
    <n v="189567.9"/>
    <n v="189567.9"/>
    <n v="189567.9"/>
    <x v="1"/>
    <n v="8.4684630353323354E-2"/>
  </r>
  <r>
    <x v="0"/>
    <x v="2"/>
    <n v="3600000"/>
    <n v="777322.84"/>
    <n v="700987.72"/>
    <n v="700987.72"/>
    <x v="1"/>
    <n v="0.21592301111111109"/>
  </r>
  <r>
    <x v="0"/>
    <x v="2"/>
    <n v="1000"/>
    <n v="0"/>
    <n v="0"/>
    <n v="0"/>
    <x v="1"/>
    <n v="0"/>
  </r>
  <r>
    <x v="0"/>
    <x v="2"/>
    <n v="1000"/>
    <n v="0"/>
    <n v="0"/>
    <n v="0"/>
    <x v="1"/>
    <n v="0"/>
  </r>
  <r>
    <x v="0"/>
    <x v="2"/>
    <n v="1000"/>
    <n v="0"/>
    <n v="0"/>
    <n v="0"/>
    <x v="1"/>
    <n v="0"/>
  </r>
  <r>
    <x v="0"/>
    <x v="2"/>
    <n v="607100"/>
    <n v="618441.43000000005"/>
    <n v="618441.43000000005"/>
    <n v="618441.43000000005"/>
    <x v="1"/>
    <n v="1.0186813210344261"/>
  </r>
  <r>
    <x v="0"/>
    <x v="2"/>
    <n v="1000"/>
    <n v="0"/>
    <n v="0"/>
    <n v="0"/>
    <x v="1"/>
    <n v="0"/>
  </r>
  <r>
    <x v="0"/>
    <x v="2"/>
    <n v="1000"/>
    <n v="0"/>
    <n v="0"/>
    <n v="0"/>
    <x v="1"/>
    <n v="0"/>
  </r>
  <r>
    <x v="0"/>
    <x v="2"/>
    <n v="1000000"/>
    <n v="0"/>
    <n v="0"/>
    <n v="0"/>
    <x v="1"/>
    <n v="0"/>
  </r>
  <r>
    <x v="0"/>
    <x v="2"/>
    <n v="1000"/>
    <n v="0"/>
    <n v="0"/>
    <n v="0"/>
    <x v="1"/>
    <n v="0"/>
  </r>
  <r>
    <x v="0"/>
    <x v="2"/>
    <n v="1000"/>
    <n v="0"/>
    <n v="0"/>
    <n v="0"/>
    <x v="1"/>
    <n v="0"/>
  </r>
  <r>
    <x v="0"/>
    <x v="2"/>
    <n v="1800000"/>
    <n v="1407590.3999999999"/>
    <n v="0"/>
    <n v="0"/>
    <x v="1"/>
    <n v="0.78199466666666662"/>
  </r>
  <r>
    <x v="0"/>
    <x v="2"/>
    <n v="750"/>
    <n v="0"/>
    <n v="0"/>
    <n v="0"/>
    <x v="1"/>
    <n v="0"/>
  </r>
  <r>
    <x v="0"/>
    <x v="2"/>
    <n v="19305.75"/>
    <n v="391993.5"/>
    <n v="156642.5"/>
    <n v="156642.5"/>
    <x v="1"/>
    <n v="20.304494774872772"/>
  </r>
  <r>
    <x v="0"/>
    <x v="2"/>
    <n v="250"/>
    <n v="0"/>
    <n v="0"/>
    <n v="0"/>
    <x v="1"/>
    <n v="0"/>
  </r>
  <r>
    <x v="0"/>
    <x v="2"/>
    <n v="18750"/>
    <n v="350373.185"/>
    <n v="0"/>
    <n v="0"/>
    <x v="1"/>
    <n v="18.686569866666666"/>
  </r>
  <r>
    <x v="0"/>
    <x v="2"/>
    <n v="17157.5"/>
    <n v="42363.75"/>
    <n v="42363.75"/>
    <n v="42363.75"/>
    <x v="1"/>
    <n v="2.469109718781874"/>
  </r>
  <r>
    <x v="0"/>
    <x v="2"/>
    <n v="3876.75"/>
    <n v="1723.5"/>
    <n v="1723.5"/>
    <n v="1723.5"/>
    <x v="1"/>
    <n v="0.44457341845618109"/>
  </r>
  <r>
    <x v="0"/>
    <x v="2"/>
    <n v="7857521.25"/>
    <n v="6566445.8499999996"/>
    <n v="6288697.7699999996"/>
    <n v="6288697.7699999996"/>
    <x v="1"/>
    <n v="0.83568922578478544"/>
  </r>
  <r>
    <x v="0"/>
    <x v="2"/>
    <n v="144597"/>
    <n v="0"/>
    <n v="0"/>
    <n v="0"/>
    <x v="1"/>
    <n v="0"/>
  </r>
  <r>
    <x v="0"/>
    <x v="2"/>
    <n v="231669"/>
    <n v="1880304"/>
    <n v="541974"/>
    <n v="541974"/>
    <x v="1"/>
    <n v="8.1163383965916882"/>
  </r>
  <r>
    <x v="0"/>
    <x v="2"/>
    <n v="3000"/>
    <n v="0"/>
    <n v="0"/>
    <n v="0"/>
    <x v="1"/>
    <n v="0"/>
  </r>
  <r>
    <x v="0"/>
    <x v="2"/>
    <n v="225000"/>
    <n v="4007967.67"/>
    <n v="573939.30000000005"/>
    <n v="573939.30000000005"/>
    <x v="1"/>
    <n v="17.813189644444446"/>
  </r>
  <r>
    <x v="0"/>
    <x v="2"/>
    <n v="605372"/>
    <n v="604419"/>
    <n v="604419"/>
    <n v="604419"/>
    <x v="1"/>
    <n v="0.9984257613500459"/>
  </r>
  <r>
    <x v="0"/>
    <x v="2"/>
    <n v="46521"/>
    <n v="21114"/>
    <n v="21114"/>
    <n v="21114"/>
    <x v="1"/>
    <n v="0.4538595473012188"/>
  </r>
  <r>
    <x v="0"/>
    <x v="2"/>
    <n v="12000"/>
    <n v="0"/>
    <n v="0"/>
    <n v="0"/>
    <x v="1"/>
    <n v="0"/>
  </r>
  <r>
    <x v="0"/>
    <x v="2"/>
    <n v="344003"/>
    <n v="17415.560000000001"/>
    <n v="17415.560000000001"/>
    <n v="17415.560000000001"/>
    <x v="1"/>
    <n v="5.0626186399537219E-2"/>
  </r>
  <r>
    <x v="0"/>
    <x v="2"/>
    <n v="7970107"/>
    <n v="0"/>
    <n v="0"/>
    <n v="0"/>
    <x v="1"/>
    <n v="0"/>
  </r>
  <r>
    <x v="0"/>
    <x v="2"/>
    <n v="480000"/>
    <n v="272250"/>
    <n v="240000"/>
    <n v="240000"/>
    <x v="1"/>
    <n v="0.56718749999999996"/>
  </r>
  <r>
    <x v="0"/>
    <x v="2"/>
    <n v="9000"/>
    <n v="0"/>
    <n v="0"/>
    <n v="0"/>
    <x v="1"/>
    <n v="0"/>
  </r>
  <r>
    <x v="0"/>
    <x v="2"/>
    <n v="6330897"/>
    <n v="5686946.1399999997"/>
    <n v="5686946.1399999997"/>
    <n v="5189114.92"/>
    <x v="1"/>
    <n v="0.89828442004347875"/>
  </r>
  <r>
    <x v="0"/>
    <x v="2"/>
    <n v="9000"/>
    <n v="0"/>
    <n v="0"/>
    <n v="0"/>
    <x v="1"/>
    <n v="0"/>
  </r>
  <r>
    <x v="0"/>
    <x v="2"/>
    <n v="25000"/>
    <n v="0"/>
    <n v="0"/>
    <n v="0"/>
    <x v="1"/>
    <n v="0"/>
  </r>
  <r>
    <x v="0"/>
    <x v="2"/>
    <n v="1550"/>
    <n v="1692.1724999999999"/>
    <n v="1691.8125"/>
    <n v="1691.8125"/>
    <x v="1"/>
    <n v="1.091724193548387"/>
  </r>
  <r>
    <x v="0"/>
    <x v="2"/>
    <n v="8376.5"/>
    <n v="0"/>
    <n v="0"/>
    <n v="0"/>
    <x v="1"/>
    <n v="0"/>
  </r>
  <r>
    <x v="0"/>
    <x v="2"/>
    <n v="1650"/>
    <n v="0"/>
    <n v="0"/>
    <n v="0"/>
    <x v="1"/>
    <n v="0"/>
  </r>
  <r>
    <x v="0"/>
    <x v="2"/>
    <n v="19805"/>
    <n v="17638.762500000001"/>
    <n v="0"/>
    <n v="0"/>
    <x v="1"/>
    <n v="0.89062168644281747"/>
  </r>
  <r>
    <x v="0"/>
    <x v="2"/>
    <n v="16250"/>
    <n v="0"/>
    <n v="0"/>
    <n v="0"/>
    <x v="1"/>
    <n v="0"/>
  </r>
  <r>
    <x v="0"/>
    <x v="2"/>
    <n v="125000"/>
    <n v="0"/>
    <n v="0"/>
    <n v="0"/>
    <x v="1"/>
    <n v="0"/>
  </r>
  <r>
    <x v="0"/>
    <x v="2"/>
    <n v="12500"/>
    <n v="0"/>
    <n v="0"/>
    <n v="0"/>
    <x v="1"/>
    <n v="0"/>
  </r>
  <r>
    <x v="0"/>
    <x v="2"/>
    <n v="86738.75"/>
    <n v="59152.855000000003"/>
    <n v="57470.462500000001"/>
    <n v="57470.462500000001"/>
    <x v="1"/>
    <n v="0.68196573042613595"/>
  </r>
  <r>
    <x v="0"/>
    <x v="2"/>
    <n v="30600"/>
    <n v="0"/>
    <n v="0"/>
    <n v="0"/>
    <x v="1"/>
    <n v="0"/>
  </r>
  <r>
    <x v="0"/>
    <x v="2"/>
    <n v="762363.3"/>
    <n v="711384.04"/>
    <n v="594517.71"/>
    <n v="594517.71"/>
    <x v="1"/>
    <n v="0.93312996572631446"/>
  </r>
  <r>
    <x v="0"/>
    <x v="2"/>
    <n v="297500"/>
    <n v="0"/>
    <n v="0"/>
    <n v="0"/>
    <x v="1"/>
    <n v="0"/>
  </r>
  <r>
    <x v="2"/>
    <x v="6"/>
    <n v="4500"/>
    <n v="0"/>
    <n v="0"/>
    <n v="0"/>
    <x v="1"/>
    <n v="0"/>
  </r>
  <r>
    <x v="2"/>
    <x v="6"/>
    <n v="3250"/>
    <n v="0"/>
    <n v="0"/>
    <n v="0"/>
    <x v="1"/>
    <n v="0"/>
  </r>
  <r>
    <x v="2"/>
    <x v="6"/>
    <n v="10573915.5"/>
    <n v="13815578.327500001"/>
    <n v="13558802.9625"/>
    <n v="13533222.727499999"/>
    <x v="1"/>
    <n v="1.3065716599967157"/>
  </r>
  <r>
    <x v="2"/>
    <x v="6"/>
    <n v="348689.75"/>
    <n v="349263.35999999999"/>
    <n v="349263.35999999999"/>
    <n v="349263.35999999999"/>
    <x v="1"/>
    <n v="1.0016450440542057"/>
  </r>
  <r>
    <x v="2"/>
    <x v="6"/>
    <n v="935980.5"/>
    <n v="804248.65749999997"/>
    <n v="804248.65749999997"/>
    <n v="804248.65749999997"/>
    <x v="1"/>
    <n v="0.85925791990324585"/>
  </r>
  <r>
    <x v="2"/>
    <x v="6"/>
    <n v="4005633"/>
    <n v="4003631.16"/>
    <n v="4003631.16"/>
    <n v="4003631.16"/>
    <x v="1"/>
    <n v="0.99950024378169444"/>
  </r>
  <r>
    <x v="2"/>
    <x v="6"/>
    <n v="644000"/>
    <n v="0"/>
    <n v="0"/>
    <n v="0"/>
    <x v="1"/>
    <n v="0"/>
  </r>
  <r>
    <x v="2"/>
    <x v="6"/>
    <n v="644610"/>
    <n v="0"/>
    <n v="0"/>
    <n v="0"/>
    <x v="1"/>
    <n v="0"/>
  </r>
  <r>
    <x v="2"/>
    <x v="6"/>
    <n v="275927"/>
    <n v="0"/>
    <n v="0"/>
    <n v="0"/>
    <x v="1"/>
    <n v="0"/>
  </r>
  <r>
    <x v="2"/>
    <x v="6"/>
    <n v="26359307"/>
    <n v="24877865.489999998"/>
    <n v="24672358.370000001"/>
    <n v="24671570.25"/>
    <x v="1"/>
    <n v="0.94379816168915209"/>
  </r>
  <r>
    <x v="2"/>
    <x v="6"/>
    <n v="1092955"/>
    <n v="1160742.18"/>
    <n v="1160742.18"/>
    <n v="982166.46"/>
    <x v="1"/>
    <n v="1.062021931369544"/>
  </r>
  <r>
    <x v="2"/>
    <x v="6"/>
    <n v="25000"/>
    <n v="0"/>
    <n v="0"/>
    <n v="0"/>
    <x v="1"/>
    <n v="0"/>
  </r>
  <r>
    <x v="2"/>
    <x v="6"/>
    <n v="7500"/>
    <n v="0"/>
    <n v="0"/>
    <n v="0"/>
    <x v="1"/>
    <n v="0"/>
  </r>
  <r>
    <x v="2"/>
    <x v="6"/>
    <n v="873370"/>
    <n v="416854.48"/>
    <n v="416235.43"/>
    <n v="415693.06"/>
    <x v="1"/>
    <n v="0.47729425100472878"/>
  </r>
  <r>
    <x v="2"/>
    <x v="6"/>
    <n v="356400"/>
    <n v="346632"/>
    <n v="345420"/>
    <n v="345420"/>
    <x v="1"/>
    <n v="0.97259259259259256"/>
  </r>
  <r>
    <x v="2"/>
    <x v="6"/>
    <n v="739200"/>
    <n v="578124"/>
    <n v="576912"/>
    <n v="576912"/>
    <x v="1"/>
    <n v="0.78209415584415587"/>
  </r>
  <r>
    <x v="2"/>
    <x v="6"/>
    <n v="581764"/>
    <n v="601909.55000000005"/>
    <n v="56315.26"/>
    <n v="50726.48"/>
    <x v="1"/>
    <n v="1.03462838883121"/>
  </r>
  <r>
    <x v="2"/>
    <x v="6"/>
    <n v="11400"/>
    <n v="0"/>
    <n v="0"/>
    <n v="0"/>
    <x v="1"/>
    <n v="0"/>
  </r>
  <r>
    <x v="2"/>
    <x v="6"/>
    <n v="1108761"/>
    <n v="806670.55"/>
    <n v="802308.89"/>
    <n v="801581.35"/>
    <x v="1"/>
    <n v="0.72754231976052552"/>
  </r>
  <r>
    <x v="2"/>
    <x v="6"/>
    <n v="675198.25"/>
    <n v="226273.255"/>
    <n v="113733.0675"/>
    <n v="113733.0675"/>
    <x v="1"/>
    <n v="0.33512121069626588"/>
  </r>
  <r>
    <x v="2"/>
    <x v="6"/>
    <n v="5000"/>
    <n v="0"/>
    <n v="0"/>
    <n v="0"/>
    <x v="1"/>
    <n v="0"/>
  </r>
  <r>
    <x v="2"/>
    <x v="6"/>
    <n v="3000"/>
    <n v="0"/>
    <n v="0"/>
    <n v="0"/>
    <x v="1"/>
    <n v="0"/>
  </r>
  <r>
    <x v="2"/>
    <x v="6"/>
    <n v="30000"/>
    <n v="0"/>
    <n v="0"/>
    <n v="0"/>
    <x v="1"/>
    <n v="0"/>
  </r>
  <r>
    <x v="2"/>
    <x v="6"/>
    <n v="7500"/>
    <n v="0"/>
    <n v="0"/>
    <n v="0"/>
    <x v="1"/>
    <n v="0"/>
  </r>
  <r>
    <x v="2"/>
    <x v="6"/>
    <n v="30000"/>
    <n v="0"/>
    <n v="0"/>
    <n v="0"/>
    <x v="1"/>
    <n v="0"/>
  </r>
  <r>
    <x v="2"/>
    <x v="6"/>
    <n v="30000"/>
    <n v="0"/>
    <n v="0"/>
    <n v="0"/>
    <x v="1"/>
    <n v="0"/>
  </r>
  <r>
    <x v="2"/>
    <x v="6"/>
    <n v="50000"/>
    <n v="0"/>
    <n v="0"/>
    <n v="0"/>
    <x v="1"/>
    <n v="0"/>
  </r>
  <r>
    <x v="2"/>
    <x v="6"/>
    <n v="50000"/>
    <n v="0"/>
    <n v="0"/>
    <n v="0"/>
    <x v="1"/>
    <n v="0"/>
  </r>
  <r>
    <x v="2"/>
    <x v="6"/>
    <n v="5000"/>
    <n v="0"/>
    <n v="0"/>
    <n v="0"/>
    <x v="1"/>
    <n v="0"/>
  </r>
  <r>
    <x v="2"/>
    <x v="6"/>
    <n v="50000"/>
    <n v="0"/>
    <n v="0"/>
    <n v="0"/>
    <x v="1"/>
    <n v="0"/>
  </r>
  <r>
    <x v="2"/>
    <x v="6"/>
    <n v="30805"/>
    <n v="0"/>
    <n v="0"/>
    <n v="0"/>
    <x v="1"/>
    <n v="0"/>
  </r>
  <r>
    <x v="2"/>
    <x v="6"/>
    <n v="8695737.75"/>
    <n v="8437383.8574999999"/>
    <n v="8025106.8674999997"/>
    <n v="8008281.0199999996"/>
    <x v="1"/>
    <n v="0.97028959475002563"/>
  </r>
  <r>
    <x v="2"/>
    <x v="6"/>
    <n v="1704524.75"/>
    <n v="2128910.3424999998"/>
    <n v="2126151.2374999998"/>
    <n v="2049149.2625"/>
    <x v="1"/>
    <n v="1.2489759051606613"/>
  </r>
  <r>
    <x v="2"/>
    <x v="6"/>
    <n v="0"/>
    <n v="69111.75"/>
    <n v="61524.417500000003"/>
    <n v="53290.39"/>
    <x v="1"/>
    <n v="0"/>
  </r>
  <r>
    <x v="2"/>
    <x v="6"/>
    <n v="7500"/>
    <n v="0"/>
    <n v="0"/>
    <n v="0"/>
    <x v="1"/>
    <n v="0"/>
  </r>
  <r>
    <x v="2"/>
    <x v="6"/>
    <n v="12500"/>
    <n v="0"/>
    <n v="0"/>
    <n v="0"/>
    <x v="1"/>
    <n v="0"/>
  </r>
  <r>
    <x v="2"/>
    <x v="6"/>
    <n v="59000"/>
    <n v="0"/>
    <n v="0"/>
    <n v="0"/>
    <x v="1"/>
    <n v="0"/>
  </r>
  <r>
    <x v="2"/>
    <x v="6"/>
    <n v="4000"/>
    <n v="0"/>
    <n v="0"/>
    <n v="0"/>
    <x v="1"/>
    <n v="0"/>
  </r>
  <r>
    <x v="2"/>
    <x v="6"/>
    <n v="26250"/>
    <n v="0"/>
    <n v="0"/>
    <n v="0"/>
    <x v="1"/>
    <n v="0"/>
  </r>
  <r>
    <x v="2"/>
    <x v="6"/>
    <n v="25576.25"/>
    <n v="11645"/>
    <n v="0"/>
    <n v="0"/>
    <x v="1"/>
    <n v="0.45530521479888569"/>
  </r>
  <r>
    <x v="2"/>
    <x v="6"/>
    <n v="12500"/>
    <n v="10450"/>
    <n v="0"/>
    <n v="0"/>
    <x v="1"/>
    <n v="0.83599999999999997"/>
  </r>
  <r>
    <x v="2"/>
    <x v="6"/>
    <n v="7500"/>
    <n v="0"/>
    <n v="0"/>
    <n v="0"/>
    <x v="1"/>
    <n v="0"/>
  </r>
  <r>
    <x v="2"/>
    <x v="6"/>
    <n v="7500"/>
    <n v="0"/>
    <n v="0"/>
    <n v="0"/>
    <x v="1"/>
    <n v="0"/>
  </r>
  <r>
    <x v="2"/>
    <x v="6"/>
    <n v="7500"/>
    <n v="0"/>
    <n v="0"/>
    <n v="0"/>
    <x v="1"/>
    <n v="0"/>
  </r>
  <r>
    <x v="2"/>
    <x v="6"/>
    <n v="7500"/>
    <n v="0"/>
    <n v="0"/>
    <n v="0"/>
    <x v="1"/>
    <n v="0"/>
  </r>
  <r>
    <x v="2"/>
    <x v="6"/>
    <n v="160000"/>
    <n v="0"/>
    <n v="0"/>
    <n v="0"/>
    <x v="1"/>
    <n v="0"/>
  </r>
  <r>
    <x v="2"/>
    <x v="6"/>
    <n v="12500"/>
    <n v="0"/>
    <n v="0"/>
    <n v="0"/>
    <x v="1"/>
    <n v="0"/>
  </r>
  <r>
    <x v="2"/>
    <x v="6"/>
    <n v="25000"/>
    <n v="0"/>
    <n v="0"/>
    <n v="0"/>
    <x v="1"/>
    <n v="0"/>
  </r>
  <r>
    <x v="2"/>
    <x v="6"/>
    <n v="25000"/>
    <n v="0"/>
    <n v="0"/>
    <n v="0"/>
    <x v="1"/>
    <n v="0"/>
  </r>
  <r>
    <x v="2"/>
    <x v="6"/>
    <n v="80500"/>
    <n v="0"/>
    <n v="0"/>
    <n v="0"/>
    <x v="1"/>
    <n v="0"/>
  </r>
  <r>
    <x v="2"/>
    <x v="6"/>
    <n v="136152.5"/>
    <n v="0"/>
    <n v="0"/>
    <n v="0"/>
    <x v="1"/>
    <n v="0"/>
  </r>
  <r>
    <x v="2"/>
    <x v="6"/>
    <n v="11000"/>
    <n v="0"/>
    <n v="0"/>
    <n v="0"/>
    <x v="1"/>
    <n v="0"/>
  </r>
  <r>
    <x v="2"/>
    <x v="6"/>
    <n v="11250"/>
    <n v="0"/>
    <n v="0"/>
    <n v="0"/>
    <x v="1"/>
    <n v="0"/>
  </r>
  <r>
    <x v="2"/>
    <x v="6"/>
    <n v="18750"/>
    <n v="0"/>
    <n v="0"/>
    <n v="0"/>
    <x v="1"/>
    <n v="0"/>
  </r>
  <r>
    <x v="2"/>
    <x v="6"/>
    <n v="25000"/>
    <n v="0"/>
    <n v="0"/>
    <n v="0"/>
    <x v="1"/>
    <n v="0"/>
  </r>
  <r>
    <x v="2"/>
    <x v="6"/>
    <n v="7652.5"/>
    <n v="0"/>
    <n v="0"/>
    <n v="0"/>
    <x v="1"/>
    <n v="0"/>
  </r>
  <r>
    <x v="2"/>
    <x v="6"/>
    <n v="52500"/>
    <n v="0"/>
    <n v="0"/>
    <n v="0"/>
    <x v="1"/>
    <n v="0"/>
  </r>
  <r>
    <x v="2"/>
    <x v="6"/>
    <n v="1264750"/>
    <n v="678218.86"/>
    <n v="678218.86"/>
    <n v="678218.86"/>
    <x v="1"/>
    <n v="0.53624736904526582"/>
  </r>
  <r>
    <x v="2"/>
    <x v="6"/>
    <n v="125"/>
    <n v="0"/>
    <n v="0"/>
    <n v="0"/>
    <x v="1"/>
    <n v="0"/>
  </r>
  <r>
    <x v="2"/>
    <x v="6"/>
    <n v="3250"/>
    <n v="1829.4974999999999"/>
    <n v="0"/>
    <n v="0"/>
    <x v="1"/>
    <n v="0.56292230769230767"/>
  </r>
  <r>
    <x v="2"/>
    <x v="6"/>
    <n v="7500"/>
    <n v="0"/>
    <n v="0"/>
    <n v="0"/>
    <x v="1"/>
    <n v="0"/>
  </r>
  <r>
    <x v="2"/>
    <x v="6"/>
    <n v="7500"/>
    <n v="0"/>
    <n v="0"/>
    <n v="0"/>
    <x v="1"/>
    <n v="0"/>
  </r>
  <r>
    <x v="2"/>
    <x v="6"/>
    <n v="1618578.25"/>
    <n v="1744973.7350000001"/>
    <n v="1442745.2675000001"/>
    <n v="1419406.34"/>
    <x v="1"/>
    <n v="1.0780904383214096"/>
  </r>
  <r>
    <x v="2"/>
    <x v="6"/>
    <n v="334000"/>
    <n v="202950"/>
    <n v="196875"/>
    <n v="192825"/>
    <x v="1"/>
    <n v="0.60763473053892214"/>
  </r>
  <r>
    <x v="2"/>
    <x v="6"/>
    <n v="219693.75"/>
    <n v="158074.5975"/>
    <n v="131949.2475"/>
    <n v="116338.92750000001"/>
    <x v="1"/>
    <n v="0.7195225057608603"/>
  </r>
  <r>
    <x v="2"/>
    <x v="6"/>
    <n v="41874"/>
    <n v="35857.440000000002"/>
    <n v="28128.38"/>
    <n v="28128.38"/>
    <x v="1"/>
    <n v="0.85631752400057315"/>
  </r>
  <r>
    <x v="2"/>
    <x v="6"/>
    <n v="62500"/>
    <n v="0"/>
    <n v="0"/>
    <n v="0"/>
    <x v="1"/>
    <n v="0"/>
  </r>
  <r>
    <x v="2"/>
    <x v="6"/>
    <n v="204425"/>
    <n v="289000"/>
    <n v="289000"/>
    <n v="289000"/>
    <x v="1"/>
    <n v="1.4137214137214138"/>
  </r>
  <r>
    <x v="2"/>
    <x v="6"/>
    <n v="114750"/>
    <n v="0"/>
    <n v="0"/>
    <n v="0"/>
    <x v="1"/>
    <n v="0"/>
  </r>
  <r>
    <x v="2"/>
    <x v="6"/>
    <n v="50000"/>
    <n v="0"/>
    <n v="0"/>
    <n v="0"/>
    <x v="1"/>
    <n v="0"/>
  </r>
  <r>
    <x v="2"/>
    <x v="6"/>
    <n v="1484750"/>
    <n v="919188.64500000002"/>
    <n v="919188.49750000006"/>
    <n v="919188.49750000006"/>
    <x v="1"/>
    <n v="0.61908647583768317"/>
  </r>
  <r>
    <x v="2"/>
    <x v="6"/>
    <n v="125"/>
    <n v="0"/>
    <n v="0"/>
    <n v="0"/>
    <x v="1"/>
    <n v="0"/>
  </r>
  <r>
    <x v="2"/>
    <x v="6"/>
    <n v="1662007.5"/>
    <n v="1810279.405"/>
    <n v="1796664.2124999999"/>
    <n v="1790903.9075"/>
    <x v="1"/>
    <n v="1.0892125366461944"/>
  </r>
  <r>
    <x v="2"/>
    <x v="6"/>
    <n v="114165.25"/>
    <n v="109319.16499999999"/>
    <n v="109319.16499999999"/>
    <n v="109319.16499999999"/>
    <x v="1"/>
    <n v="0.95755201341914453"/>
  </r>
  <r>
    <x v="2"/>
    <x v="6"/>
    <n v="50500"/>
    <n v="24091.642500000002"/>
    <n v="20227.46"/>
    <n v="16684.017500000002"/>
    <x v="1"/>
    <n v="0.47706222772277229"/>
  </r>
  <r>
    <x v="2"/>
    <x v="6"/>
    <n v="500"/>
    <n v="0"/>
    <n v="0"/>
    <n v="0"/>
    <x v="1"/>
    <n v="0"/>
  </r>
  <r>
    <x v="2"/>
    <x v="6"/>
    <n v="450000"/>
    <n v="0"/>
    <n v="0"/>
    <n v="0"/>
    <x v="1"/>
    <n v="0"/>
  </r>
  <r>
    <x v="2"/>
    <x v="6"/>
    <n v="500"/>
    <n v="0"/>
    <n v="0"/>
    <n v="0"/>
    <x v="1"/>
    <n v="0"/>
  </r>
  <r>
    <x v="2"/>
    <x v="6"/>
    <n v="250"/>
    <n v="0"/>
    <n v="0"/>
    <n v="0"/>
    <x v="1"/>
    <n v="0"/>
  </r>
  <r>
    <x v="2"/>
    <x v="6"/>
    <n v="6459090.25"/>
    <n v="6564965.5999999996"/>
    <n v="6408041.4225000003"/>
    <n v="6346882.7525000004"/>
    <x v="1"/>
    <n v="1.0163916814755762"/>
  </r>
  <r>
    <x v="2"/>
    <x v="6"/>
    <n v="287737.25"/>
    <n v="336862.01"/>
    <n v="336862.01"/>
    <n v="336862.01"/>
    <x v="1"/>
    <n v="1.1707278428496832"/>
  </r>
  <r>
    <x v="2"/>
    <x v="6"/>
    <n v="1282155"/>
    <n v="1395546.16"/>
    <n v="1386772.335"/>
    <n v="1386772.335"/>
    <x v="1"/>
    <n v="1.0884379501698311"/>
  </r>
  <r>
    <x v="2"/>
    <x v="6"/>
    <n v="1060530"/>
    <n v="935280"/>
    <n v="935280"/>
    <n v="935280"/>
    <x v="1"/>
    <n v="0.88189867330485705"/>
  </r>
  <r>
    <x v="2"/>
    <x v="6"/>
    <n v="34250"/>
    <n v="1100"/>
    <n v="236.41499999999999"/>
    <n v="27.0625"/>
    <x v="1"/>
    <n v="3.2116788321167884E-2"/>
  </r>
  <r>
    <x v="2"/>
    <x v="6"/>
    <n v="25125"/>
    <n v="25125"/>
    <n v="0"/>
    <n v="0"/>
    <x v="1"/>
    <n v="1"/>
  </r>
  <r>
    <x v="2"/>
    <x v="6"/>
    <n v="161000"/>
    <n v="0"/>
    <n v="0"/>
    <n v="0"/>
    <x v="1"/>
    <n v="0"/>
  </r>
  <r>
    <x v="2"/>
    <x v="6"/>
    <n v="2500"/>
    <n v="0"/>
    <n v="0"/>
    <n v="0"/>
    <x v="1"/>
    <n v="0"/>
  </r>
  <r>
    <x v="2"/>
    <x v="6"/>
    <n v="12500"/>
    <n v="0"/>
    <n v="0"/>
    <n v="0"/>
    <x v="1"/>
    <n v="0"/>
  </r>
  <r>
    <x v="2"/>
    <x v="6"/>
    <n v="6250"/>
    <n v="0"/>
    <n v="0"/>
    <n v="0"/>
    <x v="1"/>
    <n v="0"/>
  </r>
  <r>
    <x v="2"/>
    <x v="6"/>
    <n v="250"/>
    <n v="0"/>
    <n v="0"/>
    <n v="0"/>
    <x v="1"/>
    <n v="0"/>
  </r>
  <r>
    <x v="2"/>
    <x v="6"/>
    <n v="1686397.5"/>
    <n v="1671209.55"/>
    <n v="1562805.2625"/>
    <n v="1556495.2625"/>
    <x v="1"/>
    <n v="0.99099384931488577"/>
  </r>
  <r>
    <x v="2"/>
    <x v="6"/>
    <n v="24625"/>
    <n v="0"/>
    <n v="0"/>
    <n v="0"/>
    <x v="1"/>
    <n v="0"/>
  </r>
  <r>
    <x v="2"/>
    <x v="6"/>
    <n v="6030280.25"/>
    <n v="5864978.7999999998"/>
    <n v="5762546.1425000001"/>
    <n v="5758585.7324999999"/>
    <x v="1"/>
    <n v="0.97258809820654679"/>
  </r>
  <r>
    <x v="2"/>
    <x v="6"/>
    <n v="309803"/>
    <n v="133579.125"/>
    <n v="133579.125"/>
    <n v="133579.125"/>
    <x v="1"/>
    <n v="0.43117440760741504"/>
  </r>
  <r>
    <x v="2"/>
    <x v="6"/>
    <n v="250"/>
    <n v="0"/>
    <n v="0"/>
    <n v="0"/>
    <x v="1"/>
    <n v="0"/>
  </r>
  <r>
    <x v="2"/>
    <x v="6"/>
    <n v="86657.5"/>
    <n v="64495"/>
    <n v="53351.517500000002"/>
    <n v="51705.06"/>
    <x v="1"/>
    <n v="0.74425179586302392"/>
  </r>
  <r>
    <x v="2"/>
    <x v="6"/>
    <n v="27375"/>
    <n v="0"/>
    <n v="0"/>
    <n v="0"/>
    <x v="1"/>
    <n v="0"/>
  </r>
  <r>
    <x v="2"/>
    <x v="6"/>
    <n v="6250"/>
    <n v="0"/>
    <n v="0"/>
    <n v="0"/>
    <x v="1"/>
    <n v="0"/>
  </r>
  <r>
    <x v="2"/>
    <x v="6"/>
    <n v="250"/>
    <n v="0"/>
    <n v="0"/>
    <n v="0"/>
    <x v="1"/>
    <n v="0"/>
  </r>
  <r>
    <x v="2"/>
    <x v="6"/>
    <n v="500"/>
    <n v="0"/>
    <n v="0"/>
    <n v="0"/>
    <x v="1"/>
    <n v="0"/>
  </r>
  <r>
    <x v="2"/>
    <x v="6"/>
    <n v="230856"/>
    <n v="120793.95"/>
    <n v="4437.0749999999998"/>
    <n v="4437.0749999999998"/>
    <x v="1"/>
    <n v="0.5232437103649028"/>
  </r>
  <r>
    <x v="2"/>
    <x v="6"/>
    <n v="9047.25"/>
    <n v="16591.48"/>
    <n v="10860.3"/>
    <n v="6460.3"/>
    <x v="1"/>
    <n v="1.8338699604852302"/>
  </r>
  <r>
    <x v="2"/>
    <x v="6"/>
    <n v="27436.25"/>
    <n v="899"/>
    <n v="898.90499999999997"/>
    <n v="0"/>
    <x v="1"/>
    <n v="3.2766868650052391E-2"/>
  </r>
  <r>
    <x v="2"/>
    <x v="6"/>
    <n v="4375"/>
    <n v="5634.0725000000002"/>
    <n v="3205.1025"/>
    <n v="2697.6025"/>
    <x v="1"/>
    <n v="1.2877880000000002"/>
  </r>
  <r>
    <x v="2"/>
    <x v="6"/>
    <n v="25000"/>
    <n v="25000"/>
    <n v="0"/>
    <n v="0"/>
    <x v="1"/>
    <n v="1"/>
  </r>
  <r>
    <x v="2"/>
    <x v="6"/>
    <n v="11725"/>
    <n v="344094.68"/>
    <n v="344094.68"/>
    <n v="344094.68"/>
    <x v="1"/>
    <n v="29.347094243070362"/>
  </r>
  <r>
    <x v="2"/>
    <x v="6"/>
    <n v="1500"/>
    <n v="21123.48"/>
    <n v="21123.48"/>
    <n v="20111"/>
    <x v="1"/>
    <n v="14.082319999999999"/>
  </r>
  <r>
    <x v="2"/>
    <x v="6"/>
    <n v="1250"/>
    <n v="0"/>
    <n v="0"/>
    <n v="0"/>
    <x v="1"/>
    <n v="0"/>
  </r>
  <r>
    <x v="2"/>
    <x v="6"/>
    <n v="80576.25"/>
    <n v="0"/>
    <n v="0"/>
    <n v="0"/>
    <x v="1"/>
    <n v="0"/>
  </r>
  <r>
    <x v="2"/>
    <x v="6"/>
    <n v="15520612.5"/>
    <n v="46956225"/>
    <n v="46822000"/>
    <n v="46822000"/>
    <x v="1"/>
    <n v="3.0254105628885459"/>
  </r>
  <r>
    <x v="2"/>
    <x v="6"/>
    <n v="408500.5"/>
    <n v="441765.75"/>
    <n v="388146.30499999999"/>
    <n v="370011.53499999997"/>
    <x v="1"/>
    <n v="1.081432580865874"/>
  </r>
  <r>
    <x v="2"/>
    <x v="6"/>
    <n v="2805750"/>
    <n v="5141934.54"/>
    <n v="4164168.9049999998"/>
    <n v="4007960.7949999999"/>
    <x v="1"/>
    <n v="1.8326417321571773"/>
  </r>
  <r>
    <x v="2"/>
    <x v="6"/>
    <n v="432750"/>
    <n v="268736.33250000002"/>
    <n v="264671.65749999997"/>
    <n v="263832.40749999997"/>
    <x v="1"/>
    <n v="0.62099672443674181"/>
  </r>
  <r>
    <x v="2"/>
    <x v="6"/>
    <n v="2500"/>
    <n v="0"/>
    <n v="0"/>
    <n v="0"/>
    <x v="1"/>
    <n v="0"/>
  </r>
  <r>
    <x v="2"/>
    <x v="6"/>
    <n v="30000"/>
    <n v="0"/>
    <n v="0"/>
    <n v="0"/>
    <x v="1"/>
    <n v="0"/>
  </r>
  <r>
    <x v="2"/>
    <x v="6"/>
    <n v="32500"/>
    <n v="0"/>
    <n v="0"/>
    <n v="0"/>
    <x v="1"/>
    <n v="0"/>
  </r>
  <r>
    <x v="2"/>
    <x v="6"/>
    <n v="7035"/>
    <n v="1653.75"/>
    <n v="1653.75"/>
    <n v="1653.75"/>
    <x v="1"/>
    <n v="0.23507462686567165"/>
  </r>
  <r>
    <x v="2"/>
    <x v="6"/>
    <n v="88743"/>
    <n v="58835.347500000003"/>
    <n v="20185.255000000001"/>
    <n v="19887.755000000001"/>
    <x v="1"/>
    <n v="0.66298578479429371"/>
  </r>
  <r>
    <x v="2"/>
    <x v="6"/>
    <n v="40000"/>
    <n v="32688.557499999999"/>
    <n v="3866.1374999999998"/>
    <n v="0"/>
    <x v="1"/>
    <n v="0.81721393749999993"/>
  </r>
  <r>
    <x v="2"/>
    <x v="6"/>
    <n v="194222"/>
    <n v="171798.69500000001"/>
    <n v="160637.4975"/>
    <n v="117214.57"/>
    <x v="1"/>
    <n v="0.88454806870488412"/>
  </r>
  <r>
    <x v="2"/>
    <x v="6"/>
    <n v="15800"/>
    <n v="190573.20499999999"/>
    <n v="176462.8475"/>
    <n v="175712.76500000001"/>
    <x v="1"/>
    <n v="12.061595253164556"/>
  </r>
  <r>
    <x v="2"/>
    <x v="6"/>
    <n v="112612.5"/>
    <n v="49142.652499999997"/>
    <n v="45776.959999999999"/>
    <n v="45455.25"/>
    <x v="1"/>
    <n v="0.43638719058719055"/>
  </r>
  <r>
    <x v="2"/>
    <x v="6"/>
    <n v="37500"/>
    <n v="0"/>
    <n v="0"/>
    <n v="0"/>
    <x v="1"/>
    <n v="0"/>
  </r>
  <r>
    <x v="2"/>
    <x v="6"/>
    <n v="75000"/>
    <n v="0"/>
    <n v="0"/>
    <n v="0"/>
    <x v="1"/>
    <n v="0"/>
  </r>
  <r>
    <x v="2"/>
    <x v="6"/>
    <n v="161152.5"/>
    <n v="0"/>
    <n v="0"/>
    <n v="0"/>
    <x v="1"/>
    <n v="0"/>
  </r>
  <r>
    <x v="2"/>
    <x v="6"/>
    <n v="37500"/>
    <n v="0"/>
    <n v="0"/>
    <n v="0"/>
    <x v="1"/>
    <n v="0"/>
  </r>
  <r>
    <x v="2"/>
    <x v="6"/>
    <n v="37500"/>
    <n v="0"/>
    <n v="0"/>
    <n v="0"/>
    <x v="1"/>
    <n v="0"/>
  </r>
  <r>
    <x v="2"/>
    <x v="6"/>
    <n v="12500"/>
    <n v="0"/>
    <n v="0"/>
    <n v="0"/>
    <x v="1"/>
    <n v="0"/>
  </r>
  <r>
    <x v="2"/>
    <x v="6"/>
    <n v="25000"/>
    <n v="0"/>
    <n v="0"/>
    <n v="0"/>
    <x v="1"/>
    <n v="0"/>
  </r>
  <r>
    <x v="2"/>
    <x v="6"/>
    <n v="100000"/>
    <n v="0"/>
    <n v="0"/>
    <n v="0"/>
    <x v="1"/>
    <n v="0"/>
  </r>
  <r>
    <x v="2"/>
    <x v="6"/>
    <n v="84734"/>
    <n v="0"/>
    <n v="0"/>
    <n v="0"/>
    <x v="1"/>
    <n v="0"/>
  </r>
  <r>
    <x v="2"/>
    <x v="6"/>
    <n v="84734"/>
    <n v="0"/>
    <n v="0"/>
    <n v="0"/>
    <x v="1"/>
    <n v="0"/>
  </r>
  <r>
    <x v="2"/>
    <x v="6"/>
    <n v="38020"/>
    <n v="0"/>
    <n v="0"/>
    <n v="0"/>
    <x v="1"/>
    <n v="0"/>
  </r>
  <r>
    <x v="2"/>
    <x v="6"/>
    <n v="220000"/>
    <n v="0"/>
    <n v="0"/>
    <n v="0"/>
    <x v="1"/>
    <n v="0"/>
  </r>
  <r>
    <x v="2"/>
    <x v="6"/>
    <n v="54494"/>
    <n v="12317.8375"/>
    <n v="2858.5374999999999"/>
    <n v="2858.5374999999999"/>
    <x v="1"/>
    <n v="0.22604025213785003"/>
  </r>
  <r>
    <x v="2"/>
    <x v="6"/>
    <n v="2779264.75"/>
    <n v="2769054.5525000002"/>
    <n v="2608006.6949999998"/>
    <n v="2560802.6549999998"/>
    <x v="1"/>
    <n v="0.99632629547077167"/>
  </r>
  <r>
    <x v="2"/>
    <x v="6"/>
    <n v="9864501.75"/>
    <n v="9127812.6374999993"/>
    <n v="8757995.2200000007"/>
    <n v="8637631.7349999994"/>
    <x v="1"/>
    <n v="0.92531917666292662"/>
  </r>
  <r>
    <x v="2"/>
    <x v="6"/>
    <n v="149750"/>
    <n v="100000"/>
    <n v="0"/>
    <n v="0"/>
    <x v="1"/>
    <n v="0.667779632721202"/>
  </r>
  <r>
    <x v="2"/>
    <x v="6"/>
    <n v="449163.75"/>
    <n v="346229.0625"/>
    <n v="275292.73249999998"/>
    <n v="266240.28000000003"/>
    <x v="1"/>
    <n v="0.77083037644956875"/>
  </r>
  <r>
    <x v="2"/>
    <x v="6"/>
    <n v="34000"/>
    <n v="0"/>
    <n v="0"/>
    <n v="0"/>
    <x v="1"/>
    <n v="0"/>
  </r>
  <r>
    <x v="2"/>
    <x v="7"/>
    <n v="5601124"/>
    <n v="1097882.19"/>
    <n v="919214.13"/>
    <n v="860661.13"/>
    <x v="1"/>
    <n v="0.19601104885376577"/>
  </r>
  <r>
    <x v="2"/>
    <x v="7"/>
    <n v="50000"/>
    <n v="1436.4"/>
    <n v="1436.4"/>
    <n v="1436.4"/>
    <x v="1"/>
    <n v="2.8728000000000004E-2"/>
  </r>
  <r>
    <x v="2"/>
    <x v="7"/>
    <n v="644610"/>
    <n v="0"/>
    <n v="0"/>
    <n v="0"/>
    <x v="1"/>
    <n v="0"/>
  </r>
  <r>
    <x v="2"/>
    <x v="7"/>
    <n v="80000"/>
    <n v="79999.64"/>
    <n v="0"/>
    <n v="0"/>
    <x v="1"/>
    <n v="0.99999550000000004"/>
  </r>
  <r>
    <x v="2"/>
    <x v="7"/>
    <n v="100000"/>
    <n v="0"/>
    <n v="0"/>
    <n v="0"/>
    <x v="1"/>
    <n v="0"/>
  </r>
  <r>
    <x v="2"/>
    <x v="7"/>
    <n v="100000"/>
    <n v="0"/>
    <n v="0"/>
    <n v="0"/>
    <x v="1"/>
    <n v="0"/>
  </r>
  <r>
    <x v="2"/>
    <x v="7"/>
    <n v="2518.75"/>
    <n v="2948.2925"/>
    <n v="2450"/>
    <n v="2341.25"/>
    <x v="1"/>
    <n v="1.1705379652605459"/>
  </r>
  <r>
    <x v="2"/>
    <x v="7"/>
    <n v="397045"/>
    <n v="261874.83249999999"/>
    <n v="258471.88500000001"/>
    <n v="257647.19750000001"/>
    <x v="1"/>
    <n v="0.65955957762973971"/>
  </r>
  <r>
    <x v="2"/>
    <x v="7"/>
    <n v="110000"/>
    <n v="165021.6"/>
    <n v="147983.4325"/>
    <n v="79541.925000000003"/>
    <x v="1"/>
    <n v="1.5001963636363638"/>
  </r>
  <r>
    <x v="2"/>
    <x v="7"/>
    <n v="14457"/>
    <n v="0"/>
    <n v="0"/>
    <n v="0"/>
    <x v="1"/>
    <n v="0"/>
  </r>
  <r>
    <x v="2"/>
    <x v="7"/>
    <n v="13875"/>
    <n v="0"/>
    <n v="0"/>
    <n v="0"/>
    <x v="1"/>
    <n v="0"/>
  </r>
  <r>
    <x v="2"/>
    <x v="7"/>
    <n v="4927.75"/>
    <n v="5760.6"/>
    <n v="4180.1450000000004"/>
    <n v="3190.38"/>
    <x v="1"/>
    <n v="1.1690122266754606"/>
  </r>
  <r>
    <x v="2"/>
    <x v="7"/>
    <n v="166921.5"/>
    <n v="125"/>
    <n v="0"/>
    <n v="0"/>
    <x v="1"/>
    <n v="7.4885500070392367E-4"/>
  </r>
  <r>
    <x v="2"/>
    <x v="7"/>
    <n v="10000.25"/>
    <n v="2375"/>
    <n v="1620"/>
    <n v="1620"/>
    <x v="1"/>
    <n v="0.23749406264843378"/>
  </r>
  <r>
    <x v="2"/>
    <x v="7"/>
    <n v="10000"/>
    <n v="0"/>
    <n v="0"/>
    <n v="0"/>
    <x v="1"/>
    <n v="0"/>
  </r>
  <r>
    <x v="2"/>
    <x v="7"/>
    <n v="75000"/>
    <n v="75000"/>
    <n v="0"/>
    <n v="0"/>
    <x v="1"/>
    <n v="1"/>
  </r>
  <r>
    <x v="2"/>
    <x v="7"/>
    <n v="12500"/>
    <n v="642.5"/>
    <n v="642.5"/>
    <n v="642.5"/>
    <x v="1"/>
    <n v="5.1400000000000001E-2"/>
  </r>
  <r>
    <x v="2"/>
    <x v="7"/>
    <n v="648596.5"/>
    <n v="454623.79749999999"/>
    <n v="389459.26750000002"/>
    <n v="388206.6"/>
    <x v="1"/>
    <n v="0.7009347067090248"/>
  </r>
  <r>
    <x v="2"/>
    <x v="7"/>
    <n v="158026.5"/>
    <n v="158026.5"/>
    <n v="144709.9675"/>
    <n v="144709.9675"/>
    <x v="1"/>
    <n v="1"/>
  </r>
  <r>
    <x v="2"/>
    <x v="7"/>
    <n v="423365.5"/>
    <n v="337358.38750000001"/>
    <n v="327477.85249999998"/>
    <n v="327477.85249999998"/>
    <x v="1"/>
    <n v="0.79684902879426878"/>
  </r>
  <r>
    <x v="2"/>
    <x v="7"/>
    <n v="12500"/>
    <n v="0"/>
    <n v="0"/>
    <n v="0"/>
    <x v="1"/>
    <n v="0"/>
  </r>
  <r>
    <x v="2"/>
    <x v="7"/>
    <n v="2572747.5"/>
    <n v="72747.774999999994"/>
    <n v="6275.3649999999998"/>
    <n v="6275.3649999999998"/>
    <x v="1"/>
    <n v="2.8276298004370811E-2"/>
  </r>
  <r>
    <x v="2"/>
    <x v="7"/>
    <n v="11500"/>
    <n v="11500"/>
    <n v="0"/>
    <n v="0"/>
    <x v="1"/>
    <n v="1"/>
  </r>
  <r>
    <x v="2"/>
    <x v="7"/>
    <n v="86400"/>
    <n v="0"/>
    <n v="0"/>
    <n v="0"/>
    <x v="1"/>
    <n v="0"/>
  </r>
  <r>
    <x v="2"/>
    <x v="7"/>
    <n v="9250"/>
    <n v="0"/>
    <n v="0"/>
    <n v="0"/>
    <x v="1"/>
    <n v="0"/>
  </r>
  <r>
    <x v="2"/>
    <x v="7"/>
    <n v="28250"/>
    <n v="0"/>
    <n v="0"/>
    <n v="0"/>
    <x v="1"/>
    <n v="0"/>
  </r>
  <r>
    <x v="2"/>
    <x v="7"/>
    <n v="15000"/>
    <n v="15000"/>
    <n v="0"/>
    <n v="0"/>
    <x v="1"/>
    <n v="1"/>
  </r>
  <r>
    <x v="2"/>
    <x v="7"/>
    <n v="12500"/>
    <n v="38348.275000000001"/>
    <n v="0"/>
    <n v="0"/>
    <x v="1"/>
    <n v="3.0678620000000003"/>
  </r>
  <r>
    <x v="2"/>
    <x v="7"/>
    <n v="42500.25"/>
    <n v="4663.9975000000004"/>
    <n v="3447.1275000000001"/>
    <n v="3447.1275000000001"/>
    <x v="1"/>
    <n v="0.10974047211486992"/>
  </r>
  <r>
    <x v="2"/>
    <x v="7"/>
    <n v="161152.5"/>
    <n v="0"/>
    <n v="0"/>
    <n v="0"/>
    <x v="1"/>
    <n v="0"/>
  </r>
  <r>
    <x v="2"/>
    <x v="7"/>
    <n v="62500"/>
    <n v="62500"/>
    <n v="62500"/>
    <n v="62500"/>
    <x v="1"/>
    <n v="1"/>
  </r>
  <r>
    <x v="2"/>
    <x v="7"/>
    <n v="215750"/>
    <n v="203706.965"/>
    <n v="203706.965"/>
    <n v="203706.965"/>
    <x v="1"/>
    <n v="0.94418060254924685"/>
  </r>
  <r>
    <x v="2"/>
    <x v="7"/>
    <n v="25000"/>
    <n v="10000"/>
    <n v="0"/>
    <n v="0"/>
    <x v="1"/>
    <n v="0.4"/>
  </r>
  <r>
    <x v="2"/>
    <x v="7"/>
    <n v="25000"/>
    <n v="25000"/>
    <n v="25000"/>
    <n v="25000"/>
    <x v="1"/>
    <n v="1"/>
  </r>
  <r>
    <x v="2"/>
    <x v="7"/>
    <n v="25000"/>
    <n v="10000"/>
    <n v="0"/>
    <n v="0"/>
    <x v="1"/>
    <n v="0.4"/>
  </r>
  <r>
    <x v="2"/>
    <x v="7"/>
    <n v="25000"/>
    <n v="10000"/>
    <n v="0"/>
    <n v="0"/>
    <x v="1"/>
    <n v="0.4"/>
  </r>
  <r>
    <x v="1"/>
    <x v="3"/>
    <n v="17500"/>
    <n v="0"/>
    <n v="0"/>
    <n v="0"/>
    <x v="1"/>
    <n v="0"/>
  </r>
  <r>
    <x v="1"/>
    <x v="3"/>
    <n v="25000"/>
    <n v="2750"/>
    <n v="0"/>
    <n v="0"/>
    <x v="1"/>
    <n v="0.11"/>
  </r>
  <r>
    <x v="1"/>
    <x v="3"/>
    <n v="217131.75"/>
    <n v="121393.74249999999"/>
    <n v="76519.547500000001"/>
    <n v="76519.547500000001"/>
    <x v="1"/>
    <n v="0.55907872754675436"/>
  </r>
  <r>
    <x v="1"/>
    <x v="3"/>
    <n v="1419529.75"/>
    <n v="888690.755"/>
    <n v="767967.5625"/>
    <n v="733603.17249999999"/>
    <x v="1"/>
    <n v="0.62604588244804305"/>
  </r>
  <r>
    <x v="1"/>
    <x v="3"/>
    <n v="355555.75"/>
    <n v="61979.934999999998"/>
    <n v="44404.41"/>
    <n v="44404.41"/>
    <x v="1"/>
    <n v="0.17431847185708568"/>
  </r>
  <r>
    <x v="1"/>
    <x v="3"/>
    <n v="475708.25"/>
    <n v="0"/>
    <n v="0"/>
    <n v="0"/>
    <x v="1"/>
    <n v="0"/>
  </r>
  <r>
    <x v="1"/>
    <x v="3"/>
    <n v="2546957.25"/>
    <n v="1624280.625"/>
    <n v="1157187.7749999999"/>
    <n v="1115221.0774999999"/>
    <x v="1"/>
    <n v="0.63773376054898445"/>
  </r>
  <r>
    <x v="1"/>
    <x v="3"/>
    <n v="6773291.75"/>
    <n v="3988806.8774999999"/>
    <n v="2835146.23"/>
    <n v="2835146.23"/>
    <x v="1"/>
    <n v="0.58890226860521699"/>
  </r>
  <r>
    <x v="1"/>
    <x v="3"/>
    <n v="1763552.5"/>
    <n v="3000"/>
    <n v="2500"/>
    <n v="2500"/>
    <x v="1"/>
    <n v="1.7011118183325985E-3"/>
  </r>
  <r>
    <x v="1"/>
    <x v="3"/>
    <n v="2432060.75"/>
    <n v="828391.1825"/>
    <n v="702550.22750000004"/>
    <n v="702550.22750000004"/>
    <x v="1"/>
    <n v="0.34061286606430369"/>
  </r>
  <r>
    <x v="1"/>
    <x v="3"/>
    <n v="495142.5"/>
    <n v="134775"/>
    <n v="134162.70000000001"/>
    <n v="134162.70000000001"/>
    <x v="1"/>
    <n v="0.2721943682879171"/>
  </r>
  <r>
    <x v="1"/>
    <x v="3"/>
    <n v="5218102.75"/>
    <n v="0"/>
    <n v="0"/>
    <n v="0"/>
    <x v="1"/>
    <n v="0"/>
  </r>
  <r>
    <x v="1"/>
    <x v="3"/>
    <n v="7843680"/>
    <n v="5630322.125"/>
    <n v="4670574.0774999997"/>
    <n v="4603301.82"/>
    <x v="1"/>
    <n v="0.71781639804275543"/>
  </r>
  <r>
    <x v="1"/>
    <x v="3"/>
    <n v="136025.5"/>
    <n v="868405.73"/>
    <n v="519207.53"/>
    <n v="519207.53"/>
    <x v="1"/>
    <n v="6.3841392238955192"/>
  </r>
  <r>
    <x v="1"/>
    <x v="3"/>
    <n v="310877.25"/>
    <n v="135398.375"/>
    <n v="46932.29"/>
    <n v="46932.29"/>
    <x v="1"/>
    <n v="0.43553645369675653"/>
  </r>
  <r>
    <x v="1"/>
    <x v="3"/>
    <n v="330796.75"/>
    <n v="36765.047500000001"/>
    <n v="36765.047500000001"/>
    <n v="36765.047500000001"/>
    <x v="1"/>
    <n v="0.11114089694049292"/>
  </r>
  <r>
    <x v="1"/>
    <x v="3"/>
    <n v="282031.25"/>
    <n v="0"/>
    <n v="0"/>
    <n v="0"/>
    <x v="1"/>
    <n v="0"/>
  </r>
  <r>
    <x v="1"/>
    <x v="3"/>
    <n v="145003.25"/>
    <n v="79921.5"/>
    <n v="57589.192499999997"/>
    <n v="53974.177499999998"/>
    <x v="1"/>
    <n v="0.55117040480127166"/>
  </r>
  <r>
    <x v="1"/>
    <x v="3"/>
    <n v="479540.5"/>
    <n v="150000"/>
    <n v="11967.08"/>
    <n v="11967.08"/>
    <x v="1"/>
    <n v="0.31279944029753481"/>
  </r>
  <r>
    <x v="1"/>
    <x v="3"/>
    <n v="1621500"/>
    <n v="246000"/>
    <n v="246000"/>
    <n v="246000"/>
    <x v="1"/>
    <n v="0.1517113783533765"/>
  </r>
  <r>
    <x v="1"/>
    <x v="3"/>
    <n v="1287750"/>
    <n v="636625"/>
    <n v="548500"/>
    <n v="548500"/>
    <x v="1"/>
    <n v="0.49437002523781792"/>
  </r>
  <r>
    <x v="1"/>
    <x v="3"/>
    <n v="907500"/>
    <n v="1325400.5"/>
    <n v="1155500"/>
    <n v="1155500"/>
    <x v="1"/>
    <n v="1.4604964187327825"/>
  </r>
  <r>
    <x v="1"/>
    <x v="3"/>
    <n v="1250"/>
    <n v="200000"/>
    <n v="155000"/>
    <n v="155000"/>
    <x v="1"/>
    <n v="160"/>
  </r>
  <r>
    <x v="1"/>
    <x v="3"/>
    <n v="230625"/>
    <n v="132500"/>
    <n v="105640.08749999999"/>
    <n v="105640.08749999999"/>
    <x v="1"/>
    <n v="0.57452574525745259"/>
  </r>
  <r>
    <x v="1"/>
    <x v="3"/>
    <n v="189000"/>
    <n v="0"/>
    <n v="0"/>
    <n v="0"/>
    <x v="1"/>
    <n v="0"/>
  </r>
  <r>
    <x v="1"/>
    <x v="3"/>
    <n v="670884"/>
    <n v="0"/>
    <n v="0"/>
    <n v="0"/>
    <x v="1"/>
    <n v="0"/>
  </r>
  <r>
    <x v="1"/>
    <x v="3"/>
    <n v="144250"/>
    <n v="144250"/>
    <n v="0"/>
    <n v="0"/>
    <x v="1"/>
    <n v="1"/>
  </r>
  <r>
    <x v="1"/>
    <x v="4"/>
    <n v="12666795.75"/>
    <n v="15906224.85"/>
    <n v="14291033.869999999"/>
    <n v="14291033.869999999"/>
    <x v="1"/>
    <n v="1.255741796420772"/>
  </r>
  <r>
    <x v="1"/>
    <x v="4"/>
    <n v="28368215.5"/>
    <n v="31494622.155000001"/>
    <n v="28459791.2075"/>
    <n v="28459791.2075"/>
    <x v="1"/>
    <n v="1.1102080832331522"/>
  </r>
  <r>
    <x v="1"/>
    <x v="4"/>
    <n v="1421780.5"/>
    <n v="1338029.24"/>
    <n v="1202434.04"/>
    <n v="1200959.665"/>
    <x v="1"/>
    <n v="0.94109409996831439"/>
  </r>
  <r>
    <x v="1"/>
    <x v="4"/>
    <n v="12797304.75"/>
    <n v="12318853.939999999"/>
    <n v="11055236.4275"/>
    <n v="11055236.4275"/>
    <x v="1"/>
    <n v="0.96261315805580072"/>
  </r>
  <r>
    <x v="1"/>
    <x v="4"/>
    <n v="533138"/>
    <n v="0"/>
    <n v="0"/>
    <n v="0"/>
    <x v="1"/>
    <n v="0"/>
  </r>
  <r>
    <x v="1"/>
    <x v="4"/>
    <n v="29611341.75"/>
    <n v="30081130"/>
    <n v="28420292.684999999"/>
    <n v="28111033.710000001"/>
    <x v="1"/>
    <n v="1.015865145658251"/>
  </r>
  <r>
    <x v="1"/>
    <x v="4"/>
    <n v="2860007.5"/>
    <n v="1577391.2424999999"/>
    <n v="1344706.7375"/>
    <n v="1344706.7375"/>
    <x v="1"/>
    <n v="0.5515339531452278"/>
  </r>
  <r>
    <x v="1"/>
    <x v="4"/>
    <n v="25000"/>
    <n v="0"/>
    <n v="0"/>
    <n v="0"/>
    <x v="1"/>
    <n v="0"/>
  </r>
  <r>
    <x v="1"/>
    <x v="4"/>
    <n v="5000"/>
    <n v="0"/>
    <n v="0"/>
    <n v="0"/>
    <x v="1"/>
    <n v="0"/>
  </r>
  <r>
    <x v="1"/>
    <x v="4"/>
    <n v="61250"/>
    <n v="0"/>
    <n v="0"/>
    <n v="0"/>
    <x v="1"/>
    <n v="0"/>
  </r>
  <r>
    <x v="1"/>
    <x v="4"/>
    <n v="12500"/>
    <n v="0"/>
    <n v="0"/>
    <n v="0"/>
    <x v="1"/>
    <n v="0"/>
  </r>
  <r>
    <x v="1"/>
    <x v="4"/>
    <n v="24723327"/>
    <n v="28747043.695"/>
    <n v="25543279.100000001"/>
    <n v="25543279.100000001"/>
    <x v="1"/>
    <n v="1.1627498068928992"/>
  </r>
  <r>
    <x v="1"/>
    <x v="4"/>
    <n v="778754.25"/>
    <n v="513803.75"/>
    <n v="438495.09"/>
    <n v="438495.09"/>
    <x v="1"/>
    <n v="0.65977649560178964"/>
  </r>
  <r>
    <x v="1"/>
    <x v="5"/>
    <n v="14187641.75"/>
    <n v="12065323.7225"/>
    <n v="9996617.6899999995"/>
    <n v="9909834.4774999991"/>
    <x v="1"/>
    <n v="0.85041079660049912"/>
  </r>
  <r>
    <x v="1"/>
    <x v="5"/>
    <n v="79750"/>
    <n v="0"/>
    <n v="0"/>
    <n v="0"/>
    <x v="1"/>
    <n v="0"/>
  </r>
  <r>
    <x v="1"/>
    <x v="5"/>
    <n v="2464759"/>
    <n v="1175079.02"/>
    <n v="654810.6825"/>
    <n v="653508.06499999994"/>
    <x v="1"/>
    <n v="0.47675209624957249"/>
  </r>
  <r>
    <x v="1"/>
    <x v="5"/>
    <n v="10000"/>
    <n v="0"/>
    <n v="0"/>
    <n v="0"/>
    <x v="1"/>
    <n v="0"/>
  </r>
  <r>
    <x v="1"/>
    <x v="5"/>
    <n v="4750"/>
    <n v="0"/>
    <n v="0"/>
    <n v="0"/>
    <x v="1"/>
    <n v="0"/>
  </r>
  <r>
    <x v="1"/>
    <x v="5"/>
    <n v="21250"/>
    <n v="0"/>
    <n v="0"/>
    <n v="0"/>
    <x v="1"/>
    <n v="0"/>
  </r>
  <r>
    <x v="1"/>
    <x v="5"/>
    <n v="3750"/>
    <n v="3750"/>
    <n v="0"/>
    <n v="0"/>
    <x v="1"/>
    <n v="1"/>
  </r>
  <r>
    <x v="1"/>
    <x v="5"/>
    <n v="8750"/>
    <n v="0"/>
    <n v="0"/>
    <n v="0"/>
    <x v="1"/>
    <n v="0"/>
  </r>
  <r>
    <x v="1"/>
    <x v="5"/>
    <n v="6750"/>
    <n v="0"/>
    <n v="0"/>
    <n v="0"/>
    <x v="1"/>
    <n v="0"/>
  </r>
  <r>
    <x v="1"/>
    <x v="5"/>
    <n v="16250"/>
    <n v="0"/>
    <n v="0"/>
    <n v="0"/>
    <x v="1"/>
    <n v="0"/>
  </r>
  <r>
    <x v="1"/>
    <x v="5"/>
    <n v="80576.25"/>
    <n v="69454.28"/>
    <n v="21925.23"/>
    <n v="21925.23"/>
    <x v="1"/>
    <n v="0.86196962504460062"/>
  </r>
  <r>
    <x v="1"/>
    <x v="5"/>
    <n v="72250"/>
    <n v="0"/>
    <n v="0"/>
    <n v="0"/>
    <x v="1"/>
    <n v="0"/>
  </r>
  <r>
    <x v="1"/>
    <x v="5"/>
    <n v="37500"/>
    <n v="34558.035000000003"/>
    <n v="0"/>
    <n v="0"/>
    <x v="1"/>
    <n v="0.92154760000000013"/>
  </r>
  <r>
    <x v="1"/>
    <x v="5"/>
    <n v="25000"/>
    <n v="0"/>
    <n v="0"/>
    <n v="0"/>
    <x v="1"/>
    <n v="0"/>
  </r>
  <r>
    <x v="0"/>
    <x v="0"/>
    <n v="1000000"/>
    <n v="990039.64"/>
    <n v="220055.19"/>
    <n v="220055.19"/>
    <x v="2"/>
    <n v="0.99003964"/>
  </r>
  <r>
    <x v="0"/>
    <x v="0"/>
    <n v="5000"/>
    <n v="1725"/>
    <n v="1725"/>
    <n v="1725"/>
    <x v="2"/>
    <n v="0.34499999999999997"/>
  </r>
  <r>
    <x v="0"/>
    <x v="0"/>
    <n v="0"/>
    <n v="1970"/>
    <n v="1970"/>
    <n v="720"/>
    <x v="2"/>
    <n v="0"/>
  </r>
  <r>
    <x v="0"/>
    <x v="0"/>
    <n v="18825"/>
    <n v="6400"/>
    <n v="0"/>
    <n v="0"/>
    <x v="2"/>
    <n v="0.33997343957503318"/>
  </r>
  <r>
    <x v="0"/>
    <x v="0"/>
    <n v="541076.25"/>
    <n v="467227.67749999999"/>
    <n v="465878.84499999997"/>
    <n v="426585.21250000002"/>
    <x v="2"/>
    <n v="0.86351540563829954"/>
  </r>
  <r>
    <x v="0"/>
    <x v="0"/>
    <n v="22375"/>
    <n v="0"/>
    <n v="0"/>
    <n v="0"/>
    <x v="2"/>
    <n v="0"/>
  </r>
  <r>
    <x v="0"/>
    <x v="0"/>
    <n v="7406172.25"/>
    <n v="6223855.1150000002"/>
    <n v="5380434.0125000002"/>
    <n v="5284066.6224999996"/>
    <x v="2"/>
    <n v="0.84036056749827825"/>
  </r>
  <r>
    <x v="0"/>
    <x v="0"/>
    <n v="300227.5"/>
    <n v="0"/>
    <n v="0"/>
    <n v="0"/>
    <x v="2"/>
    <n v="0"/>
  </r>
  <r>
    <x v="0"/>
    <x v="0"/>
    <n v="5000"/>
    <n v="0"/>
    <n v="0"/>
    <n v="0"/>
    <x v="2"/>
    <n v="0"/>
  </r>
  <r>
    <x v="0"/>
    <x v="0"/>
    <n v="12750"/>
    <n v="0"/>
    <n v="0"/>
    <n v="0"/>
    <x v="2"/>
    <n v="0"/>
  </r>
  <r>
    <x v="0"/>
    <x v="0"/>
    <n v="1212025.25"/>
    <n v="1189983.7250000001"/>
    <n v="1189983.7250000001"/>
    <n v="1078487.125"/>
    <x v="2"/>
    <n v="0.98181430213603227"/>
  </r>
  <r>
    <x v="0"/>
    <x v="0"/>
    <n v="658770.25"/>
    <n v="207354.08749999999"/>
    <n v="192174.96249999999"/>
    <n v="163212.14249999999"/>
    <x v="2"/>
    <n v="0.31475933756875024"/>
  </r>
  <r>
    <x v="0"/>
    <x v="0"/>
    <n v="87500"/>
    <n v="0"/>
    <n v="0"/>
    <n v="0"/>
    <x v="2"/>
    <n v="0"/>
  </r>
  <r>
    <x v="0"/>
    <x v="0"/>
    <n v="275000"/>
    <n v="13889.5"/>
    <n v="0"/>
    <n v="0"/>
    <x v="2"/>
    <n v="5.0507272727272727E-2"/>
  </r>
  <r>
    <x v="0"/>
    <x v="0"/>
    <n v="10575"/>
    <n v="0"/>
    <n v="0"/>
    <n v="0"/>
    <x v="2"/>
    <n v="0"/>
  </r>
  <r>
    <x v="0"/>
    <x v="0"/>
    <n v="1832019"/>
    <n v="1772504.2024999999"/>
    <n v="1639279.2024999999"/>
    <n v="1502371.62"/>
    <x v="2"/>
    <n v="0.96751409374029407"/>
  </r>
  <r>
    <x v="0"/>
    <x v="0"/>
    <n v="5025000"/>
    <n v="0"/>
    <n v="0"/>
    <n v="0"/>
    <x v="2"/>
    <n v="0"/>
  </r>
  <r>
    <x v="0"/>
    <x v="0"/>
    <n v="159447.25"/>
    <n v="0"/>
    <n v="0"/>
    <n v="0"/>
    <x v="2"/>
    <n v="0"/>
  </r>
  <r>
    <x v="0"/>
    <x v="0"/>
    <n v="41723.5"/>
    <n v="0"/>
    <n v="0"/>
    <n v="0"/>
    <x v="2"/>
    <n v="0"/>
  </r>
  <r>
    <x v="0"/>
    <x v="0"/>
    <n v="3750"/>
    <n v="1560"/>
    <n v="0"/>
    <n v="0"/>
    <x v="2"/>
    <n v="0.41599999999999998"/>
  </r>
  <r>
    <x v="0"/>
    <x v="0"/>
    <n v="1375"/>
    <n v="1373.0250000000001"/>
    <n v="1373.0250000000001"/>
    <n v="123.42"/>
    <x v="2"/>
    <n v="0.99856363636363643"/>
  </r>
  <r>
    <x v="0"/>
    <x v="0"/>
    <n v="498929.75"/>
    <n v="100123.17"/>
    <n v="86102.335000000006"/>
    <n v="86102.335000000006"/>
    <x v="2"/>
    <n v="0.20067588673555745"/>
  </r>
  <r>
    <x v="0"/>
    <x v="0"/>
    <n v="12500"/>
    <n v="5000"/>
    <n v="5000"/>
    <n v="5000"/>
    <x v="2"/>
    <n v="0.4"/>
  </r>
  <r>
    <x v="0"/>
    <x v="0"/>
    <n v="4235000"/>
    <n v="2914975.12"/>
    <n v="2914975.12"/>
    <n v="2914975.12"/>
    <x v="2"/>
    <n v="0.688305813459268"/>
  </r>
  <r>
    <x v="0"/>
    <x v="0"/>
    <n v="125000"/>
    <n v="0"/>
    <n v="0"/>
    <n v="0"/>
    <x v="2"/>
    <n v="0"/>
  </r>
  <r>
    <x v="0"/>
    <x v="0"/>
    <n v="2996198.75"/>
    <n v="2583585.6124999998"/>
    <n v="2572427.2025000001"/>
    <n v="2416056.7025000001"/>
    <x v="2"/>
    <n v="0.86228779465981686"/>
  </r>
  <r>
    <x v="0"/>
    <x v="0"/>
    <n v="131250"/>
    <n v="0"/>
    <n v="0"/>
    <n v="0"/>
    <x v="2"/>
    <n v="0"/>
  </r>
  <r>
    <x v="0"/>
    <x v="0"/>
    <n v="32500"/>
    <n v="19988"/>
    <n v="19988"/>
    <n v="19988"/>
    <x v="2"/>
    <n v="0.61501538461538463"/>
  </r>
  <r>
    <x v="0"/>
    <x v="0"/>
    <n v="32500"/>
    <n v="0"/>
    <n v="0"/>
    <n v="0"/>
    <x v="2"/>
    <n v="0"/>
  </r>
  <r>
    <x v="0"/>
    <x v="0"/>
    <n v="125000"/>
    <n v="0"/>
    <n v="0"/>
    <n v="0"/>
    <x v="2"/>
    <n v="0"/>
  </r>
  <r>
    <x v="0"/>
    <x v="0"/>
    <n v="500000"/>
    <n v="375000"/>
    <n v="375000"/>
    <n v="375000"/>
    <x v="2"/>
    <n v="0.75"/>
  </r>
  <r>
    <x v="0"/>
    <x v="0"/>
    <n v="600000"/>
    <n v="375000"/>
    <n v="375000"/>
    <n v="375000"/>
    <x v="2"/>
    <n v="0.625"/>
  </r>
  <r>
    <x v="0"/>
    <x v="0"/>
    <n v="147500"/>
    <n v="147500"/>
    <n v="147500"/>
    <n v="147500"/>
    <x v="2"/>
    <n v="1"/>
  </r>
  <r>
    <x v="0"/>
    <x v="0"/>
    <n v="500000"/>
    <n v="0"/>
    <n v="0"/>
    <n v="0"/>
    <x v="2"/>
    <n v="0"/>
  </r>
  <r>
    <x v="0"/>
    <x v="0"/>
    <n v="30000"/>
    <n v="0"/>
    <n v="0"/>
    <n v="0"/>
    <x v="2"/>
    <n v="0"/>
  </r>
  <r>
    <x v="0"/>
    <x v="0"/>
    <n v="19200"/>
    <n v="2496.6999999999998"/>
    <n v="1380"/>
    <n v="126.5"/>
    <x v="2"/>
    <n v="0.13003645833333333"/>
  </r>
  <r>
    <x v="0"/>
    <x v="0"/>
    <n v="18750"/>
    <n v="0"/>
    <n v="0"/>
    <n v="0"/>
    <x v="2"/>
    <n v="0"/>
  </r>
  <r>
    <x v="0"/>
    <x v="0"/>
    <n v="1467616.5"/>
    <n v="872811.08750000002"/>
    <n v="295466.31"/>
    <n v="291446.19"/>
    <x v="2"/>
    <n v="0.59471332429146173"/>
  </r>
  <r>
    <x v="0"/>
    <x v="0"/>
    <n v="85000"/>
    <n v="85000"/>
    <n v="85000"/>
    <n v="85000"/>
    <x v="2"/>
    <n v="1"/>
  </r>
  <r>
    <x v="0"/>
    <x v="0"/>
    <n v="17192.5"/>
    <n v="0"/>
    <n v="0"/>
    <n v="0"/>
    <x v="2"/>
    <n v="0"/>
  </r>
  <r>
    <x v="0"/>
    <x v="1"/>
    <n v="1749506.5"/>
    <n v="496560.4"/>
    <n v="387976.4"/>
    <n v="387976.4"/>
    <x v="2"/>
    <n v="0.28382883973280465"/>
  </r>
  <r>
    <x v="0"/>
    <x v="1"/>
    <n v="62500"/>
    <n v="0"/>
    <n v="0"/>
    <n v="0"/>
    <x v="2"/>
    <n v="0"/>
  </r>
  <r>
    <x v="0"/>
    <x v="1"/>
    <n v="4056515.25"/>
    <n v="3729676.4725000001"/>
    <n v="3677970.57"/>
    <n v="3418806.81"/>
    <x v="2"/>
    <n v="0.91942868266056688"/>
  </r>
  <r>
    <x v="0"/>
    <x v="1"/>
    <n v="257641.5"/>
    <n v="94998.822499999995"/>
    <n v="94998.822499999995"/>
    <n v="94998.822499999995"/>
    <x v="2"/>
    <n v="0.36872484634657071"/>
  </r>
  <r>
    <x v="0"/>
    <x v="1"/>
    <n v="779000"/>
    <n v="51100"/>
    <n v="3650"/>
    <n v="3650"/>
    <x v="2"/>
    <n v="6.5596919127086012E-2"/>
  </r>
  <r>
    <x v="0"/>
    <x v="1"/>
    <n v="42000"/>
    <n v="56029"/>
    <n v="45209"/>
    <n v="45209"/>
    <x v="2"/>
    <n v="1.3340238095238095"/>
  </r>
  <r>
    <x v="0"/>
    <x v="1"/>
    <n v="1050109.75"/>
    <n v="947499.97750000004"/>
    <n v="843232.1925"/>
    <n v="839417.8"/>
    <x v="2"/>
    <n v="0.90228662051752218"/>
  </r>
  <r>
    <x v="0"/>
    <x v="1"/>
    <n v="670542.5"/>
    <n v="0"/>
    <n v="0"/>
    <n v="0"/>
    <x v="2"/>
    <n v="0"/>
  </r>
  <r>
    <x v="0"/>
    <x v="1"/>
    <n v="198750"/>
    <n v="45061.044999999998"/>
    <n v="44661.044999999998"/>
    <n v="44661.044999999998"/>
    <x v="2"/>
    <n v="0.22672223899371069"/>
  </r>
  <r>
    <x v="0"/>
    <x v="1"/>
    <n v="138450"/>
    <n v="3999.5250000000001"/>
    <n v="3999.5250000000001"/>
    <n v="3999.5250000000001"/>
    <x v="2"/>
    <n v="2.8887865655471291E-2"/>
  </r>
  <r>
    <x v="0"/>
    <x v="1"/>
    <n v="98000"/>
    <n v="615"/>
    <n v="480"/>
    <n v="480"/>
    <x v="2"/>
    <n v="6.2755102040816324E-3"/>
  </r>
  <r>
    <x v="0"/>
    <x v="1"/>
    <n v="320000"/>
    <n v="0"/>
    <n v="0"/>
    <n v="0"/>
    <x v="2"/>
    <n v="0"/>
  </r>
  <r>
    <x v="0"/>
    <x v="1"/>
    <n v="21250"/>
    <n v="48843.495000000003"/>
    <n v="47275.845000000001"/>
    <n v="44006.175000000003"/>
    <x v="2"/>
    <n v="2.2985174117647058"/>
  </r>
  <r>
    <x v="0"/>
    <x v="1"/>
    <n v="58750"/>
    <n v="0"/>
    <n v="0"/>
    <n v="0"/>
    <x v="2"/>
    <n v="0"/>
  </r>
  <r>
    <x v="0"/>
    <x v="1"/>
    <n v="5575"/>
    <n v="0"/>
    <n v="0"/>
    <n v="0"/>
    <x v="2"/>
    <n v="0"/>
  </r>
  <r>
    <x v="0"/>
    <x v="1"/>
    <n v="184172.5"/>
    <n v="17019.95"/>
    <n v="15078.1175"/>
    <n v="8261.7999999999993"/>
    <x v="2"/>
    <n v="9.2413090988068256E-2"/>
  </r>
  <r>
    <x v="0"/>
    <x v="1"/>
    <n v="135950"/>
    <n v="15187.5"/>
    <n v="5517.5"/>
    <n v="0"/>
    <x v="2"/>
    <n v="0.11171386539168812"/>
  </r>
  <r>
    <x v="0"/>
    <x v="2"/>
    <n v="492797"/>
    <n v="309056.58750000002"/>
    <n v="286976.80249999999"/>
    <n v="286859.43"/>
    <x v="2"/>
    <n v="0.62714786717451609"/>
  </r>
  <r>
    <x v="0"/>
    <x v="2"/>
    <n v="103250"/>
    <n v="0"/>
    <n v="0"/>
    <n v="0"/>
    <x v="2"/>
    <n v="0"/>
  </r>
  <r>
    <x v="0"/>
    <x v="2"/>
    <n v="1000"/>
    <n v="1243"/>
    <n v="1243"/>
    <n v="1243"/>
    <x v="2"/>
    <n v="1.2430000000000001"/>
  </r>
  <r>
    <x v="0"/>
    <x v="2"/>
    <n v="636233"/>
    <n v="210014.51"/>
    <n v="168047.69"/>
    <n v="158147.69"/>
    <x v="2"/>
    <n v="0.33009056430584394"/>
  </r>
  <r>
    <x v="0"/>
    <x v="2"/>
    <n v="750"/>
    <n v="0"/>
    <n v="0"/>
    <n v="0"/>
    <x v="2"/>
    <n v="0"/>
  </r>
  <r>
    <x v="0"/>
    <x v="2"/>
    <n v="37192987.600000001"/>
    <n v="10486692.3945"/>
    <n v="5640417.2755000005"/>
    <n v="4903093.2755000005"/>
    <x v="2"/>
    <n v="0.28195348293289568"/>
  </r>
  <r>
    <x v="0"/>
    <x v="2"/>
    <n v="40944.5"/>
    <n v="0"/>
    <n v="0"/>
    <n v="0"/>
    <x v="2"/>
    <n v="0"/>
  </r>
  <r>
    <x v="0"/>
    <x v="2"/>
    <n v="10183"/>
    <n v="94.511499999999998"/>
    <n v="94.511499999999998"/>
    <n v="94.511499999999998"/>
    <x v="2"/>
    <n v="9.2813021702838061E-3"/>
  </r>
  <r>
    <x v="0"/>
    <x v="2"/>
    <n v="124730985"/>
    <n v="98819729.329999998"/>
    <n v="68945890.560000002"/>
    <n v="63056076.590000004"/>
    <x v="2"/>
    <n v="0.79226287942807472"/>
  </r>
  <r>
    <x v="0"/>
    <x v="2"/>
    <n v="328800"/>
    <n v="0"/>
    <n v="0"/>
    <n v="0"/>
    <x v="2"/>
    <n v="0"/>
  </r>
  <r>
    <x v="0"/>
    <x v="2"/>
    <n v="1282638"/>
    <n v="402975"/>
    <n v="335812.5"/>
    <n v="335812.5"/>
    <x v="2"/>
    <n v="0.31417672016578335"/>
  </r>
  <r>
    <x v="0"/>
    <x v="2"/>
    <n v="54000"/>
    <n v="0"/>
    <n v="0"/>
    <n v="0"/>
    <x v="2"/>
    <n v="0"/>
  </r>
  <r>
    <x v="0"/>
    <x v="2"/>
    <n v="21000"/>
    <n v="0"/>
    <n v="0"/>
    <n v="0"/>
    <x v="2"/>
    <n v="0"/>
  </r>
  <r>
    <x v="0"/>
    <x v="2"/>
    <n v="100000"/>
    <n v="0"/>
    <n v="0"/>
    <n v="0"/>
    <x v="2"/>
    <n v="0"/>
  </r>
  <r>
    <x v="0"/>
    <x v="2"/>
    <n v="580800"/>
    <n v="0"/>
    <n v="0"/>
    <n v="0"/>
    <x v="2"/>
    <n v="0"/>
  </r>
  <r>
    <x v="0"/>
    <x v="2"/>
    <n v="1856064"/>
    <n v="622116.93999999994"/>
    <n v="561321.27"/>
    <n v="561321.27"/>
    <x v="2"/>
    <n v="0.33518075885314297"/>
  </r>
  <r>
    <x v="0"/>
    <x v="2"/>
    <n v="20347355"/>
    <n v="5774658.5700000003"/>
    <n v="5768342.8899999997"/>
    <n v="5453197.8499999996"/>
    <x v="2"/>
    <n v="0.28380389342988316"/>
  </r>
  <r>
    <x v="0"/>
    <x v="2"/>
    <n v="18254"/>
    <n v="0"/>
    <n v="0"/>
    <n v="0"/>
    <x v="2"/>
    <n v="0"/>
  </r>
  <r>
    <x v="0"/>
    <x v="2"/>
    <n v="1004000"/>
    <n v="448496.77"/>
    <n v="53788.800000000003"/>
    <n v="53788.800000000003"/>
    <x v="2"/>
    <n v="0.4467099302788845"/>
  </r>
  <r>
    <x v="0"/>
    <x v="2"/>
    <n v="3000"/>
    <n v="0"/>
    <n v="0"/>
    <n v="0"/>
    <x v="2"/>
    <n v="0"/>
  </r>
  <r>
    <x v="0"/>
    <x v="2"/>
    <n v="151997"/>
    <n v="0"/>
    <n v="0"/>
    <n v="0"/>
    <x v="2"/>
    <n v="0"/>
  </r>
  <r>
    <x v="0"/>
    <x v="2"/>
    <n v="1000"/>
    <n v="0"/>
    <n v="0"/>
    <n v="0"/>
    <x v="2"/>
    <n v="0"/>
  </r>
  <r>
    <x v="0"/>
    <x v="2"/>
    <n v="3163597"/>
    <n v="12000000"/>
    <n v="0"/>
    <n v="0"/>
    <x v="2"/>
    <n v="3.7931506446617567"/>
  </r>
  <r>
    <x v="0"/>
    <x v="2"/>
    <n v="4000"/>
    <n v="374500"/>
    <n v="347500"/>
    <n v="347500"/>
    <x v="2"/>
    <n v="93.625"/>
  </r>
  <r>
    <x v="0"/>
    <x v="2"/>
    <n v="1000"/>
    <n v="0"/>
    <n v="0"/>
    <n v="0"/>
    <x v="2"/>
    <n v="0"/>
  </r>
  <r>
    <x v="0"/>
    <x v="2"/>
    <n v="10351463"/>
    <n v="101273445.88"/>
    <n v="40550688.270000003"/>
    <n v="40550688.270000003"/>
    <x v="2"/>
    <n v="9.7834910756093123"/>
  </r>
  <r>
    <x v="0"/>
    <x v="2"/>
    <n v="9000"/>
    <n v="0"/>
    <n v="0"/>
    <n v="0"/>
    <x v="2"/>
    <n v="0"/>
  </r>
  <r>
    <x v="0"/>
    <x v="2"/>
    <n v="3095000"/>
    <n v="36078815.090000004"/>
    <n v="4562550.08"/>
    <n v="4506257.1900000004"/>
    <x v="2"/>
    <n v="11.657129269789985"/>
  </r>
  <r>
    <x v="0"/>
    <x v="2"/>
    <n v="42984542"/>
    <n v="51786216"/>
    <n v="37669974"/>
    <n v="37503810"/>
    <x v="2"/>
    <n v="1.2047637031935805"/>
  </r>
  <r>
    <x v="0"/>
    <x v="2"/>
    <n v="4012752"/>
    <n v="4886572.28"/>
    <n v="4046243"/>
    <n v="4046243"/>
    <x v="2"/>
    <n v="1.2177608484152522"/>
  </r>
  <r>
    <x v="0"/>
    <x v="2"/>
    <n v="1168939939"/>
    <n v="1165232811.3"/>
    <n v="1022380653.8099999"/>
    <n v="927067993.40999997"/>
    <x v="2"/>
    <n v="0.99682864142432215"/>
  </r>
  <r>
    <x v="0"/>
    <x v="2"/>
    <n v="1000"/>
    <n v="0"/>
    <n v="0"/>
    <n v="0"/>
    <x v="2"/>
    <n v="0"/>
  </r>
  <r>
    <x v="0"/>
    <x v="2"/>
    <n v="6933241"/>
    <n v="0"/>
    <n v="0"/>
    <n v="0"/>
    <x v="2"/>
    <n v="0"/>
  </r>
  <r>
    <x v="0"/>
    <x v="2"/>
    <n v="100000"/>
    <n v="0"/>
    <n v="0"/>
    <n v="0"/>
    <x v="2"/>
    <n v="0"/>
  </r>
  <r>
    <x v="0"/>
    <x v="2"/>
    <n v="901110"/>
    <n v="0"/>
    <n v="0"/>
    <n v="0"/>
    <x v="2"/>
    <n v="0"/>
  </r>
  <r>
    <x v="0"/>
    <x v="2"/>
    <n v="440000"/>
    <n v="0"/>
    <n v="0"/>
    <n v="0"/>
    <x v="2"/>
    <n v="0"/>
  </r>
  <r>
    <x v="0"/>
    <x v="2"/>
    <n v="8453"/>
    <n v="2136905.17"/>
    <n v="0"/>
    <n v="0"/>
    <x v="2"/>
    <n v="252.79843487519224"/>
  </r>
  <r>
    <x v="0"/>
    <x v="2"/>
    <n v="8746240"/>
    <n v="7808718"/>
    <n v="7808718"/>
    <n v="7180491.5"/>
    <x v="2"/>
    <n v="0.89280856688131127"/>
  </r>
  <r>
    <x v="0"/>
    <x v="2"/>
    <n v="1136005"/>
    <n v="0"/>
    <n v="0"/>
    <n v="0"/>
    <x v="2"/>
    <n v="0"/>
  </r>
  <r>
    <x v="0"/>
    <x v="2"/>
    <n v="3609000"/>
    <n v="2070746.14"/>
    <n v="1897653.84"/>
    <n v="1897653.84"/>
    <x v="2"/>
    <n v="0.57377282903851479"/>
  </r>
  <r>
    <x v="0"/>
    <x v="2"/>
    <n v="599200"/>
    <n v="0"/>
    <n v="0"/>
    <n v="0"/>
    <x v="2"/>
    <n v="0"/>
  </r>
  <r>
    <x v="0"/>
    <x v="2"/>
    <n v="31000"/>
    <n v="0"/>
    <n v="0"/>
    <n v="0"/>
    <x v="2"/>
    <n v="0"/>
  </r>
  <r>
    <x v="0"/>
    <x v="2"/>
    <n v="3617000"/>
    <n v="0"/>
    <n v="0"/>
    <n v="0"/>
    <x v="2"/>
    <n v="0"/>
  </r>
  <r>
    <x v="0"/>
    <x v="2"/>
    <n v="268960"/>
    <n v="0"/>
    <n v="0"/>
    <n v="0"/>
    <x v="2"/>
    <n v="0"/>
  </r>
  <r>
    <x v="0"/>
    <x v="2"/>
    <n v="754271"/>
    <n v="0"/>
    <n v="0"/>
    <n v="0"/>
    <x v="2"/>
    <n v="0"/>
  </r>
  <r>
    <x v="0"/>
    <x v="2"/>
    <n v="484902"/>
    <n v="376004.87"/>
    <n v="358004.87"/>
    <n v="358004.87"/>
    <x v="2"/>
    <n v="0.7754244569005696"/>
  </r>
  <r>
    <x v="0"/>
    <x v="2"/>
    <n v="8192688"/>
    <n v="34712290.520000003"/>
    <n v="29336124.789999999"/>
    <n v="29336124.789999999"/>
    <x v="2"/>
    <n v="4.2369843108879532"/>
  </r>
  <r>
    <x v="0"/>
    <x v="2"/>
    <n v="9000"/>
    <n v="0"/>
    <n v="0"/>
    <n v="0"/>
    <x v="2"/>
    <n v="0"/>
  </r>
  <r>
    <x v="0"/>
    <x v="2"/>
    <n v="2550000"/>
    <n v="13983346.539999999"/>
    <n v="1367144.05"/>
    <n v="1367144.05"/>
    <x v="2"/>
    <n v="5.4836653098039214"/>
  </r>
  <r>
    <x v="0"/>
    <x v="2"/>
    <n v="9000"/>
    <n v="0"/>
    <n v="0"/>
    <n v="0"/>
    <x v="2"/>
    <n v="0"/>
  </r>
  <r>
    <x v="0"/>
    <x v="2"/>
    <n v="878860"/>
    <n v="1652091.53"/>
    <n v="1102398.3999999999"/>
    <n v="1102398.3999999999"/>
    <x v="2"/>
    <n v="1.8798119495710353"/>
  </r>
  <r>
    <x v="0"/>
    <x v="2"/>
    <n v="627702633"/>
    <n v="654410032.53999996"/>
    <n v="546124393.86000001"/>
    <n v="502584657.36000001"/>
    <x v="2"/>
    <n v="1.0425478532921815"/>
  </r>
  <r>
    <x v="0"/>
    <x v="2"/>
    <n v="9000"/>
    <n v="0"/>
    <n v="0"/>
    <n v="0"/>
    <x v="2"/>
    <n v="0"/>
  </r>
  <r>
    <x v="0"/>
    <x v="2"/>
    <n v="224379158"/>
    <n v="244880283.97"/>
    <n v="192557261.66999999"/>
    <n v="192533461.66999999"/>
    <x v="2"/>
    <n v="1.0913682275695142"/>
  </r>
  <r>
    <x v="0"/>
    <x v="2"/>
    <n v="1000"/>
    <n v="0"/>
    <n v="0"/>
    <n v="0"/>
    <x v="2"/>
    <n v="0"/>
  </r>
  <r>
    <x v="0"/>
    <x v="2"/>
    <n v="750"/>
    <n v="0"/>
    <n v="0"/>
    <n v="0"/>
    <x v="2"/>
    <n v="0"/>
  </r>
  <r>
    <x v="0"/>
    <x v="2"/>
    <n v="27984.5"/>
    <n v="157467.75"/>
    <n v="16919.75"/>
    <n v="16919.75"/>
    <x v="2"/>
    <n v="5.6269631403098144"/>
  </r>
  <r>
    <x v="0"/>
    <x v="2"/>
    <n v="250"/>
    <n v="0"/>
    <n v="0"/>
    <n v="0"/>
    <x v="2"/>
    <n v="0"/>
  </r>
  <r>
    <x v="0"/>
    <x v="2"/>
    <n v="12500"/>
    <n v="25490.247500000001"/>
    <n v="0"/>
    <n v="0"/>
    <x v="2"/>
    <n v="2.0392198000000001"/>
  </r>
  <r>
    <x v="0"/>
    <x v="2"/>
    <n v="16180"/>
    <n v="21442.75"/>
    <n v="13326.5"/>
    <n v="13326.5"/>
    <x v="2"/>
    <n v="1.3252626699629171"/>
  </r>
  <r>
    <x v="0"/>
    <x v="2"/>
    <n v="1914"/>
    <n v="2552.5"/>
    <n v="1595"/>
    <n v="1595"/>
    <x v="2"/>
    <n v="1.333594566353187"/>
  </r>
  <r>
    <x v="0"/>
    <x v="2"/>
    <n v="5632866"/>
    <n v="5246609.0975000001"/>
    <n v="5227587.7649999997"/>
    <n v="4729071.0049999999"/>
    <x v="2"/>
    <n v="0.93142799731078285"/>
  </r>
  <r>
    <x v="0"/>
    <x v="2"/>
    <n v="152820"/>
    <n v="1018083.83"/>
    <n v="311931"/>
    <n v="311931"/>
    <x v="2"/>
    <n v="6.6619803036251799"/>
  </r>
  <r>
    <x v="0"/>
    <x v="2"/>
    <n v="3000"/>
    <n v="0"/>
    <n v="0"/>
    <n v="0"/>
    <x v="2"/>
    <n v="0"/>
  </r>
  <r>
    <x v="0"/>
    <x v="2"/>
    <n v="150000"/>
    <n v="174759"/>
    <n v="0"/>
    <n v="0"/>
    <x v="2"/>
    <n v="1.16506"/>
  </r>
  <r>
    <x v="0"/>
    <x v="2"/>
    <n v="587640"/>
    <n v="556066.31999999995"/>
    <n v="422391"/>
    <n v="422391"/>
    <x v="2"/>
    <n v="0.94627036961404931"/>
  </r>
  <r>
    <x v="0"/>
    <x v="2"/>
    <n v="16296"/>
    <n v="31810"/>
    <n v="23845"/>
    <n v="23845"/>
    <x v="2"/>
    <n v="1.9520127638684339"/>
  </r>
  <r>
    <x v="0"/>
    <x v="2"/>
    <n v="12000"/>
    <n v="0"/>
    <n v="0"/>
    <n v="0"/>
    <x v="2"/>
    <n v="0"/>
  </r>
  <r>
    <x v="0"/>
    <x v="2"/>
    <n v="5168716"/>
    <n v="127243.05"/>
    <n v="19211.05"/>
    <n v="19211.05"/>
    <x v="2"/>
    <n v="2.4617922516926835E-2"/>
  </r>
  <r>
    <x v="0"/>
    <x v="2"/>
    <n v="2686734"/>
    <n v="0"/>
    <n v="0"/>
    <n v="0"/>
    <x v="2"/>
    <n v="0"/>
  </r>
  <r>
    <x v="0"/>
    <x v="2"/>
    <n v="360000"/>
    <n v="279000"/>
    <n v="255750"/>
    <n v="255750"/>
    <x v="2"/>
    <n v="0.77500000000000002"/>
  </r>
  <r>
    <x v="0"/>
    <x v="2"/>
    <n v="1420000"/>
    <n v="4132664.46"/>
    <n v="4132664.46"/>
    <n v="3751196.16"/>
    <x v="2"/>
    <n v="2.9103270845070424"/>
  </r>
  <r>
    <x v="0"/>
    <x v="2"/>
    <n v="1080000"/>
    <n v="0"/>
    <n v="0"/>
    <n v="0"/>
    <x v="2"/>
    <n v="0"/>
  </r>
  <r>
    <x v="0"/>
    <x v="2"/>
    <n v="6050"/>
    <n v="1347.5"/>
    <n v="1347.5"/>
    <n v="1347.5"/>
    <x v="2"/>
    <n v="0.22272727272727272"/>
  </r>
  <r>
    <x v="0"/>
    <x v="2"/>
    <n v="10178"/>
    <n v="0"/>
    <n v="0"/>
    <n v="0"/>
    <x v="2"/>
    <n v="0"/>
  </r>
  <r>
    <x v="0"/>
    <x v="2"/>
    <n v="1650"/>
    <n v="0"/>
    <n v="0"/>
    <n v="0"/>
    <x v="2"/>
    <n v="0"/>
  </r>
  <r>
    <x v="0"/>
    <x v="2"/>
    <n v="750"/>
    <n v="0"/>
    <n v="0"/>
    <n v="0"/>
    <x v="2"/>
    <n v="0"/>
  </r>
  <r>
    <x v="0"/>
    <x v="2"/>
    <n v="100021"/>
    <n v="38602.9375"/>
    <n v="26017.6525"/>
    <n v="26017.6525"/>
    <x v="2"/>
    <n v="0.38594832585157118"/>
  </r>
  <r>
    <x v="0"/>
    <x v="2"/>
    <n v="323612.84999999998"/>
    <n v="321091.29100000003"/>
    <n v="293497.77500000002"/>
    <n v="293497.77500000002"/>
    <x v="2"/>
    <n v="0.99220809989467373"/>
  </r>
  <r>
    <x v="0"/>
    <x v="2"/>
    <n v="850000"/>
    <n v="647803.79350000003"/>
    <n v="595712.15549999999"/>
    <n v="595712.15549999999"/>
    <x v="2"/>
    <n v="0.76212211000000007"/>
  </r>
  <r>
    <x v="0"/>
    <x v="2"/>
    <n v="297500"/>
    <n v="0"/>
    <n v="0"/>
    <n v="0"/>
    <x v="2"/>
    <n v="0"/>
  </r>
  <r>
    <x v="2"/>
    <x v="6"/>
    <n v="349777"/>
    <n v="331339.21999999997"/>
    <n v="331339.21999999997"/>
    <n v="310016.92"/>
    <x v="2"/>
    <n v="0.94728704288732524"/>
  </r>
  <r>
    <x v="2"/>
    <x v="6"/>
    <n v="4500"/>
    <n v="0"/>
    <n v="0"/>
    <n v="0"/>
    <x v="2"/>
    <n v="0"/>
  </r>
  <r>
    <x v="2"/>
    <x v="6"/>
    <n v="3125"/>
    <n v="0"/>
    <n v="0"/>
    <n v="0"/>
    <x v="2"/>
    <n v="0"/>
  </r>
  <r>
    <x v="2"/>
    <x v="6"/>
    <n v="11550657.5"/>
    <n v="10880612.1775"/>
    <n v="10704407.0725"/>
    <n v="9932739.6125000007"/>
    <x v="2"/>
    <n v="0.941990720225234"/>
  </r>
  <r>
    <x v="2"/>
    <x v="6"/>
    <n v="382776.5"/>
    <n v="377747.04499999998"/>
    <n v="377747.04499999998"/>
    <n v="377747.04499999998"/>
    <x v="2"/>
    <n v="0.98686059619647493"/>
  </r>
  <r>
    <x v="2"/>
    <x v="6"/>
    <n v="537477.5"/>
    <n v="579558.72"/>
    <n v="579558.72"/>
    <n v="567977.28"/>
    <x v="2"/>
    <n v="1.078293919280342"/>
  </r>
  <r>
    <x v="2"/>
    <x v="6"/>
    <n v="6667632"/>
    <n v="3002723.37"/>
    <n v="3002723.37"/>
    <n v="3002723.37"/>
    <x v="2"/>
    <n v="0.45034329579076954"/>
  </r>
  <r>
    <x v="2"/>
    <x v="6"/>
    <n v="119500"/>
    <n v="0"/>
    <n v="0"/>
    <n v="0"/>
    <x v="2"/>
    <n v="0"/>
  </r>
  <r>
    <x v="2"/>
    <x v="6"/>
    <n v="1512000"/>
    <n v="0"/>
    <n v="0"/>
    <n v="0"/>
    <x v="2"/>
    <n v="0"/>
  </r>
  <r>
    <x v="2"/>
    <x v="6"/>
    <n v="26116171"/>
    <n v="26844193.140000001"/>
    <n v="26537542.079999998"/>
    <n v="26519697.539999999"/>
    <x v="2"/>
    <n v="1.0278762970268498"/>
  </r>
  <r>
    <x v="2"/>
    <x v="6"/>
    <n v="1088955"/>
    <n v="1071454.32"/>
    <n v="1071454.32"/>
    <n v="982166.46"/>
    <x v="2"/>
    <n v="0.98392892268275556"/>
  </r>
  <r>
    <x v="2"/>
    <x v="6"/>
    <n v="710829"/>
    <n v="720566.23"/>
    <n v="719232.87"/>
    <n v="663073.15"/>
    <x v="2"/>
    <n v="1.0136984141052208"/>
  </r>
  <r>
    <x v="2"/>
    <x v="6"/>
    <n v="298738"/>
    <n v="328900"/>
    <n v="328900"/>
    <n v="328900"/>
    <x v="2"/>
    <n v="1.1009647249429266"/>
  </r>
  <r>
    <x v="2"/>
    <x v="6"/>
    <n v="701904"/>
    <n v="524700"/>
    <n v="521400"/>
    <n v="521400"/>
    <x v="2"/>
    <n v="0.74753812487177729"/>
  </r>
  <r>
    <x v="2"/>
    <x v="6"/>
    <n v="605183"/>
    <n v="50423.25"/>
    <n v="46052.86"/>
    <n v="46052.86"/>
    <x v="2"/>
    <n v="8.3319012596189915E-2"/>
  </r>
  <r>
    <x v="2"/>
    <x v="6"/>
    <n v="12400"/>
    <n v="0"/>
    <n v="0"/>
    <n v="0"/>
    <x v="2"/>
    <n v="0"/>
  </r>
  <r>
    <x v="2"/>
    <x v="6"/>
    <n v="805982"/>
    <n v="808080.48"/>
    <n v="802676.25"/>
    <n v="802676.25"/>
    <x v="2"/>
    <n v="1.0026036313466058"/>
  </r>
  <r>
    <x v="2"/>
    <x v="6"/>
    <n v="9747258"/>
    <n v="5563057.5700000003"/>
    <n v="4755539.92"/>
    <n v="4429258.37"/>
    <x v="2"/>
    <n v="0.57073051416100817"/>
  </r>
  <r>
    <x v="2"/>
    <x v="6"/>
    <n v="262635"/>
    <n v="0"/>
    <n v="0"/>
    <n v="0"/>
    <x v="2"/>
    <n v="0"/>
  </r>
  <r>
    <x v="2"/>
    <x v="6"/>
    <n v="355250"/>
    <n v="529336"/>
    <n v="529336"/>
    <n v="529336"/>
    <x v="2"/>
    <n v="1.4900380014074595"/>
  </r>
  <r>
    <x v="2"/>
    <x v="6"/>
    <n v="775366"/>
    <n v="143806.5"/>
    <n v="143086.5"/>
    <n v="143086.5"/>
    <x v="2"/>
    <n v="0.18546918487527181"/>
  </r>
  <r>
    <x v="2"/>
    <x v="6"/>
    <n v="580420"/>
    <n v="450705.62"/>
    <n v="450705.62"/>
    <n v="450705.62"/>
    <x v="2"/>
    <n v="0.77651635022914445"/>
  </r>
  <r>
    <x v="2"/>
    <x v="6"/>
    <n v="958370"/>
    <n v="0"/>
    <n v="0"/>
    <n v="0"/>
    <x v="2"/>
    <n v="0"/>
  </r>
  <r>
    <x v="2"/>
    <x v="6"/>
    <n v="185900"/>
    <n v="0"/>
    <n v="0"/>
    <n v="0"/>
    <x v="2"/>
    <n v="0"/>
  </r>
  <r>
    <x v="2"/>
    <x v="6"/>
    <n v="172000"/>
    <n v="31600"/>
    <n v="31600"/>
    <n v="0"/>
    <x v="2"/>
    <n v="0.18372093023255814"/>
  </r>
  <r>
    <x v="2"/>
    <x v="6"/>
    <n v="104650"/>
    <n v="11800"/>
    <n v="0"/>
    <n v="0"/>
    <x v="2"/>
    <n v="0.11275680840898232"/>
  </r>
  <r>
    <x v="2"/>
    <x v="6"/>
    <n v="93600"/>
    <n v="0"/>
    <n v="0"/>
    <n v="0"/>
    <x v="2"/>
    <n v="0"/>
  </r>
  <r>
    <x v="2"/>
    <x v="6"/>
    <n v="213346"/>
    <n v="0"/>
    <n v="0"/>
    <n v="0"/>
    <x v="2"/>
    <n v="0"/>
  </r>
  <r>
    <x v="2"/>
    <x v="6"/>
    <n v="365031"/>
    <n v="98593.177500000005"/>
    <n v="71983.899999999994"/>
    <n v="71983.899999999994"/>
    <x v="2"/>
    <n v="0.27009535491506204"/>
  </r>
  <r>
    <x v="2"/>
    <x v="6"/>
    <n v="6173227.75"/>
    <n v="7722634.0999999996"/>
    <n v="7392249.0125000002"/>
    <n v="6886272.6950000003"/>
    <x v="2"/>
    <n v="1.2509880426815614"/>
  </r>
  <r>
    <x v="2"/>
    <x v="6"/>
    <n v="1746176.75"/>
    <n v="1294062.02"/>
    <n v="1291772.27"/>
    <n v="1254997.98"/>
    <x v="2"/>
    <n v="0.74108306619017805"/>
  </r>
  <r>
    <x v="2"/>
    <x v="6"/>
    <n v="0"/>
    <n v="2067714.81"/>
    <n v="2067714.81"/>
    <n v="2067714.81"/>
    <x v="2"/>
    <n v="0"/>
  </r>
  <r>
    <x v="2"/>
    <x v="6"/>
    <n v="28651.75"/>
    <n v="0"/>
    <n v="0"/>
    <n v="0"/>
    <x v="2"/>
    <n v="0"/>
  </r>
  <r>
    <x v="2"/>
    <x v="6"/>
    <n v="650250"/>
    <n v="429298.10749999998"/>
    <n v="429298.10749999998"/>
    <n v="429298.10749999998"/>
    <x v="2"/>
    <n v="0.66020470203767778"/>
  </r>
  <r>
    <x v="2"/>
    <x v="6"/>
    <n v="3750"/>
    <n v="0"/>
    <n v="0"/>
    <n v="0"/>
    <x v="2"/>
    <n v="0"/>
  </r>
  <r>
    <x v="2"/>
    <x v="6"/>
    <n v="2160791.75"/>
    <n v="1406767.4775"/>
    <n v="1077622.3274999999"/>
    <n v="1058566.645"/>
    <x v="2"/>
    <n v="0.65104259931573694"/>
  </r>
  <r>
    <x v="2"/>
    <x v="6"/>
    <n v="317500"/>
    <n v="102025"/>
    <n v="94425"/>
    <n v="90900"/>
    <x v="2"/>
    <n v="0.32133858267716536"/>
  </r>
  <r>
    <x v="2"/>
    <x v="6"/>
    <n v="214693.75"/>
    <n v="131167.8725"/>
    <n v="47624.547500000001"/>
    <n v="47624.547500000001"/>
    <x v="2"/>
    <n v="0.61095338126983201"/>
  </r>
  <r>
    <x v="2"/>
    <x v="6"/>
    <n v="114750"/>
    <n v="0"/>
    <n v="0"/>
    <n v="0"/>
    <x v="2"/>
    <n v="0"/>
  </r>
  <r>
    <x v="2"/>
    <x v="6"/>
    <n v="125"/>
    <n v="0"/>
    <n v="0"/>
    <n v="0"/>
    <x v="2"/>
    <n v="0"/>
  </r>
  <r>
    <x v="2"/>
    <x v="6"/>
    <n v="1027273.5"/>
    <n v="1068074.0125"/>
    <n v="1053628.4475"/>
    <n v="1053628.4475"/>
    <x v="2"/>
    <n v="1.0397172831772648"/>
  </r>
  <r>
    <x v="2"/>
    <x v="6"/>
    <n v="1257895.25"/>
    <n v="1510698.5"/>
    <n v="1491662.6924999999"/>
    <n v="1491662.6924999999"/>
    <x v="2"/>
    <n v="1.2009732129920994"/>
  </r>
  <r>
    <x v="2"/>
    <x v="6"/>
    <n v="1373615.75"/>
    <n v="1431838.56"/>
    <n v="1417612.59"/>
    <n v="1388405.09"/>
    <x v="2"/>
    <n v="1.04238653349745"/>
  </r>
  <r>
    <x v="2"/>
    <x v="6"/>
    <n v="108839.25"/>
    <n v="123235.015"/>
    <n v="117909.155"/>
    <n v="117909.155"/>
    <x v="2"/>
    <n v="1.1322663009897624"/>
  </r>
  <r>
    <x v="2"/>
    <x v="6"/>
    <n v="500"/>
    <n v="0"/>
    <n v="0"/>
    <n v="0"/>
    <x v="2"/>
    <n v="0"/>
  </r>
  <r>
    <x v="2"/>
    <x v="6"/>
    <n v="1000"/>
    <n v="0"/>
    <n v="0"/>
    <n v="0"/>
    <x v="2"/>
    <n v="0"/>
  </r>
  <r>
    <x v="2"/>
    <x v="6"/>
    <n v="2981938"/>
    <n v="6150218.9850000003"/>
    <n v="6003084.4850000003"/>
    <n v="5571291.1675000004"/>
    <x v="2"/>
    <n v="2.0624905631840771"/>
  </r>
  <r>
    <x v="2"/>
    <x v="6"/>
    <n v="327237"/>
    <n v="215146.50750000001"/>
    <n v="215146.50750000001"/>
    <n v="215146.50750000001"/>
    <x v="2"/>
    <n v="0.65746387939016682"/>
  </r>
  <r>
    <x v="2"/>
    <x v="6"/>
    <n v="1230454.75"/>
    <n v="1227454.5900000001"/>
    <n v="1227454.5900000001"/>
    <n v="1227454.5900000001"/>
    <x v="2"/>
    <n v="0.99756174698825784"/>
  </r>
  <r>
    <x v="2"/>
    <x v="6"/>
    <n v="1080530"/>
    <n v="467640"/>
    <n v="467640"/>
    <n v="467640"/>
    <x v="2"/>
    <n v="0.4327876134859745"/>
  </r>
  <r>
    <x v="2"/>
    <x v="6"/>
    <n v="1285490.75"/>
    <n v="1590758.28"/>
    <n v="1588323.655"/>
    <n v="1450704.86"/>
    <x v="2"/>
    <n v="1.2374715881852902"/>
  </r>
  <r>
    <x v="2"/>
    <x v="6"/>
    <n v="5508897"/>
    <n v="5457730.3899999997"/>
    <n v="5447786.4675000003"/>
    <n v="4992123.0999999996"/>
    <x v="2"/>
    <n v="0.99071200459910569"/>
  </r>
  <r>
    <x v="2"/>
    <x v="6"/>
    <n v="348471.5"/>
    <n v="68982.75"/>
    <n v="68982.75"/>
    <n v="68982.75"/>
    <x v="2"/>
    <n v="0.19795808265525303"/>
  </r>
  <r>
    <x v="2"/>
    <x v="6"/>
    <n v="235597.75"/>
    <n v="57388.014999999999"/>
    <n v="48554.05"/>
    <n v="46792.24"/>
    <x v="2"/>
    <n v="0.24358473287626897"/>
  </r>
  <r>
    <x v="2"/>
    <x v="6"/>
    <n v="92250"/>
    <n v="33750"/>
    <n v="28725"/>
    <n v="28725"/>
    <x v="2"/>
    <n v="0.36585365853658536"/>
  </r>
  <r>
    <x v="2"/>
    <x v="6"/>
    <n v="75000"/>
    <n v="0"/>
    <n v="0"/>
    <n v="0"/>
    <x v="2"/>
    <n v="0"/>
  </r>
  <r>
    <x v="2"/>
    <x v="6"/>
    <n v="6250"/>
    <n v="0"/>
    <n v="0"/>
    <n v="0"/>
    <x v="2"/>
    <n v="0"/>
  </r>
  <r>
    <x v="2"/>
    <x v="6"/>
    <n v="250"/>
    <n v="0"/>
    <n v="0"/>
    <n v="0"/>
    <x v="2"/>
    <n v="0"/>
  </r>
  <r>
    <x v="2"/>
    <x v="6"/>
    <n v="750"/>
    <n v="0"/>
    <n v="0"/>
    <n v="0"/>
    <x v="2"/>
    <n v="0"/>
  </r>
  <r>
    <x v="2"/>
    <x v="6"/>
    <n v="59569.25"/>
    <n v="55819.147499999999"/>
    <n v="6260.0249999999996"/>
    <n v="6260.0249999999996"/>
    <x v="2"/>
    <n v="0.93704633682646665"/>
  </r>
  <r>
    <x v="2"/>
    <x v="6"/>
    <n v="3250"/>
    <n v="5547.1424999999999"/>
    <n v="1349.7449999999999"/>
    <n v="1349.7449999999999"/>
    <x v="2"/>
    <n v="1.7068130769230769"/>
  </r>
  <r>
    <x v="2"/>
    <x v="6"/>
    <n v="64437.5"/>
    <n v="0"/>
    <n v="0"/>
    <n v="0"/>
    <x v="2"/>
    <n v="0"/>
  </r>
  <r>
    <x v="2"/>
    <x v="6"/>
    <n v="4375"/>
    <n v="0"/>
    <n v="0"/>
    <n v="0"/>
    <x v="2"/>
    <n v="0"/>
  </r>
  <r>
    <x v="2"/>
    <x v="6"/>
    <n v="12375"/>
    <n v="79196.820000000007"/>
    <n v="5890.9875000000002"/>
    <n v="5890.9875000000002"/>
    <x v="2"/>
    <n v="6.3997430303030312"/>
  </r>
  <r>
    <x v="2"/>
    <x v="6"/>
    <n v="1025000"/>
    <n v="594543.56499999994"/>
    <n v="479772.04"/>
    <n v="462649.1875"/>
    <x v="2"/>
    <n v="0.58004250243902433"/>
  </r>
  <r>
    <x v="2"/>
    <x v="6"/>
    <n v="3179687.5"/>
    <n v="3201328.04"/>
    <n v="2765944.65"/>
    <n v="2660053.1749999998"/>
    <x v="2"/>
    <n v="1.0068058700737101"/>
  </r>
  <r>
    <x v="2"/>
    <x v="6"/>
    <n v="432645.5"/>
    <n v="94331.815000000002"/>
    <n v="91847.065000000002"/>
    <n v="91847.065000000002"/>
    <x v="2"/>
    <n v="0.21803489230790568"/>
  </r>
  <r>
    <x v="2"/>
    <x v="6"/>
    <n v="7947"/>
    <n v="472.5"/>
    <n v="472.5"/>
    <n v="472.5"/>
    <x v="2"/>
    <n v="5.9456398640996604E-2"/>
  </r>
  <r>
    <x v="2"/>
    <x v="6"/>
    <n v="2652000"/>
    <n v="0"/>
    <n v="0"/>
    <n v="0"/>
    <x v="2"/>
    <n v="0"/>
  </r>
  <r>
    <x v="2"/>
    <x v="6"/>
    <n v="79567"/>
    <n v="32106.977500000001"/>
    <n v="21047.305"/>
    <n v="20942.7"/>
    <x v="2"/>
    <n v="0.40352127766536378"/>
  </r>
  <r>
    <x v="2"/>
    <x v="6"/>
    <n v="204222"/>
    <n v="89945.014999999999"/>
    <n v="80882.517500000002"/>
    <n v="80687.107499999998"/>
    <x v="2"/>
    <n v="0.44042764736414292"/>
  </r>
  <r>
    <x v="2"/>
    <x v="6"/>
    <n v="15800"/>
    <n v="109829.3875"/>
    <n v="98351.66"/>
    <n v="98351.66"/>
    <x v="2"/>
    <n v="6.9512270569620247"/>
  </r>
  <r>
    <x v="2"/>
    <x v="6"/>
    <n v="126362.5"/>
    <n v="38948.83"/>
    <n v="35575.472500000003"/>
    <n v="35575.472500000003"/>
    <x v="2"/>
    <n v="0.30823092293995452"/>
  </r>
  <r>
    <x v="2"/>
    <x v="6"/>
    <n v="0"/>
    <n v="3049.6275000000001"/>
    <n v="0"/>
    <n v="0"/>
    <x v="2"/>
    <n v="0"/>
  </r>
  <r>
    <x v="2"/>
    <x v="6"/>
    <n v="13962.5"/>
    <n v="1709.4124999999999"/>
    <n v="326.91250000000002"/>
    <n v="326.91250000000002"/>
    <x v="2"/>
    <n v="0.12242882721575649"/>
  </r>
  <r>
    <x v="2"/>
    <x v="6"/>
    <n v="2197930.25"/>
    <n v="2790576.3525"/>
    <n v="2719686.6924999999"/>
    <n v="2579529.3925000001"/>
    <x v="2"/>
    <n v="1.2696382665009502"/>
  </r>
  <r>
    <x v="2"/>
    <x v="6"/>
    <n v="8603371"/>
    <n v="8463084.9275000002"/>
    <n v="8173804.5700000003"/>
    <n v="7686975.96"/>
    <x v="2"/>
    <n v="0.98369405753860906"/>
  </r>
  <r>
    <x v="2"/>
    <x v="6"/>
    <n v="24750"/>
    <n v="0"/>
    <n v="0"/>
    <n v="0"/>
    <x v="2"/>
    <n v="0"/>
  </r>
  <r>
    <x v="2"/>
    <x v="6"/>
    <n v="248139.75"/>
    <n v="233228.9975"/>
    <n v="213283.38750000001"/>
    <n v="201007.9675"/>
    <x v="2"/>
    <n v="0.93990985926277426"/>
  </r>
  <r>
    <x v="2"/>
    <x v="7"/>
    <n v="1258792"/>
    <n v="786306.28"/>
    <n v="712406.62"/>
    <n v="712406.62"/>
    <x v="2"/>
    <n v="0.6246514753827479"/>
  </r>
  <r>
    <x v="2"/>
    <x v="7"/>
    <n v="41000"/>
    <n v="0"/>
    <n v="0"/>
    <n v="0"/>
    <x v="2"/>
    <n v="0"/>
  </r>
  <r>
    <x v="2"/>
    <x v="7"/>
    <n v="2625"/>
    <n v="337.5"/>
    <n v="337.5"/>
    <n v="337.5"/>
    <x v="2"/>
    <n v="0.12857142857142856"/>
  </r>
  <r>
    <x v="2"/>
    <x v="7"/>
    <n v="38231"/>
    <n v="10559.92"/>
    <n v="10559.92"/>
    <n v="10559.92"/>
    <x v="2"/>
    <n v="0.27621354398263187"/>
  </r>
  <r>
    <x v="2"/>
    <x v="7"/>
    <n v="71625"/>
    <n v="0"/>
    <n v="0"/>
    <n v="0"/>
    <x v="2"/>
    <n v="0"/>
  </r>
  <r>
    <x v="2"/>
    <x v="7"/>
    <n v="14000"/>
    <n v="0"/>
    <n v="0"/>
    <n v="0"/>
    <x v="2"/>
    <n v="0"/>
  </r>
  <r>
    <x v="2"/>
    <x v="7"/>
    <n v="14000"/>
    <n v="0"/>
    <n v="0"/>
    <n v="0"/>
    <x v="2"/>
    <n v="0"/>
  </r>
  <r>
    <x v="2"/>
    <x v="7"/>
    <n v="4950"/>
    <n v="3989.5450000000001"/>
    <n v="3056.895"/>
    <n v="1256.5825"/>
    <x v="2"/>
    <n v="0.80596868686868683"/>
  </r>
  <r>
    <x v="2"/>
    <x v="7"/>
    <n v="2500"/>
    <n v="330.12"/>
    <n v="330.12"/>
    <n v="330.12"/>
    <x v="2"/>
    <n v="0.132048"/>
  </r>
  <r>
    <x v="2"/>
    <x v="7"/>
    <n v="29625"/>
    <n v="299.5"/>
    <n v="299.5"/>
    <n v="299.5"/>
    <x v="2"/>
    <n v="1.0109704641350211E-2"/>
  </r>
  <r>
    <x v="2"/>
    <x v="7"/>
    <n v="25000"/>
    <n v="0"/>
    <n v="0"/>
    <n v="0"/>
    <x v="2"/>
    <n v="0"/>
  </r>
  <r>
    <x v="2"/>
    <x v="7"/>
    <n v="437032"/>
    <n v="407235.83"/>
    <n v="385323.16"/>
    <n v="362502.10499999998"/>
    <x v="2"/>
    <n v="0.93182153709568183"/>
  </r>
  <r>
    <x v="2"/>
    <x v="7"/>
    <n v="50000"/>
    <n v="0"/>
    <n v="0"/>
    <n v="0"/>
    <x v="2"/>
    <n v="0"/>
  </r>
  <r>
    <x v="2"/>
    <x v="7"/>
    <n v="228480.25"/>
    <n v="143660.37"/>
    <n v="129793.67"/>
    <n v="129793.67"/>
    <x v="2"/>
    <n v="0.62876493701315539"/>
  </r>
  <r>
    <x v="2"/>
    <x v="7"/>
    <n v="62500"/>
    <n v="0"/>
    <n v="0"/>
    <n v="0"/>
    <x v="2"/>
    <n v="0"/>
  </r>
  <r>
    <x v="2"/>
    <x v="7"/>
    <n v="381586.75"/>
    <n v="344102.1825"/>
    <n v="339466.815"/>
    <n v="319566.14"/>
    <x v="2"/>
    <n v="0.90176659042799567"/>
  </r>
  <r>
    <x v="2"/>
    <x v="7"/>
    <n v="2554982.25"/>
    <n v="19105.232499999998"/>
    <n v="16226.7775"/>
    <n v="11817.057500000001"/>
    <x v="2"/>
    <n v="7.4776380540412749E-3"/>
  </r>
  <r>
    <x v="2"/>
    <x v="7"/>
    <n v="62500"/>
    <n v="0"/>
    <n v="0"/>
    <n v="0"/>
    <x v="2"/>
    <n v="0"/>
  </r>
  <r>
    <x v="2"/>
    <x v="7"/>
    <n v="197941.75"/>
    <n v="183548.13750000001"/>
    <n v="183548.13750000001"/>
    <n v="169109.76749999999"/>
    <x v="2"/>
    <n v="0.92728359479493339"/>
  </r>
  <r>
    <x v="1"/>
    <x v="3"/>
    <n v="364265.75"/>
    <n v="101500"/>
    <n v="73225.487500000003"/>
    <n v="44742.65"/>
    <x v="2"/>
    <n v="0.27864272169425758"/>
  </r>
  <r>
    <x v="1"/>
    <x v="3"/>
    <n v="264000"/>
    <n v="144645.85250000001"/>
    <n v="131270.85250000001"/>
    <n v="131270.85250000001"/>
    <x v="2"/>
    <n v="0.54790095643939396"/>
  </r>
  <r>
    <x v="1"/>
    <x v="3"/>
    <n v="129250"/>
    <n v="12962"/>
    <n v="12962"/>
    <n v="12962"/>
    <x v="2"/>
    <n v="0.1002862669245648"/>
  </r>
  <r>
    <x v="1"/>
    <x v="3"/>
    <n v="89925"/>
    <n v="227824.54500000001"/>
    <n v="196680.20749999999"/>
    <n v="196680.20749999999"/>
    <x v="2"/>
    <n v="2.533495079232694"/>
  </r>
  <r>
    <x v="1"/>
    <x v="3"/>
    <n v="441489"/>
    <n v="490023.935"/>
    <n v="444947.36249999999"/>
    <n v="444297.9975"/>
    <x v="2"/>
    <n v="1.1099346416332003"/>
  </r>
  <r>
    <x v="1"/>
    <x v="3"/>
    <n v="353762.5"/>
    <n v="156079.05249999999"/>
    <n v="156079.05249999999"/>
    <n v="156079.05249999999"/>
    <x v="2"/>
    <n v="0.44119727924808311"/>
  </r>
  <r>
    <x v="1"/>
    <x v="3"/>
    <n v="990188.5"/>
    <n v="356925.28249999997"/>
    <n v="356925.28249999997"/>
    <n v="314435.21250000002"/>
    <x v="2"/>
    <n v="0.36046195497119993"/>
  </r>
  <r>
    <x v="1"/>
    <x v="3"/>
    <n v="659625"/>
    <n v="589062.5"/>
    <n v="505375"/>
    <n v="505375"/>
    <x v="2"/>
    <n v="0.89302634072389619"/>
  </r>
  <r>
    <x v="1"/>
    <x v="3"/>
    <n v="236250"/>
    <n v="235500"/>
    <n v="202125"/>
    <n v="202125"/>
    <x v="2"/>
    <n v="0.99682539682539684"/>
  </r>
  <r>
    <x v="1"/>
    <x v="3"/>
    <n v="407000"/>
    <n v="63000"/>
    <n v="53358.214999999997"/>
    <n v="53358.214999999997"/>
    <x v="2"/>
    <n v="0.15479115479115479"/>
  </r>
  <r>
    <x v="1"/>
    <x v="3"/>
    <n v="59250"/>
    <n v="38000"/>
    <n v="17750"/>
    <n v="17750"/>
    <x v="2"/>
    <n v="0.64135021097046419"/>
  </r>
  <r>
    <x v="1"/>
    <x v="3"/>
    <n v="6347964.25"/>
    <n v="2524337.38"/>
    <n v="2491051.1949999998"/>
    <n v="2292243.5625"/>
    <x v="2"/>
    <n v="0.39766093200666652"/>
  </r>
  <r>
    <x v="1"/>
    <x v="3"/>
    <n v="781507.25"/>
    <n v="242871.89499999999"/>
    <n v="161247.38250000001"/>
    <n v="145326.62"/>
    <x v="2"/>
    <n v="0.31077369403802713"/>
  </r>
  <r>
    <x v="1"/>
    <x v="3"/>
    <n v="54500"/>
    <n v="0"/>
    <n v="0"/>
    <n v="0"/>
    <x v="2"/>
    <n v="0"/>
  </r>
  <r>
    <x v="1"/>
    <x v="3"/>
    <n v="40000"/>
    <n v="0"/>
    <n v="0"/>
    <n v="0"/>
    <x v="2"/>
    <n v="0"/>
  </r>
  <r>
    <x v="1"/>
    <x v="3"/>
    <n v="373671.75"/>
    <n v="72158.600000000006"/>
    <n v="41637.747499999998"/>
    <n v="41637.747499999998"/>
    <x v="2"/>
    <n v="0.19310691803702049"/>
  </r>
  <r>
    <x v="1"/>
    <x v="3"/>
    <n v="1710157.75"/>
    <n v="755212.89249999996"/>
    <n v="661675.93500000006"/>
    <n v="652100.26749999996"/>
    <x v="2"/>
    <n v="0.44160422773863989"/>
  </r>
  <r>
    <x v="1"/>
    <x v="3"/>
    <n v="1511118.75"/>
    <n v="835350.57750000001"/>
    <n v="628576.57499999995"/>
    <n v="591124.06499999994"/>
    <x v="2"/>
    <n v="0.55280273472882258"/>
  </r>
  <r>
    <x v="1"/>
    <x v="3"/>
    <n v="831308.75"/>
    <n v="240157.77"/>
    <n v="240157.77"/>
    <n v="240157.77"/>
    <x v="2"/>
    <n v="0.28889118513428375"/>
  </r>
  <r>
    <x v="1"/>
    <x v="3"/>
    <n v="3259920.5"/>
    <n v="2076767.175"/>
    <n v="1779945.5425"/>
    <n v="1598728.0425"/>
    <x v="2"/>
    <n v="0.63706068138778227"/>
  </r>
  <r>
    <x v="1"/>
    <x v="3"/>
    <n v="1442950.5"/>
    <n v="3250"/>
    <n v="2750"/>
    <n v="2750"/>
    <x v="2"/>
    <n v="2.252329515115037E-3"/>
  </r>
  <r>
    <x v="1"/>
    <x v="3"/>
    <n v="397937.25"/>
    <n v="23405.5"/>
    <n v="0"/>
    <n v="0"/>
    <x v="2"/>
    <n v="5.8817062237827698E-2"/>
  </r>
  <r>
    <x v="1"/>
    <x v="3"/>
    <n v="248916.5"/>
    <n v="250329.36499999999"/>
    <n v="249579.36499999999"/>
    <n v="249579.36499999999"/>
    <x v="2"/>
    <n v="1.0056760600442316"/>
  </r>
  <r>
    <x v="1"/>
    <x v="3"/>
    <n v="2926549"/>
    <n v="3847633.9824999999"/>
    <n v="3129770.1475"/>
    <n v="2919741.93"/>
    <x v="2"/>
    <n v="1.3147341741074556"/>
  </r>
  <r>
    <x v="1"/>
    <x v="3"/>
    <n v="1754189.75"/>
    <n v="3109286.5775000001"/>
    <n v="2662117.3725000001"/>
    <n v="2592443.5575000001"/>
    <x v="2"/>
    <n v="1.7724915890655502"/>
  </r>
  <r>
    <x v="1"/>
    <x v="3"/>
    <n v="787741.75"/>
    <n v="108000.25"/>
    <n v="90041.042499999996"/>
    <n v="90041.042499999996"/>
    <x v="2"/>
    <n v="0.13710108674575139"/>
  </r>
  <r>
    <x v="1"/>
    <x v="3"/>
    <n v="3736491.25"/>
    <n v="3292213.3574999999"/>
    <n v="2821593.3149999999"/>
    <n v="2810327.7025000001"/>
    <x v="2"/>
    <n v="0.88109756914324366"/>
  </r>
  <r>
    <x v="1"/>
    <x v="3"/>
    <n v="425750"/>
    <n v="1103944.8400000001"/>
    <n v="978060.83"/>
    <n v="978060.83"/>
    <x v="2"/>
    <n v="2.5929414914856137"/>
  </r>
  <r>
    <x v="1"/>
    <x v="3"/>
    <n v="1942342"/>
    <n v="231964.21249999999"/>
    <n v="225142.66"/>
    <n v="185998.53"/>
    <x v="2"/>
    <n v="0.1194250098592318"/>
  </r>
  <r>
    <x v="1"/>
    <x v="3"/>
    <n v="263750"/>
    <n v="0"/>
    <n v="0"/>
    <n v="0"/>
    <x v="2"/>
    <n v="0"/>
  </r>
  <r>
    <x v="1"/>
    <x v="3"/>
    <n v="5476538.25"/>
    <n v="0"/>
    <n v="0"/>
    <n v="0"/>
    <x v="2"/>
    <n v="0"/>
  </r>
  <r>
    <x v="1"/>
    <x v="3"/>
    <n v="75023"/>
    <n v="0"/>
    <n v="0"/>
    <n v="0"/>
    <x v="2"/>
    <n v="0"/>
  </r>
  <r>
    <x v="1"/>
    <x v="3"/>
    <n v="6500"/>
    <n v="0"/>
    <n v="0"/>
    <n v="0"/>
    <x v="2"/>
    <n v="0"/>
  </r>
  <r>
    <x v="1"/>
    <x v="3"/>
    <n v="129875"/>
    <n v="50500"/>
    <n v="39875"/>
    <n v="39875"/>
    <x v="2"/>
    <n v="0.38883541867179983"/>
  </r>
  <r>
    <x v="1"/>
    <x v="3"/>
    <n v="30500"/>
    <n v="0"/>
    <n v="0"/>
    <n v="0"/>
    <x v="2"/>
    <n v="0"/>
  </r>
  <r>
    <x v="1"/>
    <x v="3"/>
    <n v="30500"/>
    <n v="0"/>
    <n v="0"/>
    <n v="0"/>
    <x v="2"/>
    <n v="0"/>
  </r>
  <r>
    <x v="1"/>
    <x v="3"/>
    <n v="24524.5"/>
    <n v="20800"/>
    <n v="13730.91"/>
    <n v="13730.91"/>
    <x v="2"/>
    <n v="0.84813146037635834"/>
  </r>
  <r>
    <x v="1"/>
    <x v="3"/>
    <n v="1740623.25"/>
    <n v="6400"/>
    <n v="6400"/>
    <n v="6400"/>
    <x v="2"/>
    <n v="3.6768439120872364E-3"/>
  </r>
  <r>
    <x v="1"/>
    <x v="3"/>
    <n v="1426454"/>
    <n v="0"/>
    <n v="0"/>
    <n v="0"/>
    <x v="2"/>
    <n v="0"/>
  </r>
  <r>
    <x v="1"/>
    <x v="4"/>
    <n v="12853262.75"/>
    <n v="13369326.387499999"/>
    <n v="11793024.737500001"/>
    <n v="11793024.737500001"/>
    <x v="2"/>
    <n v="1.0401503997496666"/>
  </r>
  <r>
    <x v="1"/>
    <x v="4"/>
    <n v="0"/>
    <n v="1199952.3400000001"/>
    <n v="268345.125"/>
    <n v="20845.125"/>
    <x v="2"/>
    <n v="0"/>
  </r>
  <r>
    <x v="1"/>
    <x v="4"/>
    <n v="23549563"/>
    <n v="29215995.289999999"/>
    <n v="26374031.864999998"/>
    <n v="26374031.864999998"/>
    <x v="2"/>
    <n v="1.2406173010514037"/>
  </r>
  <r>
    <x v="1"/>
    <x v="4"/>
    <n v="1570511.5"/>
    <n v="1252413.5425"/>
    <n v="1091283.47"/>
    <n v="1091283.47"/>
    <x v="2"/>
    <n v="0.79745582410571336"/>
  </r>
  <r>
    <x v="1"/>
    <x v="4"/>
    <n v="9039740.25"/>
    <n v="9958813.8650000002"/>
    <n v="8740644.5899999999"/>
    <n v="8740644.5899999999"/>
    <x v="2"/>
    <n v="1.1016703566233554"/>
  </r>
  <r>
    <x v="1"/>
    <x v="4"/>
    <n v="28958658.75"/>
    <n v="27027187.0975"/>
    <n v="26613261.925000001"/>
    <n v="24691036.727499999"/>
    <x v="2"/>
    <n v="0.93330244783867966"/>
  </r>
  <r>
    <x v="1"/>
    <x v="4"/>
    <n v="88914483.5"/>
    <n v="27141025.7225"/>
    <n v="22760138.745000001"/>
    <n v="22251304.375"/>
    <x v="2"/>
    <n v="0.30524864627369735"/>
  </r>
  <r>
    <x v="1"/>
    <x v="4"/>
    <n v="1484241.5"/>
    <n v="220050.86249999999"/>
    <n v="164344.29999999999"/>
    <n v="164344.29999999999"/>
    <x v="2"/>
    <n v="0.14825812544656647"/>
  </r>
  <r>
    <x v="1"/>
    <x v="4"/>
    <n v="55085.25"/>
    <n v="867014.5575"/>
    <n v="843128.53749999998"/>
    <n v="843128.53749999998"/>
    <x v="2"/>
    <n v="15.739504812994404"/>
  </r>
  <r>
    <x v="1"/>
    <x v="4"/>
    <n v="25285785.25"/>
    <n v="23866638.212499999"/>
    <n v="22486423.232500002"/>
    <n v="22486423.232500002"/>
    <x v="2"/>
    <n v="0.94387569840252439"/>
  </r>
  <r>
    <x v="1"/>
    <x v="4"/>
    <n v="770056.25"/>
    <n v="394367.84499999997"/>
    <n v="356107.73"/>
    <n v="356107.73"/>
    <x v="2"/>
    <n v="0.51212862047415364"/>
  </r>
  <r>
    <x v="1"/>
    <x v="4"/>
    <n v="1165298"/>
    <n v="435333.92"/>
    <n v="435333.92"/>
    <n v="435333.92"/>
    <x v="2"/>
    <n v="0.3735816246144763"/>
  </r>
  <r>
    <x v="1"/>
    <x v="5"/>
    <n v="0"/>
    <n v="12825690.772500001"/>
    <n v="11219326.425000001"/>
    <n v="10912863.1075"/>
    <x v="2"/>
    <n v="0"/>
  </r>
  <r>
    <x v="1"/>
    <x v="5"/>
    <n v="89750"/>
    <n v="0"/>
    <n v="0"/>
    <n v="0"/>
    <x v="2"/>
    <n v="0"/>
  </r>
  <r>
    <x v="1"/>
    <x v="5"/>
    <n v="12750"/>
    <n v="0"/>
    <n v="0"/>
    <n v="0"/>
    <x v="2"/>
    <n v="0"/>
  </r>
  <r>
    <x v="1"/>
    <x v="5"/>
    <n v="19465000"/>
    <n v="1501272.567"/>
    <n v="846172.27150000003"/>
    <n v="758799.07149999996"/>
    <x v="2"/>
    <n v="7.7126769432314418E-2"/>
  </r>
  <r>
    <x v="1"/>
    <x v="5"/>
    <n v="0"/>
    <n v="252777.21"/>
    <n v="252777.21"/>
    <n v="252777.21"/>
    <x v="2"/>
    <n v="0"/>
  </r>
  <r>
    <x v="1"/>
    <x v="5"/>
    <n v="0"/>
    <n v="349670.64500000002"/>
    <n v="236646.21249999999"/>
    <n v="236646.21249999999"/>
    <x v="2"/>
    <n v="0"/>
  </r>
  <r>
    <x v="1"/>
    <x v="5"/>
    <n v="0"/>
    <n v="72279.662500000006"/>
    <n v="72279.662500000006"/>
    <n v="72279.662500000006"/>
    <x v="2"/>
    <n v="0"/>
  </r>
  <r>
    <x v="1"/>
    <x v="5"/>
    <n v="1754000"/>
    <n v="0"/>
    <n v="0"/>
    <n v="0"/>
    <x v="2"/>
    <n v="0"/>
  </r>
  <r>
    <x v="1"/>
    <x v="5"/>
    <n v="175250"/>
    <n v="39584.197500000002"/>
    <n v="35978.087500000001"/>
    <n v="35978.087500000001"/>
    <x v="2"/>
    <n v="0.22587273894436521"/>
  </r>
  <r>
    <x v="1"/>
    <x v="5"/>
    <n v="6572250"/>
    <n v="947118.79749999999"/>
    <n v="390879.44"/>
    <n v="365576.44"/>
    <x v="2"/>
    <n v="0.14410875993761649"/>
  </r>
  <r>
    <x v="1"/>
    <x v="5"/>
    <n v="8275750"/>
    <n v="2779987.2050000001"/>
    <n v="1514822.78"/>
    <n v="1373442.2175"/>
    <x v="2"/>
    <n v="0.33591966951635804"/>
  </r>
  <r>
    <x v="1"/>
    <x v="5"/>
    <n v="946000"/>
    <n v="1161540.93"/>
    <n v="790070.18"/>
    <n v="790070.18"/>
    <x v="2"/>
    <n v="1.2278445348837208"/>
  </r>
  <r>
    <x v="1"/>
    <x v="5"/>
    <n v="619125"/>
    <n v="4250"/>
    <n v="0"/>
    <n v="0"/>
    <x v="2"/>
    <n v="6.8645265495659198E-3"/>
  </r>
  <r>
    <x v="1"/>
    <x v="5"/>
    <n v="8103250"/>
    <n v="752917.78749999998"/>
    <n v="424535.15250000003"/>
    <n v="423529.84"/>
    <x v="2"/>
    <n v="9.2915532348131921E-2"/>
  </r>
  <r>
    <x v="1"/>
    <x v="5"/>
    <n v="2142175"/>
    <n v="508104.07750000001"/>
    <n v="400740.51750000002"/>
    <n v="399900.03249999997"/>
    <x v="2"/>
    <n v="0.23719074188616709"/>
  </r>
  <r>
    <x v="1"/>
    <x v="5"/>
    <n v="1967000"/>
    <n v="1767543.5874999999"/>
    <n v="1635092.1625000001"/>
    <n v="1635092.1625000001"/>
    <x v="2"/>
    <n v="0.89859867183528208"/>
  </r>
  <r>
    <x v="1"/>
    <x v="5"/>
    <n v="535966.25"/>
    <n v="427338.03249999997"/>
    <n v="291937.42"/>
    <n v="287738.29499999998"/>
    <x v="2"/>
    <n v="0.79732265324542351"/>
  </r>
  <r>
    <x v="1"/>
    <x v="5"/>
    <n v="28012496"/>
    <n v="27257529.045000002"/>
    <n v="26975425.390000001"/>
    <n v="24929598.774999999"/>
    <x v="2"/>
    <n v="0.97304892234522766"/>
  </r>
  <r>
    <x v="1"/>
    <x v="5"/>
    <n v="2711254.25"/>
    <n v="1924576.2050000001"/>
    <n v="1057831.2925"/>
    <n v="1057831.2925"/>
    <x v="2"/>
    <n v="0.70984718788361512"/>
  </r>
  <r>
    <x v="1"/>
    <x v="5"/>
    <n v="8000"/>
    <n v="0"/>
    <n v="0"/>
    <n v="0"/>
    <x v="2"/>
    <n v="0"/>
  </r>
  <r>
    <x v="1"/>
    <x v="5"/>
    <n v="350840.75"/>
    <n v="316879.625"/>
    <n v="203590.43"/>
    <n v="198279.495"/>
    <x v="2"/>
    <n v="0.90320073993685168"/>
  </r>
  <r>
    <x v="1"/>
    <x v="5"/>
    <n v="151183.5"/>
    <n v="0"/>
    <n v="0"/>
    <n v="0"/>
    <x v="2"/>
    <n v="0"/>
  </r>
  <r>
    <x v="1"/>
    <x v="5"/>
    <n v="27500"/>
    <n v="0"/>
    <n v="0"/>
    <n v="0"/>
    <x v="2"/>
    <n v="0"/>
  </r>
  <r>
    <x v="1"/>
    <x v="5"/>
    <n v="57289011.25"/>
    <n v="41003735.8825"/>
    <n v="34121750.027500004"/>
    <n v="29595122.039999999"/>
    <x v="2"/>
    <n v="0.71573474542205506"/>
  </r>
  <r>
    <x v="1"/>
    <x v="5"/>
    <n v="183757326"/>
    <n v="179445249.75749999"/>
    <n v="175242261.58000001"/>
    <n v="162065285.1925"/>
    <x v="2"/>
    <n v="0.97653385398903769"/>
  </r>
  <r>
    <x v="1"/>
    <x v="5"/>
    <n v="12754961.75"/>
    <n v="13142794.1625"/>
    <n v="11726278.49"/>
    <n v="10846673.3125"/>
    <x v="2"/>
    <n v="1.0304063955738636"/>
  </r>
  <r>
    <x v="1"/>
    <x v="5"/>
    <n v="56246970.5"/>
    <n v="58449456.317500003"/>
    <n v="55886675.597499996"/>
    <n v="51824254.094999999"/>
    <x v="2"/>
    <n v="1.0391574123534351"/>
  </r>
  <r>
    <x v="1"/>
    <x v="5"/>
    <n v="418617"/>
    <n v="512020.46750000003"/>
    <n v="320827.96250000002"/>
    <n v="310341.61249999999"/>
    <x v="2"/>
    <n v="1.2231239235387001"/>
  </r>
  <r>
    <x v="1"/>
    <x v="5"/>
    <n v="1179072"/>
    <n v="983509.45250000001"/>
    <n v="797049.04"/>
    <n v="671308.78749999998"/>
    <x v="2"/>
    <n v="0.83413858738058411"/>
  </r>
  <r>
    <x v="1"/>
    <x v="5"/>
    <n v="8842453.25"/>
    <n v="9718155.5124999993"/>
    <n v="7045704.9974999996"/>
    <n v="5566828.6100000003"/>
    <x v="2"/>
    <n v="1.0990338583356376"/>
  </r>
  <r>
    <x v="1"/>
    <x v="5"/>
    <n v="2535000"/>
    <n v="1808293.6675"/>
    <n v="1492127.5024999999"/>
    <n v="1466310.2775000001"/>
    <x v="2"/>
    <n v="0.71333083530571995"/>
  </r>
  <r>
    <x v="1"/>
    <x v="5"/>
    <n v="3374396.25"/>
    <n v="1808981.6575"/>
    <n v="1551128.2925"/>
    <n v="1434705.6924999999"/>
    <x v="2"/>
    <n v="0.53609046581295838"/>
  </r>
  <r>
    <x v="1"/>
    <x v="5"/>
    <n v="28750"/>
    <n v="0"/>
    <n v="0"/>
    <n v="0"/>
    <x v="2"/>
    <n v="0"/>
  </r>
  <r>
    <x v="1"/>
    <x v="5"/>
    <n v="375000"/>
    <n v="0"/>
    <n v="0"/>
    <n v="0"/>
    <x v="2"/>
    <n v="0"/>
  </r>
  <r>
    <x v="1"/>
    <x v="5"/>
    <n v="50000"/>
    <n v="0"/>
    <n v="0"/>
    <n v="0"/>
    <x v="2"/>
    <n v="0"/>
  </r>
  <r>
    <x v="1"/>
    <x v="5"/>
    <n v="3581750"/>
    <n v="2683340.0499999998"/>
    <n v="2367658.5274999999"/>
    <n v="2091674.2925"/>
    <x v="2"/>
    <n v="0.74917011237523556"/>
  </r>
  <r>
    <x v="1"/>
    <x v="5"/>
    <n v="94870000"/>
    <n v="118073986.015"/>
    <n v="96084035.879999995"/>
    <n v="93247048.019999996"/>
    <x v="2"/>
    <n v="1.2445871826183199"/>
  </r>
  <r>
    <x v="1"/>
    <x v="5"/>
    <n v="127500"/>
    <n v="0"/>
    <n v="0"/>
    <n v="0"/>
    <x v="2"/>
    <n v="0"/>
  </r>
  <r>
    <x v="1"/>
    <x v="5"/>
    <n v="6333935"/>
    <n v="6186899.5824999996"/>
    <n v="5510304.8375000004"/>
    <n v="3807328.82"/>
    <x v="2"/>
    <n v="0.97678608676912526"/>
  </r>
  <r>
    <x v="1"/>
    <x v="5"/>
    <n v="28718241.25"/>
    <n v="21428149.997499999"/>
    <n v="17606824.642499998"/>
    <n v="15728795.545"/>
    <x v="2"/>
    <n v="0.7461511939732729"/>
  </r>
  <r>
    <x v="1"/>
    <x v="5"/>
    <n v="2987000"/>
    <n v="2581658.0125000002"/>
    <n v="2130439.92"/>
    <n v="2130439.92"/>
    <x v="2"/>
    <n v="0.86429796200200881"/>
  </r>
  <r>
    <x v="1"/>
    <x v="5"/>
    <n v="6016340"/>
    <n v="3727714.5825"/>
    <n v="3107521.5674999999"/>
    <n v="3107521.5674999999"/>
    <x v="2"/>
    <n v="0.61959839079905721"/>
  </r>
  <r>
    <x v="1"/>
    <x v="5"/>
    <n v="303536250"/>
    <n v="359745454.34750003"/>
    <n v="286845114.41250002"/>
    <n v="277117656.81999999"/>
    <x v="2"/>
    <n v="1.1851811912003922"/>
  </r>
  <r>
    <x v="1"/>
    <x v="5"/>
    <n v="7436250"/>
    <n v="2031940.4650000001"/>
    <n v="1811230.9775"/>
    <n v="1769712.5024999999"/>
    <x v="2"/>
    <n v="0.27324800336190957"/>
  </r>
  <r>
    <x v="1"/>
    <x v="5"/>
    <n v="80808947.5"/>
    <n v="81934694.569999993"/>
    <n v="73541307.932500005"/>
    <n v="72915368.075000003"/>
    <x v="2"/>
    <n v="1.013930970577237"/>
  </r>
  <r>
    <x v="1"/>
    <x v="5"/>
    <n v="17500"/>
    <n v="11129.62"/>
    <n v="10129.995000000001"/>
    <n v="10129.995000000001"/>
    <x v="2"/>
    <n v="0.63597828571428572"/>
  </r>
  <r>
    <x v="1"/>
    <x v="5"/>
    <n v="43639397.5"/>
    <n v="25208923.6875"/>
    <n v="22534635.52"/>
    <n v="21716778.274999999"/>
    <x v="2"/>
    <n v="0.57766433845701004"/>
  </r>
  <r>
    <x v="1"/>
    <x v="5"/>
    <n v="29047544.75"/>
    <n v="27634049.1325"/>
    <n v="25266908.835000001"/>
    <n v="25266908.835000001"/>
    <x v="2"/>
    <n v="0.95133855099749864"/>
  </r>
  <r>
    <x v="1"/>
    <x v="5"/>
    <n v="8049219.25"/>
    <n v="7803409.7050000001"/>
    <n v="5444496.8274999997"/>
    <n v="5016751.8274999997"/>
    <x v="2"/>
    <n v="0.96946169095841195"/>
  </r>
  <r>
    <x v="1"/>
    <x v="5"/>
    <n v="165632"/>
    <n v="42112.945"/>
    <n v="25434.677500000002"/>
    <n v="22955.9025"/>
    <x v="2"/>
    <n v="0.25425609181800618"/>
  </r>
  <r>
    <x v="1"/>
    <x v="5"/>
    <n v="995386.25"/>
    <n v="625652.42500000005"/>
    <n v="523230.29249999998"/>
    <n v="471549.6925"/>
    <x v="2"/>
    <n v="0.62855240867552675"/>
  </r>
  <r>
    <x v="1"/>
    <x v="5"/>
    <n v="5409916"/>
    <n v="3763553.38"/>
    <n v="3273341.3725000001"/>
    <n v="3098306.08"/>
    <x v="2"/>
    <n v="0.69567686078674784"/>
  </r>
  <r>
    <x v="1"/>
    <x v="5"/>
    <n v="26730784"/>
    <n v="26818712.432500001"/>
    <n v="25576225.447500002"/>
    <n v="24067195.715"/>
    <x v="2"/>
    <n v="1.0032894071681548"/>
  </r>
  <r>
    <x v="1"/>
    <x v="5"/>
    <n v="3054091.25"/>
    <n v="2079436.3825000001"/>
    <n v="1898938.71"/>
    <n v="1814190.48"/>
    <x v="2"/>
    <n v="0.6808691071362063"/>
  </r>
  <r>
    <x v="1"/>
    <x v="5"/>
    <n v="883747.25"/>
    <n v="609009.77249999996"/>
    <n v="601214.68500000006"/>
    <n v="481633.42749999999"/>
    <x v="2"/>
    <n v="0.68912211325127171"/>
  </r>
  <r>
    <x v="1"/>
    <x v="5"/>
    <n v="137500"/>
    <n v="10618578.1625"/>
    <n v="9165411.1349999998"/>
    <n v="9029763.3249999993"/>
    <x v="2"/>
    <n v="77.226022999999998"/>
  </r>
  <r>
    <x v="0"/>
    <x v="0"/>
    <n v="1000000"/>
    <n v="504258.21"/>
    <n v="219043.61"/>
    <n v="219043.61"/>
    <x v="3"/>
    <n v="0.50425821000000004"/>
  </r>
  <r>
    <x v="0"/>
    <x v="0"/>
    <n v="133000"/>
    <n v="0"/>
    <n v="0"/>
    <n v="0"/>
    <x v="3"/>
    <n v="0"/>
  </r>
  <r>
    <x v="0"/>
    <x v="0"/>
    <n v="8750"/>
    <n v="0"/>
    <n v="0"/>
    <n v="0"/>
    <x v="3"/>
    <n v="0"/>
  </r>
  <r>
    <x v="0"/>
    <x v="0"/>
    <n v="27000"/>
    <n v="434.07"/>
    <n v="434.07"/>
    <n v="434.07"/>
    <x v="3"/>
    <n v="1.6076666666666666E-2"/>
  </r>
  <r>
    <x v="0"/>
    <x v="0"/>
    <n v="2500"/>
    <n v="0"/>
    <n v="0"/>
    <n v="0"/>
    <x v="3"/>
    <n v="0"/>
  </r>
  <r>
    <x v="0"/>
    <x v="0"/>
    <n v="630470"/>
    <n v="476176.2525"/>
    <n v="476176.2525"/>
    <n v="438488.29"/>
    <x v="3"/>
    <n v="0.75527186464066487"/>
  </r>
  <r>
    <x v="0"/>
    <x v="0"/>
    <n v="24075"/>
    <n v="0"/>
    <n v="0"/>
    <n v="0"/>
    <x v="3"/>
    <n v="0"/>
  </r>
  <r>
    <x v="0"/>
    <x v="0"/>
    <n v="6446186"/>
    <n v="6345012.3250000002"/>
    <n v="5398331.5625"/>
    <n v="5318250.335"/>
    <x v="3"/>
    <n v="0.98430487810931921"/>
  </r>
  <r>
    <x v="0"/>
    <x v="0"/>
    <n v="217521"/>
    <n v="7450"/>
    <n v="7450"/>
    <n v="7450"/>
    <x v="3"/>
    <n v="3.4249566708501711E-2"/>
  </r>
  <r>
    <x v="0"/>
    <x v="0"/>
    <n v="6250"/>
    <n v="12494.13"/>
    <n v="0"/>
    <n v="0"/>
    <x v="3"/>
    <n v="1.9990607999999999"/>
  </r>
  <r>
    <x v="0"/>
    <x v="0"/>
    <n v="159000"/>
    <n v="5700.3"/>
    <n v="3607"/>
    <n v="3607"/>
    <x v="3"/>
    <n v="3.5850943396226416E-2"/>
  </r>
  <r>
    <x v="0"/>
    <x v="0"/>
    <n v="1806250"/>
    <n v="1313180.8274999999"/>
    <n v="1262368.3274999999"/>
    <n v="1170658.7475000001"/>
    <x v="3"/>
    <n v="0.72702052733564004"/>
  </r>
  <r>
    <x v="0"/>
    <x v="0"/>
    <n v="12500"/>
    <n v="0"/>
    <n v="0"/>
    <n v="0"/>
    <x v="3"/>
    <n v="0"/>
  </r>
  <r>
    <x v="0"/>
    <x v="0"/>
    <n v="17224"/>
    <n v="0"/>
    <n v="0"/>
    <n v="0"/>
    <x v="3"/>
    <n v="0"/>
  </r>
  <r>
    <x v="0"/>
    <x v="0"/>
    <n v="372404"/>
    <n v="332422.0675"/>
    <n v="294783.48249999998"/>
    <n v="294783.48249999998"/>
    <x v="3"/>
    <n v="0.8926382839604301"/>
  </r>
  <r>
    <x v="0"/>
    <x v="0"/>
    <n v="29250"/>
    <n v="6993.6025"/>
    <n v="0"/>
    <n v="0"/>
    <x v="3"/>
    <n v="0.23909752136752135"/>
  </r>
  <r>
    <x v="0"/>
    <x v="0"/>
    <n v="25000"/>
    <n v="93750"/>
    <n v="93750"/>
    <n v="93750"/>
    <x v="3"/>
    <n v="3.75"/>
  </r>
  <r>
    <x v="0"/>
    <x v="0"/>
    <n v="107500"/>
    <n v="0"/>
    <n v="0"/>
    <n v="0"/>
    <x v="3"/>
    <n v="0"/>
  </r>
  <r>
    <x v="0"/>
    <x v="0"/>
    <n v="419670"/>
    <n v="64419.502500000002"/>
    <n v="64419.502500000002"/>
    <n v="64419.502500000002"/>
    <x v="3"/>
    <n v="0.15350037529487456"/>
  </r>
  <r>
    <x v="0"/>
    <x v="0"/>
    <n v="18750"/>
    <n v="0"/>
    <n v="0"/>
    <n v="0"/>
    <x v="3"/>
    <n v="0"/>
  </r>
  <r>
    <x v="0"/>
    <x v="0"/>
    <n v="1335970"/>
    <n v="1467262.115"/>
    <n v="1451093.115"/>
    <n v="1330018.6950000001"/>
    <x v="3"/>
    <n v="1.0982747479359567"/>
  </r>
  <r>
    <x v="0"/>
    <x v="0"/>
    <n v="20500"/>
    <n v="0"/>
    <n v="0"/>
    <n v="0"/>
    <x v="3"/>
    <n v="0"/>
  </r>
  <r>
    <x v="0"/>
    <x v="0"/>
    <n v="8046199"/>
    <n v="0"/>
    <n v="0"/>
    <n v="0"/>
    <x v="3"/>
    <n v="0"/>
  </r>
  <r>
    <x v="0"/>
    <x v="0"/>
    <n v="3852708"/>
    <n v="2614348.0474999999"/>
    <n v="2614348.0474999999"/>
    <n v="2614348.0474999999"/>
    <x v="3"/>
    <n v="0.67857414771635949"/>
  </r>
  <r>
    <x v="0"/>
    <x v="0"/>
    <n v="2500120"/>
    <n v="1950255.3075000001"/>
    <n v="1884821.4724999999"/>
    <n v="1741377.3174999999"/>
    <x v="3"/>
    <n v="0.7800646798953651"/>
  </r>
  <r>
    <x v="0"/>
    <x v="0"/>
    <n v="1250"/>
    <n v="144.5"/>
    <n v="0"/>
    <n v="0"/>
    <x v="3"/>
    <n v="0.11559999999999999"/>
  </r>
  <r>
    <x v="0"/>
    <x v="0"/>
    <n v="97774"/>
    <n v="125125"/>
    <n v="125125"/>
    <n v="125125"/>
    <x v="3"/>
    <n v="1.279736944381942"/>
  </r>
  <r>
    <x v="0"/>
    <x v="0"/>
    <n v="30000"/>
    <n v="0"/>
    <n v="0"/>
    <n v="0"/>
    <x v="3"/>
    <n v="0"/>
  </r>
  <r>
    <x v="0"/>
    <x v="0"/>
    <n v="162500"/>
    <n v="3740.9450000000002"/>
    <n v="3740.9450000000002"/>
    <n v="3740.9450000000002"/>
    <x v="3"/>
    <n v="2.3021200000000002E-2"/>
  </r>
  <r>
    <x v="0"/>
    <x v="0"/>
    <n v="500000"/>
    <n v="0"/>
    <n v="0"/>
    <n v="0"/>
    <x v="3"/>
    <n v="0"/>
  </r>
  <r>
    <x v="0"/>
    <x v="0"/>
    <n v="737500"/>
    <n v="0"/>
    <n v="0"/>
    <n v="0"/>
    <x v="3"/>
    <n v="0"/>
  </r>
  <r>
    <x v="0"/>
    <x v="0"/>
    <n v="35000"/>
    <n v="0"/>
    <n v="0"/>
    <n v="0"/>
    <x v="3"/>
    <n v="0"/>
  </r>
  <r>
    <x v="0"/>
    <x v="0"/>
    <n v="15000"/>
    <n v="0"/>
    <n v="0"/>
    <n v="0"/>
    <x v="3"/>
    <n v="0"/>
  </r>
  <r>
    <x v="0"/>
    <x v="0"/>
    <n v="13125"/>
    <n v="933.84"/>
    <n v="933.84"/>
    <n v="933.84"/>
    <x v="3"/>
    <n v="7.1149714285714288E-2"/>
  </r>
  <r>
    <x v="0"/>
    <x v="0"/>
    <n v="131250"/>
    <n v="103141.88"/>
    <n v="81993.13"/>
    <n v="81993.13"/>
    <x v="3"/>
    <n v="0.78584289523809525"/>
  </r>
  <r>
    <x v="0"/>
    <x v="0"/>
    <n v="1272761"/>
    <n v="804853.26500000001"/>
    <n v="279055.20500000002"/>
    <n v="279055.20500000002"/>
    <x v="3"/>
    <n v="0.63236795046359839"/>
  </r>
  <r>
    <x v="0"/>
    <x v="0"/>
    <n v="85000"/>
    <n v="0"/>
    <n v="0"/>
    <n v="0"/>
    <x v="3"/>
    <n v="0"/>
  </r>
  <r>
    <x v="0"/>
    <x v="1"/>
    <n v="2499819"/>
    <n v="626450.49250000005"/>
    <n v="334217.76250000001"/>
    <n v="276975.51750000002"/>
    <x v="3"/>
    <n v="0.25059834031983919"/>
  </r>
  <r>
    <x v="0"/>
    <x v="1"/>
    <n v="75000"/>
    <n v="0"/>
    <n v="0"/>
    <n v="0"/>
    <x v="3"/>
    <n v="0"/>
  </r>
  <r>
    <x v="0"/>
    <x v="1"/>
    <n v="4138262"/>
    <n v="3765646.3725000001"/>
    <n v="3707440.38"/>
    <n v="3437928.3849999998"/>
    <x v="3"/>
    <n v="0.90995842517945946"/>
  </r>
  <r>
    <x v="0"/>
    <x v="1"/>
    <n v="80545"/>
    <n v="62500"/>
    <n v="62500"/>
    <n v="62500"/>
    <x v="3"/>
    <n v="0.77596374697374138"/>
  </r>
  <r>
    <x v="0"/>
    <x v="1"/>
    <n v="1820930"/>
    <n v="43800"/>
    <n v="0"/>
    <n v="0"/>
    <x v="3"/>
    <n v="2.4053642918728343E-2"/>
  </r>
  <r>
    <x v="0"/>
    <x v="1"/>
    <n v="75000"/>
    <n v="0"/>
    <n v="0"/>
    <n v="0"/>
    <x v="3"/>
    <n v="0"/>
  </r>
  <r>
    <x v="0"/>
    <x v="1"/>
    <n v="1341290"/>
    <n v="978694.88749999995"/>
    <n v="841957.08750000002"/>
    <n v="840375.46750000003"/>
    <x v="3"/>
    <n v="0.72966687852738776"/>
  </r>
  <r>
    <x v="0"/>
    <x v="1"/>
    <n v="1151541"/>
    <n v="59587"/>
    <n v="45624.5"/>
    <n v="45624.5"/>
    <x v="3"/>
    <n v="5.1745443714118732E-2"/>
  </r>
  <r>
    <x v="0"/>
    <x v="1"/>
    <n v="287500"/>
    <n v="249358.91250000001"/>
    <n v="7455"/>
    <n v="7455"/>
    <x v="3"/>
    <n v="0.86733534782608701"/>
  </r>
  <r>
    <x v="0"/>
    <x v="1"/>
    <n v="160617"/>
    <n v="5853.085"/>
    <n v="5853.085"/>
    <n v="5853.085"/>
    <x v="3"/>
    <n v="3.6441254661710776E-2"/>
  </r>
  <r>
    <x v="0"/>
    <x v="1"/>
    <n v="1250"/>
    <n v="0"/>
    <n v="0"/>
    <n v="0"/>
    <x v="3"/>
    <n v="0"/>
  </r>
  <r>
    <x v="0"/>
    <x v="1"/>
    <n v="717070"/>
    <n v="7473.835"/>
    <n v="7473.835"/>
    <n v="7473.835"/>
    <x v="3"/>
    <n v="1.0422741154977896E-2"/>
  </r>
  <r>
    <x v="0"/>
    <x v="1"/>
    <n v="76750"/>
    <n v="7562.5"/>
    <n v="7550"/>
    <n v="7550"/>
    <x v="3"/>
    <n v="9.8534201954397396E-2"/>
  </r>
  <r>
    <x v="0"/>
    <x v="1"/>
    <n v="581405"/>
    <n v="11650"/>
    <n v="11650"/>
    <n v="11650"/>
    <x v="3"/>
    <n v="2.0037667374721579E-2"/>
  </r>
  <r>
    <x v="0"/>
    <x v="1"/>
    <n v="20000"/>
    <n v="29784.16"/>
    <n v="28757.119999999999"/>
    <n v="20540.8"/>
    <x v="3"/>
    <n v="1.4892080000000001"/>
  </r>
  <r>
    <x v="0"/>
    <x v="1"/>
    <n v="3750"/>
    <n v="0"/>
    <n v="0"/>
    <n v="0"/>
    <x v="3"/>
    <n v="0"/>
  </r>
  <r>
    <x v="0"/>
    <x v="1"/>
    <n v="7635"/>
    <n v="750.25"/>
    <n v="750.25"/>
    <n v="750.25"/>
    <x v="3"/>
    <n v="9.8264571054354946E-2"/>
  </r>
  <r>
    <x v="0"/>
    <x v="1"/>
    <n v="165555"/>
    <n v="6610.4975000000004"/>
    <n v="6610.4975000000004"/>
    <n v="6610.4975000000004"/>
    <x v="3"/>
    <n v="3.9929313521186317E-2"/>
  </r>
  <r>
    <x v="0"/>
    <x v="1"/>
    <n v="115000"/>
    <n v="10217.705"/>
    <n v="10217.705"/>
    <n v="10217.705"/>
    <x v="3"/>
    <n v="8.8849608695652171E-2"/>
  </r>
  <r>
    <x v="0"/>
    <x v="2"/>
    <n v="652694"/>
    <n v="59189.235000000001"/>
    <n v="41343.61"/>
    <n v="41343.61"/>
    <x v="3"/>
    <n v="9.0684509126788354E-2"/>
  </r>
  <r>
    <x v="0"/>
    <x v="2"/>
    <n v="182735"/>
    <n v="49128"/>
    <n v="49128"/>
    <n v="49128"/>
    <x v="3"/>
    <n v="0.26884833228445565"/>
  </r>
  <r>
    <x v="0"/>
    <x v="2"/>
    <n v="19000"/>
    <n v="0"/>
    <n v="0"/>
    <n v="0"/>
    <x v="3"/>
    <n v="0"/>
  </r>
  <r>
    <x v="0"/>
    <x v="2"/>
    <n v="20584800"/>
    <n v="3905019.08"/>
    <n v="3905019.08"/>
    <n v="3905019.08"/>
    <x v="3"/>
    <n v="0.18970400878317983"/>
  </r>
  <r>
    <x v="0"/>
    <x v="2"/>
    <n v="9240400"/>
    <n v="1453282.14"/>
    <n v="1453282.14"/>
    <n v="1453282.14"/>
    <x v="3"/>
    <n v="0.15727480844985064"/>
  </r>
  <r>
    <x v="0"/>
    <x v="2"/>
    <n v="99820"/>
    <n v="15625.38"/>
    <n v="15625.38"/>
    <n v="15625.38"/>
    <x v="3"/>
    <n v="0.15653556401522739"/>
  </r>
  <r>
    <x v="0"/>
    <x v="2"/>
    <n v="245000"/>
    <n v="6133.9650000000001"/>
    <n v="6133.9650000000001"/>
    <n v="6133.9650000000001"/>
    <x v="3"/>
    <n v="2.5036591836734696E-2"/>
  </r>
  <r>
    <x v="0"/>
    <x v="2"/>
    <n v="12001800"/>
    <n v="1406281.86"/>
    <n v="1406281.86"/>
    <n v="1406281.86"/>
    <x v="3"/>
    <n v="0.11717257911313304"/>
  </r>
  <r>
    <x v="0"/>
    <x v="2"/>
    <n v="324621"/>
    <n v="288707.68"/>
    <n v="215200.75"/>
    <n v="209976.53"/>
    <x v="3"/>
    <n v="0.88936846353131804"/>
  </r>
  <r>
    <x v="0"/>
    <x v="2"/>
    <n v="1200000"/>
    <n v="148620.42000000001"/>
    <n v="148620.42000000001"/>
    <n v="148620.42000000001"/>
    <x v="3"/>
    <n v="0.12385035000000001"/>
  </r>
  <r>
    <x v="0"/>
    <x v="2"/>
    <n v="750"/>
    <n v="0"/>
    <n v="0"/>
    <n v="0"/>
    <x v="3"/>
    <n v="0"/>
  </r>
  <r>
    <x v="0"/>
    <x v="2"/>
    <n v="23589"/>
    <n v="11370.195"/>
    <n v="10381.305"/>
    <n v="10381.305"/>
    <x v="3"/>
    <n v="0.48201259061426938"/>
  </r>
  <r>
    <x v="0"/>
    <x v="2"/>
    <n v="5100"/>
    <n v="1109.692"/>
    <n v="1109.692"/>
    <n v="1109.692"/>
    <x v="3"/>
    <n v="0.21758666666666668"/>
  </r>
  <r>
    <x v="0"/>
    <x v="2"/>
    <n v="95423652"/>
    <n v="62114165.310000002"/>
    <n v="58912345.25"/>
    <n v="54597061.75"/>
    <x v="3"/>
    <n v="0.65093049792309354"/>
  </r>
  <r>
    <x v="0"/>
    <x v="2"/>
    <n v="328800"/>
    <n v="0"/>
    <n v="0"/>
    <n v="0"/>
    <x v="3"/>
    <n v="0"/>
  </r>
  <r>
    <x v="0"/>
    <x v="2"/>
    <n v="1282638"/>
    <n v="211262.5"/>
    <n v="211262.5"/>
    <n v="211262.5"/>
    <x v="3"/>
    <n v="0.16470937240281358"/>
  </r>
  <r>
    <x v="0"/>
    <x v="2"/>
    <n v="54063"/>
    <n v="0"/>
    <n v="0"/>
    <n v="0"/>
    <x v="3"/>
    <n v="0"/>
  </r>
  <r>
    <x v="0"/>
    <x v="2"/>
    <n v="13000"/>
    <n v="0"/>
    <n v="0"/>
    <n v="0"/>
    <x v="3"/>
    <n v="0"/>
  </r>
  <r>
    <x v="0"/>
    <x v="2"/>
    <n v="318400"/>
    <n v="0"/>
    <n v="0"/>
    <n v="0"/>
    <x v="3"/>
    <n v="0"/>
  </r>
  <r>
    <x v="0"/>
    <x v="2"/>
    <n v="2048797"/>
    <n v="895160.06"/>
    <n v="687155.06"/>
    <n v="638542.16"/>
    <x v="3"/>
    <n v="0.43691984125318423"/>
  </r>
  <r>
    <x v="0"/>
    <x v="2"/>
    <n v="19925000"/>
    <n v="16383851.16"/>
    <n v="16344680.33"/>
    <n v="15787494.279999999"/>
    <x v="3"/>
    <n v="0.8222760933500628"/>
  </r>
  <r>
    <x v="0"/>
    <x v="2"/>
    <n v="28211"/>
    <n v="0"/>
    <n v="0"/>
    <n v="0"/>
    <x v="3"/>
    <n v="0"/>
  </r>
  <r>
    <x v="0"/>
    <x v="2"/>
    <n v="4000"/>
    <n v="0"/>
    <n v="0"/>
    <n v="0"/>
    <x v="3"/>
    <n v="0"/>
  </r>
  <r>
    <x v="0"/>
    <x v="2"/>
    <n v="50000"/>
    <n v="0"/>
    <n v="0"/>
    <n v="0"/>
    <x v="3"/>
    <n v="0"/>
  </r>
  <r>
    <x v="0"/>
    <x v="2"/>
    <n v="3000"/>
    <n v="0"/>
    <n v="0"/>
    <n v="0"/>
    <x v="3"/>
    <n v="0"/>
  </r>
  <r>
    <x v="0"/>
    <x v="2"/>
    <n v="50000"/>
    <n v="0"/>
    <n v="0"/>
    <n v="0"/>
    <x v="3"/>
    <n v="0"/>
  </r>
  <r>
    <x v="0"/>
    <x v="2"/>
    <n v="1000000"/>
    <n v="0"/>
    <n v="0"/>
    <n v="0"/>
    <x v="3"/>
    <n v="0"/>
  </r>
  <r>
    <x v="0"/>
    <x v="2"/>
    <n v="151997"/>
    <n v="0"/>
    <n v="0"/>
    <n v="0"/>
    <x v="3"/>
    <n v="0"/>
  </r>
  <r>
    <x v="0"/>
    <x v="2"/>
    <n v="1000"/>
    <n v="0"/>
    <n v="0"/>
    <n v="0"/>
    <x v="3"/>
    <n v="0"/>
  </r>
  <r>
    <x v="0"/>
    <x v="2"/>
    <n v="1519540"/>
    <n v="0"/>
    <n v="0"/>
    <n v="0"/>
    <x v="3"/>
    <n v="0"/>
  </r>
  <r>
    <x v="0"/>
    <x v="2"/>
    <n v="1081449"/>
    <n v="1059922.99"/>
    <n v="967995.34"/>
    <n v="967995.34"/>
    <x v="3"/>
    <n v="0.98009521484600748"/>
  </r>
  <r>
    <x v="0"/>
    <x v="2"/>
    <n v="1000"/>
    <n v="0"/>
    <n v="0"/>
    <n v="0"/>
    <x v="3"/>
    <n v="0"/>
  </r>
  <r>
    <x v="0"/>
    <x v="2"/>
    <n v="36154972"/>
    <n v="17337214.510000002"/>
    <n v="17333531.510000002"/>
    <n v="15400318.109999999"/>
    <x v="3"/>
    <n v="0.47952504319461237"/>
  </r>
  <r>
    <x v="0"/>
    <x v="2"/>
    <n v="6380384"/>
    <n v="0"/>
    <n v="0"/>
    <n v="0"/>
    <x v="3"/>
    <n v="0"/>
  </r>
  <r>
    <x v="0"/>
    <x v="2"/>
    <n v="7300000"/>
    <n v="82048790.859999999"/>
    <n v="82048790.859999999"/>
    <n v="72790829.030000001"/>
    <x v="3"/>
    <n v="11.239560391780822"/>
  </r>
  <r>
    <x v="0"/>
    <x v="2"/>
    <n v="46532084"/>
    <n v="88503270.25"/>
    <n v="88503270.25"/>
    <n v="79031769.099999994"/>
    <x v="3"/>
    <n v="1.901983806485005"/>
  </r>
  <r>
    <x v="0"/>
    <x v="2"/>
    <n v="4666513"/>
    <n v="2598450"/>
    <n v="2598450"/>
    <n v="1929658"/>
    <x v="3"/>
    <n v="0.55682904987085646"/>
  </r>
  <r>
    <x v="0"/>
    <x v="2"/>
    <n v="1043108042"/>
    <n v="956991275.79999995"/>
    <n v="926931192.71000004"/>
    <n v="847944450.20000005"/>
    <x v="3"/>
    <n v="0.91744214143447278"/>
  </r>
  <r>
    <x v="0"/>
    <x v="2"/>
    <n v="1000"/>
    <n v="0"/>
    <n v="0"/>
    <n v="0"/>
    <x v="3"/>
    <n v="0"/>
  </r>
  <r>
    <x v="0"/>
    <x v="2"/>
    <n v="14819295"/>
    <n v="952898.22"/>
    <n v="952898.22"/>
    <n v="952898.22"/>
    <x v="3"/>
    <n v="6.4301184368082284E-2"/>
  </r>
  <r>
    <x v="0"/>
    <x v="2"/>
    <n v="2580539"/>
    <n v="0"/>
    <n v="0"/>
    <n v="0"/>
    <x v="3"/>
    <n v="0"/>
  </r>
  <r>
    <x v="0"/>
    <x v="2"/>
    <n v="440000"/>
    <n v="0"/>
    <n v="0"/>
    <n v="0"/>
    <x v="3"/>
    <n v="0"/>
  </r>
  <r>
    <x v="0"/>
    <x v="2"/>
    <n v="2178453"/>
    <n v="0"/>
    <n v="0"/>
    <n v="0"/>
    <x v="3"/>
    <n v="0"/>
  </r>
  <r>
    <x v="0"/>
    <x v="2"/>
    <n v="6602400"/>
    <n v="7416391.5"/>
    <n v="7416391.5"/>
    <n v="6788165"/>
    <x v="3"/>
    <n v="1.1232872137404579"/>
  </r>
  <r>
    <x v="0"/>
    <x v="2"/>
    <n v="3136005"/>
    <n v="204531.9"/>
    <n v="204531.9"/>
    <n v="204531.9"/>
    <x v="3"/>
    <n v="6.522052739074076E-2"/>
  </r>
  <r>
    <x v="0"/>
    <x v="2"/>
    <n v="3600000"/>
    <n v="2065064.01"/>
    <n v="1891971.7"/>
    <n v="1891971.7"/>
    <x v="3"/>
    <n v="0.57362889166666664"/>
  </r>
  <r>
    <x v="0"/>
    <x v="2"/>
    <n v="599200"/>
    <n v="0"/>
    <n v="0"/>
    <n v="0"/>
    <x v="3"/>
    <n v="0"/>
  </r>
  <r>
    <x v="0"/>
    <x v="2"/>
    <n v="5000"/>
    <n v="0"/>
    <n v="0"/>
    <n v="0"/>
    <x v="3"/>
    <n v="0"/>
  </r>
  <r>
    <x v="0"/>
    <x v="2"/>
    <n v="3618000"/>
    <n v="0"/>
    <n v="0"/>
    <n v="0"/>
    <x v="3"/>
    <n v="0"/>
  </r>
  <r>
    <x v="0"/>
    <x v="2"/>
    <n v="268960"/>
    <n v="0"/>
    <n v="0"/>
    <n v="0"/>
    <x v="3"/>
    <n v="0"/>
  </r>
  <r>
    <x v="0"/>
    <x v="2"/>
    <n v="4072271"/>
    <n v="703574.12"/>
    <n v="672189.52"/>
    <n v="672189.52"/>
    <x v="3"/>
    <n v="0.17277192996242147"/>
  </r>
  <r>
    <x v="0"/>
    <x v="2"/>
    <n v="466764"/>
    <n v="580134.57999999996"/>
    <n v="520134.58"/>
    <n v="520134.58"/>
    <x v="3"/>
    <n v="1.2428862980007027"/>
  </r>
  <r>
    <x v="0"/>
    <x v="2"/>
    <n v="12835266"/>
    <n v="3932725.51"/>
    <n v="3917875.51"/>
    <n v="3916225.51"/>
    <x v="3"/>
    <n v="0.30640000059211858"/>
  </r>
  <r>
    <x v="0"/>
    <x v="2"/>
    <n v="1939369"/>
    <n v="0"/>
    <n v="0"/>
    <n v="0"/>
    <x v="3"/>
    <n v="0"/>
  </r>
  <r>
    <x v="0"/>
    <x v="2"/>
    <n v="4700000"/>
    <n v="22598710.949999999"/>
    <n v="22598710.949999999"/>
    <n v="18359554.640000001"/>
    <x v="3"/>
    <n v="4.8082363723404251"/>
  </r>
  <r>
    <x v="0"/>
    <x v="2"/>
    <n v="9000"/>
    <n v="4486951.71"/>
    <n v="4486951.71"/>
    <n v="95643.45"/>
    <x v="3"/>
    <n v="498.55018999999999"/>
  </r>
  <r>
    <x v="0"/>
    <x v="2"/>
    <n v="1301589"/>
    <n v="254081"/>
    <n v="247185"/>
    <n v="247185"/>
    <x v="3"/>
    <n v="0.19520831844768202"/>
  </r>
  <r>
    <x v="0"/>
    <x v="2"/>
    <n v="549470002"/>
    <n v="529219558.06"/>
    <n v="509866457.01999998"/>
    <n v="466039709.22000003"/>
    <x v="3"/>
    <n v="0.96314549681276318"/>
  </r>
  <r>
    <x v="0"/>
    <x v="2"/>
    <n v="9000"/>
    <n v="0"/>
    <n v="0"/>
    <n v="0"/>
    <x v="3"/>
    <n v="0"/>
  </r>
  <r>
    <x v="0"/>
    <x v="2"/>
    <n v="228280231"/>
    <n v="234208556.59999999"/>
    <n v="233205407.65000001"/>
    <n v="225776355.88999999"/>
    <x v="3"/>
    <n v="1.0259695093790229"/>
  </r>
  <r>
    <x v="0"/>
    <x v="2"/>
    <n v="5000"/>
    <n v="0"/>
    <n v="0"/>
    <n v="0"/>
    <x v="3"/>
    <n v="0"/>
  </r>
  <r>
    <x v="0"/>
    <x v="2"/>
    <n v="750"/>
    <n v="0"/>
    <n v="0"/>
    <n v="0"/>
    <x v="3"/>
    <n v="0"/>
  </r>
  <r>
    <x v="0"/>
    <x v="2"/>
    <n v="42385"/>
    <n v="14151.75"/>
    <n v="14151.75"/>
    <n v="11796.75"/>
    <x v="3"/>
    <n v="0.33388580865872358"/>
  </r>
  <r>
    <x v="0"/>
    <x v="2"/>
    <n v="7480"/>
    <n v="0"/>
    <n v="0"/>
    <n v="0"/>
    <x v="3"/>
    <n v="0"/>
  </r>
  <r>
    <x v="0"/>
    <x v="2"/>
    <n v="25000"/>
    <n v="275000"/>
    <n v="275000"/>
    <n v="25000"/>
    <x v="3"/>
    <n v="11"/>
  </r>
  <r>
    <x v="0"/>
    <x v="2"/>
    <n v="8735"/>
    <n v="84718.372499999998"/>
    <n v="84718.372499999998"/>
    <n v="80856.862500000003"/>
    <x v="3"/>
    <n v="9.698726101888953"/>
  </r>
  <r>
    <x v="0"/>
    <x v="2"/>
    <n v="6624"/>
    <n v="1276"/>
    <n v="1276"/>
    <n v="957"/>
    <x v="3"/>
    <n v="0.19263285024154589"/>
  </r>
  <r>
    <x v="0"/>
    <x v="2"/>
    <n v="5599240"/>
    <n v="5168763.1074999999"/>
    <n v="5130319.6924999999"/>
    <n v="4569522.9474999998"/>
    <x v="3"/>
    <n v="0.92311869244754641"/>
  </r>
  <r>
    <x v="0"/>
    <x v="2"/>
    <n v="266157"/>
    <n v="100185"/>
    <n v="100185"/>
    <n v="88975"/>
    <x v="3"/>
    <n v="0.37641316967053279"/>
  </r>
  <r>
    <x v="0"/>
    <x v="2"/>
    <n v="46970"/>
    <n v="0"/>
    <n v="0"/>
    <n v="0"/>
    <x v="3"/>
    <n v="0"/>
  </r>
  <r>
    <x v="0"/>
    <x v="2"/>
    <n v="300000"/>
    <n v="300000"/>
    <n v="300000"/>
    <n v="300000"/>
    <x v="3"/>
    <n v="1"/>
  </r>
  <r>
    <x v="0"/>
    <x v="2"/>
    <n v="325205"/>
    <n v="524818.68999999994"/>
    <n v="524818.68999999994"/>
    <n v="387116.01"/>
    <x v="3"/>
    <n v="1.6138087975277131"/>
  </r>
  <r>
    <x v="0"/>
    <x v="2"/>
    <n v="10480"/>
    <n v="6790"/>
    <n v="6790"/>
    <n v="4074"/>
    <x v="3"/>
    <n v="0.64790076335877866"/>
  </r>
  <r>
    <x v="0"/>
    <x v="2"/>
    <n v="16399"/>
    <n v="0"/>
    <n v="0"/>
    <n v="0"/>
    <x v="3"/>
    <n v="0"/>
  </r>
  <r>
    <x v="0"/>
    <x v="2"/>
    <n v="691416"/>
    <n v="13708.12"/>
    <n v="525"/>
    <n v="525"/>
    <x v="3"/>
    <n v="1.9826153863954553E-2"/>
  </r>
  <r>
    <x v="0"/>
    <x v="2"/>
    <n v="4688734"/>
    <n v="1456370.08"/>
    <n v="1456370.08"/>
    <n v="1456370.08"/>
    <x v="3"/>
    <n v="0.31061051448002808"/>
  </r>
  <r>
    <x v="0"/>
    <x v="2"/>
    <n v="360000"/>
    <n v="309000"/>
    <n v="279750"/>
    <n v="279750"/>
    <x v="3"/>
    <n v="0.85833333333333328"/>
  </r>
  <r>
    <x v="0"/>
    <x v="2"/>
    <n v="3420000"/>
    <n v="2129196.35"/>
    <n v="1720683.48"/>
    <n v="1720683.48"/>
    <x v="3"/>
    <n v="0.62257203216374268"/>
  </r>
  <r>
    <x v="0"/>
    <x v="2"/>
    <n v="1080000"/>
    <n v="0"/>
    <n v="0"/>
    <n v="0"/>
    <x v="3"/>
    <n v="0"/>
  </r>
  <r>
    <x v="0"/>
    <x v="2"/>
    <n v="16022"/>
    <n v="256.505"/>
    <n v="256.505"/>
    <n v="256.505"/>
    <x v="3"/>
    <n v="1.6009549369616776E-2"/>
  </r>
  <r>
    <x v="0"/>
    <x v="2"/>
    <n v="35601"/>
    <n v="124.5"/>
    <n v="124.5"/>
    <n v="124.5"/>
    <x v="3"/>
    <n v="3.4970927782927447E-3"/>
  </r>
  <r>
    <x v="0"/>
    <x v="2"/>
    <n v="15744"/>
    <n v="2755.5075000000002"/>
    <n v="583.00750000000005"/>
    <n v="583.00750000000005"/>
    <x v="3"/>
    <n v="0.17501953125"/>
  </r>
  <r>
    <x v="0"/>
    <x v="2"/>
    <n v="2826"/>
    <n v="0"/>
    <n v="0"/>
    <n v="0"/>
    <x v="3"/>
    <n v="0"/>
  </r>
  <r>
    <x v="0"/>
    <x v="2"/>
    <n v="2500"/>
    <n v="0"/>
    <n v="0"/>
    <n v="0"/>
    <x v="3"/>
    <n v="0"/>
  </r>
  <r>
    <x v="0"/>
    <x v="2"/>
    <n v="111517"/>
    <n v="34473.15"/>
    <n v="30020.375"/>
    <n v="24562.125"/>
    <x v="3"/>
    <n v="0.30912910139261279"/>
  </r>
  <r>
    <x v="0"/>
    <x v="2"/>
    <n v="195106"/>
    <n v="190815.75200000001"/>
    <n v="168653.209"/>
    <n v="168653.209"/>
    <x v="3"/>
    <n v="0.97801068137320235"/>
  </r>
  <r>
    <x v="0"/>
    <x v="2"/>
    <n v="850000"/>
    <n v="573393.85"/>
    <n v="515122.52500000002"/>
    <n v="515122.52500000002"/>
    <x v="3"/>
    <n v="0.67458099999999999"/>
  </r>
  <r>
    <x v="0"/>
    <x v="2"/>
    <n v="297500"/>
    <n v="0"/>
    <n v="0"/>
    <n v="0"/>
    <x v="3"/>
    <n v="0"/>
  </r>
  <r>
    <x v="2"/>
    <x v="6"/>
    <n v="272750"/>
    <n v="376507.3"/>
    <n v="376507.3"/>
    <n v="350459.28"/>
    <x v="3"/>
    <n v="1.3804117323556371"/>
  </r>
  <r>
    <x v="2"/>
    <x v="6"/>
    <n v="8000"/>
    <n v="0"/>
    <n v="0"/>
    <n v="0"/>
    <x v="3"/>
    <n v="0"/>
  </r>
  <r>
    <x v="2"/>
    <x v="6"/>
    <n v="7300"/>
    <n v="0"/>
    <n v="0"/>
    <n v="0"/>
    <x v="3"/>
    <n v="0"/>
  </r>
  <r>
    <x v="2"/>
    <x v="6"/>
    <n v="53175"/>
    <n v="0"/>
    <n v="0"/>
    <n v="0"/>
    <x v="3"/>
    <n v="0"/>
  </r>
  <r>
    <x v="2"/>
    <x v="6"/>
    <n v="10707632"/>
    <n v="10627186.27"/>
    <n v="10461834.4125"/>
    <n v="9715252.7650000006"/>
    <x v="3"/>
    <n v="0.9924870662346259"/>
  </r>
  <r>
    <x v="2"/>
    <x v="6"/>
    <n v="257422"/>
    <n v="365733.01500000001"/>
    <n v="365733.01500000001"/>
    <n v="365733.01500000001"/>
    <x v="3"/>
    <n v="1.4207527522900141"/>
  </r>
  <r>
    <x v="2"/>
    <x v="6"/>
    <n v="534977"/>
    <n v="554977.28000000003"/>
    <n v="554977.28000000003"/>
    <n v="554977.28000000003"/>
    <x v="3"/>
    <n v="1.0373853081534348"/>
  </r>
  <r>
    <x v="2"/>
    <x v="6"/>
    <n v="4004632"/>
    <n v="4003631.16"/>
    <n v="4003631.16"/>
    <n v="4003631.16"/>
    <x v="3"/>
    <n v="0.9997500794080455"/>
  </r>
  <r>
    <x v="2"/>
    <x v="6"/>
    <n v="25812667"/>
    <n v="25150152.559999999"/>
    <n v="25078339.07"/>
    <n v="25077992.399999999"/>
    <x v="3"/>
    <n v="0.97433374707076947"/>
  </r>
  <r>
    <x v="2"/>
    <x v="6"/>
    <n v="724303"/>
    <n v="892878.6"/>
    <n v="714302.88"/>
    <n v="654777.64"/>
    <x v="3"/>
    <n v="1.2327418221379727"/>
  </r>
  <r>
    <x v="2"/>
    <x v="6"/>
    <n v="768177"/>
    <n v="680372.1"/>
    <n v="676391.7"/>
    <n v="624256.28"/>
    <x v="3"/>
    <n v="0.88569704638384117"/>
  </r>
  <r>
    <x v="2"/>
    <x v="6"/>
    <n v="343200"/>
    <n v="303957"/>
    <n v="302912"/>
    <n v="302912"/>
    <x v="3"/>
    <n v="0.88565559440559438"/>
  </r>
  <r>
    <x v="2"/>
    <x v="6"/>
    <n v="960960"/>
    <n v="408433"/>
    <n v="408433"/>
    <n v="408433"/>
    <x v="3"/>
    <n v="0.42502601565101567"/>
  </r>
  <r>
    <x v="2"/>
    <x v="6"/>
    <n v="603979"/>
    <n v="49563.6"/>
    <n v="45433.3"/>
    <n v="45433.3"/>
    <x v="3"/>
    <n v="8.2061793539179334E-2"/>
  </r>
  <r>
    <x v="2"/>
    <x v="6"/>
    <n v="9000"/>
    <n v="214.34"/>
    <n v="214.34"/>
    <n v="214.34"/>
    <x v="3"/>
    <n v="2.3815555555555555E-2"/>
  </r>
  <r>
    <x v="2"/>
    <x v="6"/>
    <n v="788486"/>
    <n v="794120.06"/>
    <n v="789430.18"/>
    <n v="788358.62"/>
    <x v="3"/>
    <n v="1.0071454153910153"/>
  </r>
  <r>
    <x v="2"/>
    <x v="6"/>
    <n v="10039636"/>
    <n v="5777478.6399999997"/>
    <n v="5325454.33"/>
    <n v="5057627.24"/>
    <x v="3"/>
    <n v="0.57546694322383796"/>
  </r>
  <r>
    <x v="2"/>
    <x v="6"/>
    <n v="261635"/>
    <n v="204000"/>
    <n v="180000"/>
    <n v="180000"/>
    <x v="3"/>
    <n v="0.77971219446939444"/>
  </r>
  <r>
    <x v="2"/>
    <x v="6"/>
    <n v="513502"/>
    <n v="461449.31"/>
    <n v="336349.31"/>
    <n v="336349.31"/>
    <x v="3"/>
    <n v="0.89863196248505361"/>
  </r>
  <r>
    <x v="2"/>
    <x v="6"/>
    <n v="645427"/>
    <n v="226171.27"/>
    <n v="162371.4"/>
    <n v="162371.4"/>
    <x v="3"/>
    <n v="0.35042114755038134"/>
  </r>
  <r>
    <x v="2"/>
    <x v="6"/>
    <n v="591421"/>
    <n v="105620.88"/>
    <n v="105620.88"/>
    <n v="105620.88"/>
    <x v="3"/>
    <n v="0.1785883152610408"/>
  </r>
  <r>
    <x v="2"/>
    <x v="6"/>
    <n v="986257"/>
    <n v="5483"/>
    <n v="4983"/>
    <n v="4983"/>
    <x v="3"/>
    <n v="5.5594028736931653E-3"/>
  </r>
  <r>
    <x v="2"/>
    <x v="6"/>
    <n v="190086"/>
    <n v="500"/>
    <n v="0"/>
    <n v="0"/>
    <x v="3"/>
    <n v="2.6303883505360733E-3"/>
  </r>
  <r>
    <x v="2"/>
    <x v="6"/>
    <n v="167000"/>
    <n v="7230"/>
    <n v="7230"/>
    <n v="7230"/>
    <x v="3"/>
    <n v="4.3293413173652692E-2"/>
  </r>
  <r>
    <x v="2"/>
    <x v="6"/>
    <n v="78800"/>
    <n v="9550"/>
    <n v="9550"/>
    <n v="9550"/>
    <x v="3"/>
    <n v="0.12119289340101523"/>
  </r>
  <r>
    <x v="2"/>
    <x v="6"/>
    <n v="91600"/>
    <n v="0"/>
    <n v="0"/>
    <n v="0"/>
    <x v="3"/>
    <n v="0"/>
  </r>
  <r>
    <x v="2"/>
    <x v="6"/>
    <n v="816346"/>
    <n v="0"/>
    <n v="0"/>
    <n v="0"/>
    <x v="3"/>
    <n v="0"/>
  </r>
  <r>
    <x v="2"/>
    <x v="6"/>
    <n v="2310471"/>
    <n v="416019.16"/>
    <n v="249016.72"/>
    <n v="249016.72"/>
    <x v="3"/>
    <n v="0.18005816130131042"/>
  </r>
  <r>
    <x v="2"/>
    <x v="6"/>
    <n v="8478914"/>
    <n v="7700846.2249999996"/>
    <n v="7373029.9900000002"/>
    <n v="6907326.9175000004"/>
    <x v="3"/>
    <n v="0.90823497266277253"/>
  </r>
  <r>
    <x v="2"/>
    <x v="6"/>
    <n v="1544605"/>
    <n v="1706836.7150000001"/>
    <n v="1629924.71"/>
    <n v="1542484.1725000001"/>
    <x v="3"/>
    <n v="1.1050311989149331"/>
  </r>
  <r>
    <x v="2"/>
    <x v="6"/>
    <n v="0"/>
    <n v="1787719.83"/>
    <n v="1787719.83"/>
    <n v="1663674.5674999999"/>
    <x v="3"/>
    <n v="0"/>
  </r>
  <r>
    <x v="2"/>
    <x v="6"/>
    <n v="300000"/>
    <n v="0"/>
    <n v="0"/>
    <n v="0"/>
    <x v="3"/>
    <n v="0"/>
  </r>
  <r>
    <x v="2"/>
    <x v="6"/>
    <n v="2250"/>
    <n v="0"/>
    <n v="0"/>
    <n v="0"/>
    <x v="3"/>
    <n v="0"/>
  </r>
  <r>
    <x v="2"/>
    <x v="6"/>
    <n v="2324631"/>
    <n v="1603182.5375000001"/>
    <n v="1377463.41"/>
    <n v="1284921.2324999999"/>
    <x v="3"/>
    <n v="0.68965033052557589"/>
  </r>
  <r>
    <x v="2"/>
    <x v="6"/>
    <n v="315000"/>
    <n v="27150"/>
    <n v="26250"/>
    <n v="25425"/>
    <x v="3"/>
    <n v="8.6190476190476192E-2"/>
  </r>
  <r>
    <x v="2"/>
    <x v="6"/>
    <n v="203050"/>
    <n v="142882.19750000001"/>
    <n v="65188.127500000002"/>
    <n v="59467.025000000001"/>
    <x v="3"/>
    <n v="0.70367986949027339"/>
  </r>
  <r>
    <x v="2"/>
    <x v="6"/>
    <n v="84150"/>
    <n v="0"/>
    <n v="0"/>
    <n v="0"/>
    <x v="3"/>
    <n v="0"/>
  </r>
  <r>
    <x v="2"/>
    <x v="6"/>
    <n v="125"/>
    <n v="0"/>
    <n v="0"/>
    <n v="0"/>
    <x v="3"/>
    <n v="0"/>
  </r>
  <r>
    <x v="2"/>
    <x v="6"/>
    <n v="1076010"/>
    <n v="2695194.87"/>
    <n v="2629457.6074999999"/>
    <n v="2627126.7825000002"/>
    <x v="3"/>
    <n v="2.5048046672428694"/>
  </r>
  <r>
    <x v="2"/>
    <x v="6"/>
    <n v="1196519"/>
    <n v="1210019.1825000001"/>
    <n v="1173914.28"/>
    <n v="1173914.28"/>
    <x v="3"/>
    <n v="1.0112828818430799"/>
  </r>
  <r>
    <x v="2"/>
    <x v="6"/>
    <n v="1350039"/>
    <n v="1349769.6125"/>
    <n v="1339611.1375"/>
    <n v="1338455.46"/>
    <x v="3"/>
    <n v="0.99980045946820795"/>
  </r>
  <r>
    <x v="2"/>
    <x v="6"/>
    <n v="87507"/>
    <n v="92847.25"/>
    <n v="87507"/>
    <n v="87507"/>
    <x v="3"/>
    <n v="1.0610265464477127"/>
  </r>
  <r>
    <x v="2"/>
    <x v="6"/>
    <n v="250"/>
    <n v="0"/>
    <n v="0"/>
    <n v="0"/>
    <x v="3"/>
    <n v="0"/>
  </r>
  <r>
    <x v="2"/>
    <x v="6"/>
    <n v="1000"/>
    <n v="0"/>
    <n v="0"/>
    <n v="0"/>
    <x v="3"/>
    <n v="0"/>
  </r>
  <r>
    <x v="2"/>
    <x v="6"/>
    <n v="6344168"/>
    <n v="5892625.5999999996"/>
    <n v="5795892.9625000004"/>
    <n v="5380682.8849999998"/>
    <x v="3"/>
    <n v="0.92882559226048234"/>
  </r>
  <r>
    <x v="2"/>
    <x v="6"/>
    <n v="287112"/>
    <n v="324362.01"/>
    <n v="324362.01"/>
    <n v="324362.01"/>
    <x v="3"/>
    <n v="1.1297403452311294"/>
  </r>
  <r>
    <x v="2"/>
    <x v="6"/>
    <n v="1636605"/>
    <n v="1227454.5900000001"/>
    <n v="1227454.5900000001"/>
    <n v="1227454.5900000001"/>
    <x v="3"/>
    <n v="0.75000051325762784"/>
  </r>
  <r>
    <x v="2"/>
    <x v="6"/>
    <n v="1247040"/>
    <n v="935280"/>
    <n v="935280"/>
    <n v="935280"/>
    <x v="3"/>
    <n v="0.75"/>
  </r>
  <r>
    <x v="2"/>
    <x v="6"/>
    <n v="1248411"/>
    <n v="1206736.8325"/>
    <n v="1206564.5900000001"/>
    <n v="1108424.1825000001"/>
    <x v="3"/>
    <n v="0.96661823109536849"/>
  </r>
  <r>
    <x v="2"/>
    <x v="6"/>
    <n v="5418028"/>
    <n v="5148469.7725"/>
    <n v="5144843.05"/>
    <n v="4702021.3449999997"/>
    <x v="3"/>
    <n v="0.95024790800269032"/>
  </r>
  <r>
    <x v="2"/>
    <x v="6"/>
    <n v="425652"/>
    <n v="86023.125"/>
    <n v="86023.125"/>
    <n v="86023.125"/>
    <x v="3"/>
    <n v="0.20209731188858504"/>
  </r>
  <r>
    <x v="2"/>
    <x v="6"/>
    <n v="292128"/>
    <n v="215897.77"/>
    <n v="210179.19"/>
    <n v="198684.47"/>
    <x v="3"/>
    <n v="0.73905195667652535"/>
  </r>
  <r>
    <x v="2"/>
    <x v="6"/>
    <n v="4925"/>
    <n v="0"/>
    <n v="0"/>
    <n v="0"/>
    <x v="3"/>
    <n v="0"/>
  </r>
  <r>
    <x v="2"/>
    <x v="6"/>
    <n v="7775"/>
    <n v="0"/>
    <n v="0"/>
    <n v="0"/>
    <x v="3"/>
    <n v="0"/>
  </r>
  <r>
    <x v="2"/>
    <x v="6"/>
    <n v="2500"/>
    <n v="0"/>
    <n v="0"/>
    <n v="0"/>
    <x v="3"/>
    <n v="0"/>
  </r>
  <r>
    <x v="2"/>
    <x v="6"/>
    <n v="250"/>
    <n v="0"/>
    <n v="0"/>
    <n v="0"/>
    <x v="3"/>
    <n v="0"/>
  </r>
  <r>
    <x v="2"/>
    <x v="6"/>
    <n v="178000"/>
    <n v="0"/>
    <n v="0"/>
    <n v="0"/>
    <x v="3"/>
    <n v="0"/>
  </r>
  <r>
    <x v="2"/>
    <x v="6"/>
    <n v="26200"/>
    <n v="0"/>
    <n v="0"/>
    <n v="0"/>
    <x v="3"/>
    <n v="0"/>
  </r>
  <r>
    <x v="2"/>
    <x v="6"/>
    <n v="39337"/>
    <n v="125"/>
    <n v="0"/>
    <n v="0"/>
    <x v="3"/>
    <n v="3.1776698782316902E-3"/>
  </r>
  <r>
    <x v="2"/>
    <x v="6"/>
    <n v="7625"/>
    <n v="0"/>
    <n v="0"/>
    <n v="0"/>
    <x v="3"/>
    <n v="0"/>
  </r>
  <r>
    <x v="2"/>
    <x v="6"/>
    <n v="9721"/>
    <n v="6423.9750000000004"/>
    <n v="6423.9750000000004"/>
    <n v="6423.9750000000004"/>
    <x v="3"/>
    <n v="0.66083479065939721"/>
  </r>
  <r>
    <x v="2"/>
    <x v="6"/>
    <n v="675500"/>
    <n v="600000"/>
    <n v="78307.264999999999"/>
    <n v="65303.357499999998"/>
    <x v="3"/>
    <n v="0.8882309400444115"/>
  </r>
  <r>
    <x v="2"/>
    <x v="6"/>
    <n v="3116626"/>
    <n v="3040299.4750000001"/>
    <n v="2338818.7050000001"/>
    <n v="2179596.3149999999"/>
    <x v="3"/>
    <n v="0.9755098863322067"/>
  </r>
  <r>
    <x v="2"/>
    <x v="6"/>
    <n v="293761"/>
    <n v="50182.75"/>
    <n v="48824"/>
    <n v="42561.5"/>
    <x v="3"/>
    <n v="0.17082849663501962"/>
  </r>
  <r>
    <x v="2"/>
    <x v="6"/>
    <n v="87240"/>
    <n v="7378.6274999999996"/>
    <n v="7378.6274999999996"/>
    <n v="7378.6274999999996"/>
    <x v="3"/>
    <n v="8.4578490371389273E-2"/>
  </r>
  <r>
    <x v="2"/>
    <x v="6"/>
    <n v="2652000"/>
    <n v="2550000"/>
    <n v="2550000"/>
    <n v="2550000"/>
    <x v="3"/>
    <n v="0.96153846153846156"/>
  </r>
  <r>
    <x v="2"/>
    <x v="6"/>
    <n v="94727"/>
    <n v="37056.535000000003"/>
    <n v="30730.61"/>
    <n v="30329.935000000001"/>
    <x v="3"/>
    <n v="0.39119295449027208"/>
  </r>
  <r>
    <x v="2"/>
    <x v="6"/>
    <n v="197297"/>
    <n v="93755.875"/>
    <n v="84152.457500000004"/>
    <n v="84017.06"/>
    <x v="3"/>
    <n v="0.47520172633136842"/>
  </r>
  <r>
    <x v="2"/>
    <x v="6"/>
    <n v="22450"/>
    <n v="4485"/>
    <n v="3712.5574999999999"/>
    <n v="3571.5374999999999"/>
    <x v="3"/>
    <n v="0.1997772828507795"/>
  </r>
  <r>
    <x v="2"/>
    <x v="6"/>
    <n v="42257"/>
    <n v="39452.977500000001"/>
    <n v="37000.445"/>
    <n v="36865.047500000001"/>
    <x v="3"/>
    <n v="0.93364359751047166"/>
  </r>
  <r>
    <x v="2"/>
    <x v="6"/>
    <n v="155665"/>
    <n v="114432.19"/>
    <n v="103913.745"/>
    <n v="103465.41"/>
    <x v="3"/>
    <n v="0.73511829891112324"/>
  </r>
  <r>
    <x v="2"/>
    <x v="6"/>
    <n v="97712"/>
    <n v="13028.752500000001"/>
    <n v="8219.9050000000007"/>
    <n v="6594.63"/>
    <x v="3"/>
    <n v="0.13333830542819716"/>
  </r>
  <r>
    <x v="2"/>
    <x v="6"/>
    <n v="2370007"/>
    <n v="2354108.0049999999"/>
    <n v="2288898.3475000001"/>
    <n v="2170198.2349999999"/>
    <x v="3"/>
    <n v="0.99329158310502874"/>
  </r>
  <r>
    <x v="2"/>
    <x v="6"/>
    <n v="8653550"/>
    <n v="8097145.4400000004"/>
    <n v="7785199.6150000002"/>
    <n v="7193298.9199999999"/>
    <x v="3"/>
    <n v="0.93570216154063945"/>
  </r>
  <r>
    <x v="2"/>
    <x v="7"/>
    <n v="1325569"/>
    <n v="786710.08"/>
    <n v="721025.87"/>
    <n v="715920.71"/>
    <x v="3"/>
    <n v="0.59348859244596086"/>
  </r>
  <r>
    <x v="2"/>
    <x v="7"/>
    <n v="86000"/>
    <n v="0"/>
    <n v="0"/>
    <n v="0"/>
    <x v="3"/>
    <n v="0"/>
  </r>
  <r>
    <x v="2"/>
    <x v="7"/>
    <n v="2633"/>
    <n v="441"/>
    <n v="441"/>
    <n v="441"/>
    <x v="3"/>
    <n v="0.16748955563995443"/>
  </r>
  <r>
    <x v="2"/>
    <x v="7"/>
    <n v="15821"/>
    <n v="3588.1125000000002"/>
    <n v="3587.97"/>
    <n v="3587.97"/>
    <x v="3"/>
    <n v="0.22679429239618229"/>
  </r>
  <r>
    <x v="2"/>
    <x v="7"/>
    <n v="51625"/>
    <n v="9150"/>
    <n v="7165"/>
    <n v="7165"/>
    <x v="3"/>
    <n v="0.17723970944309927"/>
  </r>
  <r>
    <x v="2"/>
    <x v="7"/>
    <n v="14250"/>
    <n v="0"/>
    <n v="0"/>
    <n v="0"/>
    <x v="3"/>
    <n v="0"/>
  </r>
  <r>
    <x v="2"/>
    <x v="7"/>
    <n v="15500"/>
    <n v="0"/>
    <n v="0"/>
    <n v="0"/>
    <x v="3"/>
    <n v="0"/>
  </r>
  <r>
    <x v="2"/>
    <x v="7"/>
    <n v="5661"/>
    <n v="821.26250000000005"/>
    <n v="220.71"/>
    <n v="0"/>
    <x v="3"/>
    <n v="0.14507375022080904"/>
  </r>
  <r>
    <x v="2"/>
    <x v="7"/>
    <n v="209249"/>
    <n v="0"/>
    <n v="0"/>
    <n v="0"/>
    <x v="3"/>
    <n v="0"/>
  </r>
  <r>
    <x v="2"/>
    <x v="7"/>
    <n v="31125"/>
    <n v="1604.0625"/>
    <n v="1603.9775"/>
    <n v="1603.9775"/>
    <x v="3"/>
    <n v="5.153614457831325E-2"/>
  </r>
  <r>
    <x v="2"/>
    <x v="7"/>
    <n v="182120"/>
    <n v="2000"/>
    <n v="0"/>
    <n v="0"/>
    <x v="3"/>
    <n v="1.0981770261366132E-2"/>
  </r>
  <r>
    <x v="2"/>
    <x v="7"/>
    <n v="1269085"/>
    <n v="737448.17"/>
    <n v="700797.95"/>
    <n v="659742.495"/>
    <x v="3"/>
    <n v="0.58108650720794908"/>
  </r>
  <r>
    <x v="2"/>
    <x v="7"/>
    <n v="17000"/>
    <n v="3581.49"/>
    <n v="0"/>
    <n v="0"/>
    <x v="3"/>
    <n v="0.21067588235294116"/>
  </r>
  <r>
    <x v="2"/>
    <x v="7"/>
    <n v="30000"/>
    <n v="0"/>
    <n v="0"/>
    <n v="0"/>
    <x v="3"/>
    <n v="0"/>
  </r>
  <r>
    <x v="2"/>
    <x v="7"/>
    <n v="125000"/>
    <n v="0"/>
    <n v="0"/>
    <n v="0"/>
    <x v="3"/>
    <n v="0"/>
  </r>
  <r>
    <x v="2"/>
    <x v="7"/>
    <n v="196593"/>
    <n v="140843.5"/>
    <n v="93895.664999999994"/>
    <n v="93895.664999999994"/>
    <x v="3"/>
    <n v="0.71642174441612871"/>
  </r>
  <r>
    <x v="2"/>
    <x v="7"/>
    <n v="351094"/>
    <n v="333807.59749999997"/>
    <n v="328978.40999999997"/>
    <n v="308835.66249999998"/>
    <x v="3"/>
    <n v="0.9507641756908406"/>
  </r>
  <r>
    <x v="2"/>
    <x v="7"/>
    <n v="56231"/>
    <n v="0"/>
    <n v="0"/>
    <n v="0"/>
    <x v="3"/>
    <n v="0"/>
  </r>
  <r>
    <x v="2"/>
    <x v="7"/>
    <n v="1250000"/>
    <n v="0"/>
    <n v="0"/>
    <n v="0"/>
    <x v="3"/>
    <n v="0"/>
  </r>
  <r>
    <x v="2"/>
    <x v="7"/>
    <n v="60250"/>
    <n v="0"/>
    <n v="0"/>
    <n v="0"/>
    <x v="3"/>
    <n v="0"/>
  </r>
  <r>
    <x v="2"/>
    <x v="7"/>
    <n v="188752"/>
    <n v="204211.77"/>
    <n v="204211.77"/>
    <n v="182835.55249999999"/>
    <x v="3"/>
    <n v="1.0819051983555141"/>
  </r>
  <r>
    <x v="1"/>
    <x v="3"/>
    <n v="418184"/>
    <n v="177062.5"/>
    <n v="142556.60250000001"/>
    <n v="128277.98"/>
    <x v="3"/>
    <n v="0.42340811700112868"/>
  </r>
  <r>
    <x v="1"/>
    <x v="3"/>
    <n v="4938674"/>
    <n v="0"/>
    <n v="0"/>
    <n v="0"/>
    <x v="3"/>
    <n v="0"/>
  </r>
  <r>
    <x v="1"/>
    <x v="3"/>
    <n v="112250"/>
    <n v="286761.79249999998"/>
    <n v="270261.79249999998"/>
    <n v="270261.79249999998"/>
    <x v="3"/>
    <n v="2.5546707572383074"/>
  </r>
  <r>
    <x v="1"/>
    <x v="3"/>
    <n v="737250"/>
    <n v="8400"/>
    <n v="8400"/>
    <n v="8400"/>
    <x v="3"/>
    <n v="1.1393692777212614E-2"/>
  </r>
  <r>
    <x v="1"/>
    <x v="3"/>
    <n v="112495"/>
    <n v="5478.77"/>
    <n v="5478.77"/>
    <n v="5478.77"/>
    <x v="3"/>
    <n v="4.8702342326325615E-2"/>
  </r>
  <r>
    <x v="1"/>
    <x v="3"/>
    <n v="221097"/>
    <n v="209250"/>
    <n v="194848.3725"/>
    <n v="194848.3725"/>
    <x v="3"/>
    <n v="0.94641718340818737"/>
  </r>
  <r>
    <x v="1"/>
    <x v="3"/>
    <n v="434624"/>
    <n v="365591.08250000002"/>
    <n v="326095.76750000002"/>
    <n v="325477.32500000001"/>
    <x v="3"/>
    <n v="0.84116634723347083"/>
  </r>
  <r>
    <x v="1"/>
    <x v="3"/>
    <n v="63135"/>
    <n v="209783.57500000001"/>
    <n v="185787.1225"/>
    <n v="185787.1225"/>
    <x v="3"/>
    <n v="3.3227777777777781"/>
  </r>
  <r>
    <x v="1"/>
    <x v="3"/>
    <n v="505856"/>
    <n v="0"/>
    <n v="0"/>
    <n v="0"/>
    <x v="3"/>
    <n v="0"/>
  </r>
  <r>
    <x v="1"/>
    <x v="3"/>
    <n v="691750"/>
    <n v="598000"/>
    <n v="517010.13250000001"/>
    <n v="517010.13250000001"/>
    <x v="3"/>
    <n v="0.86447415973979036"/>
  </r>
  <r>
    <x v="1"/>
    <x v="3"/>
    <n v="191000"/>
    <n v="748968.75"/>
    <n v="653625"/>
    <n v="653625"/>
    <x v="3"/>
    <n v="3.9213023560209423"/>
  </r>
  <r>
    <x v="1"/>
    <x v="3"/>
    <n v="721000"/>
    <n v="26250"/>
    <n v="19537.5425"/>
    <n v="19537.5425"/>
    <x v="3"/>
    <n v="3.640776699029126E-2"/>
  </r>
  <r>
    <x v="1"/>
    <x v="3"/>
    <n v="83500"/>
    <n v="5625"/>
    <n v="375"/>
    <n v="375"/>
    <x v="3"/>
    <n v="6.7365269461077848E-2"/>
  </r>
  <r>
    <x v="1"/>
    <x v="3"/>
    <n v="3226000"/>
    <n v="1805269.9750000001"/>
    <n v="1805269.9750000001"/>
    <n v="1623452.87"/>
    <x v="3"/>
    <n v="0.55960011624302541"/>
  </r>
  <r>
    <x v="1"/>
    <x v="3"/>
    <n v="750"/>
    <n v="0"/>
    <n v="0"/>
    <n v="0"/>
    <x v="3"/>
    <n v="0"/>
  </r>
  <r>
    <x v="1"/>
    <x v="3"/>
    <n v="739999"/>
    <n v="207194.255"/>
    <n v="151813.26500000001"/>
    <n v="112629.27"/>
    <x v="3"/>
    <n v="0.27999261485488497"/>
  </r>
  <r>
    <x v="1"/>
    <x v="3"/>
    <n v="552500"/>
    <n v="0"/>
    <n v="0"/>
    <n v="0"/>
    <x v="3"/>
    <n v="0"/>
  </r>
  <r>
    <x v="1"/>
    <x v="3"/>
    <n v="38000"/>
    <n v="0"/>
    <n v="0"/>
    <n v="0"/>
    <x v="3"/>
    <n v="0"/>
  </r>
  <r>
    <x v="1"/>
    <x v="3"/>
    <n v="55750"/>
    <n v="0"/>
    <n v="0"/>
    <n v="0"/>
    <x v="3"/>
    <n v="0"/>
  </r>
  <r>
    <x v="1"/>
    <x v="3"/>
    <n v="6526123"/>
    <n v="967147.37749999994"/>
    <n v="758659.32"/>
    <n v="565270.64"/>
    <x v="3"/>
    <n v="0.14819631464193977"/>
  </r>
  <r>
    <x v="1"/>
    <x v="3"/>
    <n v="1431547"/>
    <n v="2095595.7450000001"/>
    <n v="1746687.5275000001"/>
    <n v="1719045.1200000001"/>
    <x v="3"/>
    <n v="1.4638679309865481"/>
  </r>
  <r>
    <x v="1"/>
    <x v="3"/>
    <n v="190750"/>
    <n v="10041.932500000001"/>
    <n v="10041.932500000001"/>
    <n v="10041.932500000001"/>
    <x v="3"/>
    <n v="5.2644469200524249E-2"/>
  </r>
  <r>
    <x v="1"/>
    <x v="3"/>
    <n v="3000177"/>
    <n v="3480118.88"/>
    <n v="2659145.4550000001"/>
    <n v="2638303.0724999998"/>
    <x v="3"/>
    <n v="1.1599711883665531"/>
  </r>
  <r>
    <x v="1"/>
    <x v="3"/>
    <n v="37316"/>
    <n v="0"/>
    <n v="0"/>
    <n v="0"/>
    <x v="3"/>
    <n v="0"/>
  </r>
  <r>
    <x v="1"/>
    <x v="3"/>
    <n v="164344"/>
    <n v="186189.96"/>
    <n v="85939.96"/>
    <n v="85939.96"/>
    <x v="3"/>
    <n v="1.1329282480650342"/>
  </r>
  <r>
    <x v="1"/>
    <x v="3"/>
    <n v="242891"/>
    <n v="85718.002500000002"/>
    <n v="11469.752500000001"/>
    <n v="6311.3549999999996"/>
    <x v="3"/>
    <n v="0.35290728145546768"/>
  </r>
  <r>
    <x v="1"/>
    <x v="3"/>
    <n v="1435975"/>
    <n v="12622.897499999999"/>
    <n v="12622.897499999999"/>
    <n v="12622.897499999999"/>
    <x v="3"/>
    <n v="8.7904716307735161E-3"/>
  </r>
  <r>
    <x v="1"/>
    <x v="3"/>
    <n v="5750"/>
    <n v="1500"/>
    <n v="1375"/>
    <n v="1375"/>
    <x v="3"/>
    <n v="0.2608695652173913"/>
  </r>
  <r>
    <x v="1"/>
    <x v="3"/>
    <n v="483400"/>
    <n v="796482.8125"/>
    <n v="672400.96250000002"/>
    <n v="647617.15"/>
    <x v="3"/>
    <n v="1.6476682095573025"/>
  </r>
  <r>
    <x v="1"/>
    <x v="3"/>
    <n v="4697051"/>
    <n v="3084900.6675"/>
    <n v="2562988.7349999999"/>
    <n v="2494487.8975"/>
    <x v="3"/>
    <n v="0.65677393485827595"/>
  </r>
  <r>
    <x v="1"/>
    <x v="3"/>
    <n v="79293"/>
    <n v="33395.525000000001"/>
    <n v="7669.7974999999997"/>
    <n v="7669.7974999999997"/>
    <x v="3"/>
    <n v="0.42116611806842974"/>
  </r>
  <r>
    <x v="1"/>
    <x v="3"/>
    <n v="3328341"/>
    <n v="4378124.8475000001"/>
    <n v="3740731.79"/>
    <n v="3546833.09"/>
    <x v="3"/>
    <n v="1.315407540122842"/>
  </r>
  <r>
    <x v="1"/>
    <x v="3"/>
    <n v="627404"/>
    <n v="137500"/>
    <n v="82155.27"/>
    <n v="82155.27"/>
    <x v="3"/>
    <n v="0.21915703438294942"/>
  </r>
  <r>
    <x v="1"/>
    <x v="3"/>
    <n v="6020929"/>
    <n v="2487016.7599999998"/>
    <n v="1851730.5825"/>
    <n v="1792721.19"/>
    <x v="3"/>
    <n v="0.41306196435799192"/>
  </r>
  <r>
    <x v="1"/>
    <x v="3"/>
    <n v="800500"/>
    <n v="100000"/>
    <n v="20350.45"/>
    <n v="20350.45"/>
    <x v="3"/>
    <n v="0.12492192379762648"/>
  </r>
  <r>
    <x v="1"/>
    <x v="3"/>
    <n v="2625961"/>
    <n v="1004171.05"/>
    <n v="976319.88500000001"/>
    <n v="959233.88249999995"/>
    <x v="3"/>
    <n v="0.38240135706508971"/>
  </r>
  <r>
    <x v="1"/>
    <x v="3"/>
    <n v="413220"/>
    <n v="31000"/>
    <n v="0"/>
    <n v="0"/>
    <x v="3"/>
    <n v="7.5020570156333191E-2"/>
  </r>
  <r>
    <x v="1"/>
    <x v="3"/>
    <n v="500"/>
    <n v="0"/>
    <n v="0"/>
    <n v="0"/>
    <x v="3"/>
    <n v="0"/>
  </r>
  <r>
    <x v="1"/>
    <x v="3"/>
    <n v="2862810"/>
    <n v="0"/>
    <n v="0"/>
    <n v="0"/>
    <x v="3"/>
    <n v="0"/>
  </r>
  <r>
    <x v="1"/>
    <x v="3"/>
    <n v="306600"/>
    <n v="0"/>
    <n v="0"/>
    <n v="0"/>
    <x v="3"/>
    <n v="0"/>
  </r>
  <r>
    <x v="1"/>
    <x v="3"/>
    <n v="2000"/>
    <n v="0"/>
    <n v="0"/>
    <n v="0"/>
    <x v="3"/>
    <n v="0"/>
  </r>
  <r>
    <x v="1"/>
    <x v="3"/>
    <n v="1571250"/>
    <n v="52414.5"/>
    <n v="42432.5"/>
    <n v="42432.5"/>
    <x v="3"/>
    <n v="3.3358472553699281E-2"/>
  </r>
  <r>
    <x v="1"/>
    <x v="3"/>
    <n v="30500"/>
    <n v="0"/>
    <n v="0"/>
    <n v="0"/>
    <x v="3"/>
    <n v="0"/>
  </r>
  <r>
    <x v="1"/>
    <x v="3"/>
    <n v="292375"/>
    <n v="0"/>
    <n v="0"/>
    <n v="0"/>
    <x v="3"/>
    <n v="0"/>
  </r>
  <r>
    <x v="1"/>
    <x v="3"/>
    <n v="3250"/>
    <n v="0"/>
    <n v="0"/>
    <n v="0"/>
    <x v="3"/>
    <n v="0"/>
  </r>
  <r>
    <x v="1"/>
    <x v="3"/>
    <n v="82969"/>
    <n v="33887.5"/>
    <n v="0"/>
    <n v="0"/>
    <x v="3"/>
    <n v="0.40843568079644205"/>
  </r>
  <r>
    <x v="1"/>
    <x v="3"/>
    <n v="664000"/>
    <n v="0"/>
    <n v="0"/>
    <n v="0"/>
    <x v="3"/>
    <n v="0"/>
  </r>
  <r>
    <x v="1"/>
    <x v="4"/>
    <n v="12561890"/>
    <n v="12573520.845000001"/>
    <n v="11605249.752499999"/>
    <n v="11605249.752499999"/>
    <x v="3"/>
    <n v="1.0009258833662769"/>
  </r>
  <r>
    <x v="1"/>
    <x v="4"/>
    <n v="0"/>
    <n v="12500"/>
    <n v="0"/>
    <n v="0"/>
    <x v="3"/>
    <n v="0"/>
  </r>
  <r>
    <x v="1"/>
    <x v="4"/>
    <n v="25165958"/>
    <n v="25390840.699999999"/>
    <n v="22838110.129999999"/>
    <n v="22838110.129999999"/>
    <x v="3"/>
    <n v="1.0089359880517961"/>
  </r>
  <r>
    <x v="1"/>
    <x v="4"/>
    <n v="1613313"/>
    <n v="1279855.4475"/>
    <n v="1116980.2649999999"/>
    <n v="1113637.81"/>
    <x v="3"/>
    <n v="0.79330882940880043"/>
  </r>
  <r>
    <x v="1"/>
    <x v="4"/>
    <n v="10338772"/>
    <n v="8912903.3975000009"/>
    <n v="8121453.085"/>
    <n v="8121453.085"/>
    <x v="3"/>
    <n v="0.86208530350606449"/>
  </r>
  <r>
    <x v="1"/>
    <x v="4"/>
    <n v="29545128"/>
    <n v="26401758.805"/>
    <n v="26001045.085000001"/>
    <n v="24203934.844999999"/>
    <x v="3"/>
    <n v="0.89360786675217652"/>
  </r>
  <r>
    <x v="1"/>
    <x v="4"/>
    <n v="116845610"/>
    <n v="27512346.747499999"/>
    <n v="22070627.147500001"/>
    <n v="20436982.600000001"/>
    <x v="3"/>
    <n v="0.23545896801343241"/>
  </r>
  <r>
    <x v="1"/>
    <x v="4"/>
    <n v="5349414"/>
    <n v="50046.375"/>
    <n v="27962.494999999999"/>
    <n v="27962.494999999999"/>
    <x v="3"/>
    <n v="9.3554873487077268E-3"/>
  </r>
  <r>
    <x v="1"/>
    <x v="4"/>
    <n v="6995229"/>
    <n v="3688722.335"/>
    <n v="2814810.2450000001"/>
    <n v="2672346.2075"/>
    <x v="3"/>
    <n v="0.5273197396396887"/>
  </r>
  <r>
    <x v="1"/>
    <x v="4"/>
    <n v="30064486"/>
    <n v="26960214.127500001"/>
    <n v="25007944.897500001"/>
    <n v="25007944.897500001"/>
    <x v="3"/>
    <n v="0.89674621836209012"/>
  </r>
  <r>
    <x v="1"/>
    <x v="4"/>
    <n v="0"/>
    <n v="170272.48499999999"/>
    <n v="170272.48499999999"/>
    <n v="170272.48499999999"/>
    <x v="3"/>
    <n v="0"/>
  </r>
  <r>
    <x v="1"/>
    <x v="4"/>
    <n v="820056"/>
    <n v="237228.6925"/>
    <n v="121041.63499999999"/>
    <n v="121041.63499999999"/>
    <x v="3"/>
    <n v="0.28928352758835985"/>
  </r>
  <r>
    <x v="1"/>
    <x v="4"/>
    <n v="999699"/>
    <n v="467006.95500000002"/>
    <n v="451839.14500000002"/>
    <n v="451839.14500000002"/>
    <x v="3"/>
    <n v="0.46714756641749167"/>
  </r>
  <r>
    <x v="1"/>
    <x v="5"/>
    <n v="0"/>
    <n v="13503089.885"/>
    <n v="11719635.914999999"/>
    <n v="11457983.547499999"/>
    <x v="3"/>
    <n v="0"/>
  </r>
  <r>
    <x v="1"/>
    <x v="5"/>
    <n v="78500"/>
    <n v="0"/>
    <n v="0"/>
    <n v="0"/>
    <x v="3"/>
    <n v="0"/>
  </r>
  <r>
    <x v="1"/>
    <x v="5"/>
    <n v="25000"/>
    <n v="0"/>
    <n v="0"/>
    <n v="0"/>
    <x v="3"/>
    <n v="0"/>
  </r>
  <r>
    <x v="1"/>
    <x v="5"/>
    <n v="12750"/>
    <n v="0"/>
    <n v="0"/>
    <n v="0"/>
    <x v="3"/>
    <n v="0"/>
  </r>
  <r>
    <x v="1"/>
    <x v="5"/>
    <n v="15039576"/>
    <n v="2933110.0704999999"/>
    <n v="2203871.0155000002"/>
    <n v="13617"/>
    <x v="3"/>
    <n v="0.19502611446625889"/>
  </r>
  <r>
    <x v="1"/>
    <x v="5"/>
    <n v="618000"/>
    <n v="683005.48250000004"/>
    <n v="240898.88"/>
    <n v="240898.88"/>
    <x v="3"/>
    <n v="1.1051868648867316"/>
  </r>
  <r>
    <x v="1"/>
    <x v="5"/>
    <n v="543500"/>
    <n v="597880.38249999995"/>
    <n v="332145.23249999998"/>
    <n v="305172.88500000001"/>
    <x v="3"/>
    <n v="1.1000559015639373"/>
  </r>
  <r>
    <x v="1"/>
    <x v="5"/>
    <n v="623750"/>
    <n v="323398.27500000002"/>
    <n v="158023.20000000001"/>
    <n v="94512.755000000005"/>
    <x v="3"/>
    <n v="0.51847418837675352"/>
  </r>
  <r>
    <x v="1"/>
    <x v="5"/>
    <n v="9000"/>
    <n v="0"/>
    <n v="0"/>
    <n v="0"/>
    <x v="3"/>
    <n v="0"/>
  </r>
  <r>
    <x v="1"/>
    <x v="5"/>
    <n v="1500000"/>
    <n v="834586.31499999994"/>
    <n v="742604.84499999997"/>
    <n v="742604.84499999997"/>
    <x v="3"/>
    <n v="0.55639087666666665"/>
  </r>
  <r>
    <x v="1"/>
    <x v="5"/>
    <n v="3348155"/>
    <n v="474076.83500000002"/>
    <n v="197220.4025"/>
    <n v="170050.4025"/>
    <x v="3"/>
    <n v="0.14159345520144678"/>
  </r>
  <r>
    <x v="1"/>
    <x v="5"/>
    <n v="4998297"/>
    <n v="2876187.3725000001"/>
    <n v="341172.40749999997"/>
    <n v="341172.40749999997"/>
    <x v="3"/>
    <n v="0.57543346713890753"/>
  </r>
  <r>
    <x v="1"/>
    <x v="5"/>
    <n v="788500"/>
    <n v="723141.02500000002"/>
    <n v="566085.88"/>
    <n v="566085.88"/>
    <x v="3"/>
    <n v="0.91710973367152826"/>
  </r>
  <r>
    <x v="1"/>
    <x v="5"/>
    <n v="296375"/>
    <n v="0"/>
    <n v="0"/>
    <n v="0"/>
    <x v="3"/>
    <n v="0"/>
  </r>
  <r>
    <x v="1"/>
    <x v="5"/>
    <n v="2000"/>
    <n v="2375.9250000000002"/>
    <n v="2375.9250000000002"/>
    <n v="2375.9250000000002"/>
    <x v="3"/>
    <n v="1.1879625"/>
  </r>
  <r>
    <x v="1"/>
    <x v="5"/>
    <n v="2000"/>
    <n v="0"/>
    <n v="0"/>
    <n v="0"/>
    <x v="3"/>
    <n v="0"/>
  </r>
  <r>
    <x v="1"/>
    <x v="5"/>
    <n v="2500"/>
    <n v="4246.4399999999996"/>
    <n v="2124.44"/>
    <n v="2124.44"/>
    <x v="3"/>
    <n v="1.6985759999999999"/>
  </r>
  <r>
    <x v="1"/>
    <x v="5"/>
    <n v="5138000"/>
    <n v="715193.02749999997"/>
    <n v="554421.11"/>
    <n v="554421.11"/>
    <x v="3"/>
    <n v="0.13919677452316076"/>
  </r>
  <r>
    <x v="1"/>
    <x v="5"/>
    <n v="10160809"/>
    <n v="1385863.4450000001"/>
    <n v="1342074.1975"/>
    <n v="1342074.1975"/>
    <x v="3"/>
    <n v="0.13639302195327163"/>
  </r>
  <r>
    <x v="1"/>
    <x v="5"/>
    <n v="125000"/>
    <n v="0"/>
    <n v="0"/>
    <n v="0"/>
    <x v="3"/>
    <n v="0"/>
  </r>
  <r>
    <x v="1"/>
    <x v="5"/>
    <n v="2091883"/>
    <n v="4265265.2324999999"/>
    <n v="4038711.8325"/>
    <n v="4038711.8325"/>
    <x v="3"/>
    <n v="2.0389597470317411"/>
  </r>
  <r>
    <x v="1"/>
    <x v="5"/>
    <n v="874999"/>
    <n v="270168.32500000001"/>
    <n v="179838.9075"/>
    <n v="179838.9075"/>
    <x v="3"/>
    <n v="0.3087641528733176"/>
  </r>
  <r>
    <x v="1"/>
    <x v="5"/>
    <n v="30556500"/>
    <n v="27805188.817499999"/>
    <n v="27695854.760000002"/>
    <n v="24699160.739999998"/>
    <x v="3"/>
    <n v="0.90995987163124048"/>
  </r>
  <r>
    <x v="1"/>
    <x v="5"/>
    <n v="3123810"/>
    <n v="61253.5625"/>
    <n v="7048.4125000000004"/>
    <n v="7048.4125000000004"/>
    <x v="3"/>
    <n v="1.9608606957529428E-2"/>
  </r>
  <r>
    <x v="1"/>
    <x v="5"/>
    <n v="8750"/>
    <n v="1335.8975"/>
    <n v="1335.8975"/>
    <n v="1335.8975"/>
    <x v="3"/>
    <n v="0.152674"/>
  </r>
  <r>
    <x v="1"/>
    <x v="5"/>
    <n v="90322"/>
    <n v="247947.1825"/>
    <n v="189768.29749999999"/>
    <n v="173148.51749999999"/>
    <x v="3"/>
    <n v="2.7451471679103649"/>
  </r>
  <r>
    <x v="1"/>
    <x v="5"/>
    <n v="12500"/>
    <n v="0"/>
    <n v="0"/>
    <n v="0"/>
    <x v="3"/>
    <n v="0"/>
  </r>
  <r>
    <x v="1"/>
    <x v="5"/>
    <n v="56356694"/>
    <n v="38428018.734999999"/>
    <n v="31553155.387499999"/>
    <n v="28912932.574999999"/>
    <x v="3"/>
    <n v="0.68187141593153067"/>
  </r>
  <r>
    <x v="1"/>
    <x v="5"/>
    <n v="180026949"/>
    <n v="168638285.80250001"/>
    <n v="168443606.58500001"/>
    <n v="156129928.46000001"/>
    <x v="3"/>
    <n v="0.93673912011084526"/>
  </r>
  <r>
    <x v="1"/>
    <x v="5"/>
    <n v="7788999"/>
    <n v="769563.10750000004"/>
    <n v="626007.4375"/>
    <n v="587653.02"/>
    <x v="3"/>
    <n v="9.8801284670854375E-2"/>
  </r>
  <r>
    <x v="1"/>
    <x v="5"/>
    <n v="11492525"/>
    <n v="12309977.18"/>
    <n v="10245751.51"/>
    <n v="9938483.9149999991"/>
    <x v="3"/>
    <n v="1.0711290321317553"/>
  </r>
  <r>
    <x v="1"/>
    <x v="5"/>
    <n v="53113855"/>
    <n v="57469249.965000004"/>
    <n v="52056533.18"/>
    <n v="50740754.462499999"/>
    <x v="3"/>
    <n v="1.0820011080912881"/>
  </r>
  <r>
    <x v="1"/>
    <x v="5"/>
    <n v="1751565"/>
    <n v="1293941.925"/>
    <n v="1007967.94"/>
    <n v="948613.09"/>
    <x v="3"/>
    <n v="0.73873474578448417"/>
  </r>
  <r>
    <x v="1"/>
    <x v="5"/>
    <n v="323663"/>
    <n v="256816.91750000001"/>
    <n v="241670.58249999999"/>
    <n v="230185.36749999999"/>
    <x v="3"/>
    <n v="0.79347011397657441"/>
  </r>
  <r>
    <x v="1"/>
    <x v="5"/>
    <n v="1024880"/>
    <n v="946955.1"/>
    <n v="790315.71499999997"/>
    <n v="745465.07499999995"/>
    <x v="3"/>
    <n v="0.9239668058699555"/>
  </r>
  <r>
    <x v="1"/>
    <x v="5"/>
    <n v="10884972"/>
    <n v="5436417.0374999996"/>
    <n v="4579664.6224999996"/>
    <n v="4415125.0975000001"/>
    <x v="3"/>
    <n v="0.49944244574078828"/>
  </r>
  <r>
    <x v="1"/>
    <x v="5"/>
    <n v="2525000"/>
    <n v="1894070.2175"/>
    <n v="1481338.92"/>
    <n v="1449555.7275"/>
    <x v="3"/>
    <n v="0.75012681881188115"/>
  </r>
  <r>
    <x v="1"/>
    <x v="5"/>
    <n v="2744614"/>
    <n v="1816920.8"/>
    <n v="1396149.0625"/>
    <n v="1332432.19"/>
    <x v="3"/>
    <n v="0.6619950200647523"/>
  </r>
  <r>
    <x v="1"/>
    <x v="5"/>
    <n v="28750"/>
    <n v="0"/>
    <n v="0"/>
    <n v="0"/>
    <x v="3"/>
    <n v="0"/>
  </r>
  <r>
    <x v="1"/>
    <x v="5"/>
    <n v="50000"/>
    <n v="0"/>
    <n v="0"/>
    <n v="0"/>
    <x v="3"/>
    <n v="0"/>
  </r>
  <r>
    <x v="1"/>
    <x v="5"/>
    <n v="4059402"/>
    <n v="2354476.71"/>
    <n v="2140366.2999999998"/>
    <n v="2033231.51"/>
    <x v="3"/>
    <n v="0.58000580134709501"/>
  </r>
  <r>
    <x v="1"/>
    <x v="5"/>
    <n v="98850000"/>
    <n v="91183092.482500002"/>
    <n v="78769527.232500002"/>
    <n v="76532797.372500002"/>
    <x v="3"/>
    <n v="0.92243897301466871"/>
  </r>
  <r>
    <x v="1"/>
    <x v="5"/>
    <n v="127500"/>
    <n v="0"/>
    <n v="0"/>
    <n v="0"/>
    <x v="3"/>
    <n v="0"/>
  </r>
  <r>
    <x v="1"/>
    <x v="5"/>
    <n v="6200405"/>
    <n v="5666371.2000000002"/>
    <n v="4717934.3925000001"/>
    <n v="3519836.9325000001"/>
    <x v="3"/>
    <n v="0.91387114228828603"/>
  </r>
  <r>
    <x v="1"/>
    <x v="5"/>
    <n v="29746893"/>
    <n v="20921224.210000001"/>
    <n v="16865622.125"/>
    <n v="15399407.84"/>
    <x v="3"/>
    <n v="0.70330787857407495"/>
  </r>
  <r>
    <x v="1"/>
    <x v="5"/>
    <n v="3207760"/>
    <n v="2921972.9824999999"/>
    <n v="2496263.2225000001"/>
    <n v="2496263.2225000001"/>
    <x v="3"/>
    <n v="0.91090760608649024"/>
  </r>
  <r>
    <x v="1"/>
    <x v="5"/>
    <n v="852500"/>
    <n v="58800"/>
    <n v="58800"/>
    <n v="58800"/>
    <x v="3"/>
    <n v="6.8973607038123164E-2"/>
  </r>
  <r>
    <x v="1"/>
    <x v="5"/>
    <n v="4790075"/>
    <n v="3804279.3174999999"/>
    <n v="3164953.0449999999"/>
    <n v="3164953.0449999999"/>
    <x v="3"/>
    <n v="0.79420036586065978"/>
  </r>
  <r>
    <x v="1"/>
    <x v="5"/>
    <n v="275331843"/>
    <n v="258034857.56999999"/>
    <n v="218833717.93000001"/>
    <n v="217039145.23500001"/>
    <x v="3"/>
    <n v="0.93717767897264248"/>
  </r>
  <r>
    <x v="1"/>
    <x v="5"/>
    <n v="8050500"/>
    <n v="5429207.6524999999"/>
    <n v="2952510.2825000002"/>
    <n v="2937920.3450000002"/>
    <x v="3"/>
    <n v="0.67439384541332836"/>
  </r>
  <r>
    <x v="1"/>
    <x v="5"/>
    <n v="79888120"/>
    <n v="76425723.382499993"/>
    <n v="68505083.877499998"/>
    <n v="68505083.877499998"/>
    <x v="3"/>
    <n v="0.95665943049479685"/>
  </r>
  <r>
    <x v="1"/>
    <x v="5"/>
    <n v="28340000"/>
    <n v="26359553.809999999"/>
    <n v="24119177.8125"/>
    <n v="24119177.8125"/>
    <x v="3"/>
    <n v="0.93011834191954834"/>
  </r>
  <r>
    <x v="1"/>
    <x v="5"/>
    <n v="7735684"/>
    <n v="4735478.3574999999"/>
    <n v="4239629.2525000004"/>
    <n v="4186698.8275000001"/>
    <x v="3"/>
    <n v="0.61216026372070009"/>
  </r>
  <r>
    <x v="1"/>
    <x v="5"/>
    <n v="158476"/>
    <n v="55980.894999999997"/>
    <n v="37962.665000000001"/>
    <n v="30453.58"/>
    <x v="3"/>
    <n v="0.35324525480198893"/>
  </r>
  <r>
    <x v="1"/>
    <x v="5"/>
    <n v="983180"/>
    <n v="552123.20499999996"/>
    <n v="458233.20500000002"/>
    <n v="396335.14250000002"/>
    <x v="3"/>
    <n v="0.56156879208283317"/>
  </r>
  <r>
    <x v="1"/>
    <x v="5"/>
    <n v="5367776"/>
    <n v="4025077.4725000001"/>
    <n v="3270272.15"/>
    <n v="3083947.4925000002"/>
    <x v="3"/>
    <n v="0.74985943386981879"/>
  </r>
  <r>
    <x v="1"/>
    <x v="5"/>
    <n v="27011773"/>
    <n v="25106293.489999998"/>
    <n v="24955279.827500001"/>
    <n v="23212892.050000001"/>
    <x v="3"/>
    <n v="0.92945744398192587"/>
  </r>
  <r>
    <x v="1"/>
    <x v="5"/>
    <n v="3038763"/>
    <n v="1761438.8925000001"/>
    <n v="1583137.075"/>
    <n v="1525708.9650000001"/>
    <x v="3"/>
    <n v="0.57965655515089531"/>
  </r>
  <r>
    <x v="1"/>
    <x v="5"/>
    <n v="1040611"/>
    <n v="532078.625"/>
    <n v="489705.09749999997"/>
    <n v="449393.04"/>
    <x v="3"/>
    <n v="0.5113136657213887"/>
  </r>
  <r>
    <x v="0"/>
    <x v="0"/>
    <n v="2000000"/>
    <n v="1242979.1499999999"/>
    <n v="393648.3"/>
    <n v="393648.3"/>
    <x v="4"/>
    <n v="0.62148957499999991"/>
  </r>
  <r>
    <x v="0"/>
    <x v="0"/>
    <n v="2500"/>
    <n v="0"/>
    <n v="0"/>
    <n v="0"/>
    <x v="4"/>
    <n v="0"/>
  </r>
  <r>
    <x v="0"/>
    <x v="0"/>
    <n v="10000"/>
    <n v="0"/>
    <n v="0"/>
    <n v="0"/>
    <x v="4"/>
    <n v="0"/>
  </r>
  <r>
    <x v="0"/>
    <x v="0"/>
    <n v="2500"/>
    <n v="0"/>
    <n v="0"/>
    <n v="0"/>
    <x v="4"/>
    <n v="0"/>
  </r>
  <r>
    <x v="0"/>
    <x v="0"/>
    <n v="17500"/>
    <n v="4715"/>
    <n v="4163.7875000000004"/>
    <n v="4081.5374999999999"/>
    <x v="4"/>
    <n v="0.26942857142857141"/>
  </r>
  <r>
    <x v="0"/>
    <x v="0"/>
    <n v="743225"/>
    <n v="578545.35499999998"/>
    <n v="578545.35499999998"/>
    <n v="532290.75749999995"/>
    <x v="4"/>
    <n v="0.77842558444616361"/>
  </r>
  <r>
    <x v="0"/>
    <x v="0"/>
    <n v="13000"/>
    <n v="0"/>
    <n v="0"/>
    <n v="0"/>
    <x v="4"/>
    <n v="0"/>
  </r>
  <r>
    <x v="0"/>
    <x v="0"/>
    <n v="100000"/>
    <n v="100000"/>
    <n v="65121.442499999997"/>
    <n v="65121.442499999997"/>
    <x v="4"/>
    <n v="1"/>
  </r>
  <r>
    <x v="0"/>
    <x v="0"/>
    <n v="7226341"/>
    <n v="6717921.1299999999"/>
    <n v="5930222.8975"/>
    <n v="5789352.2450000001"/>
    <x v="4"/>
    <n v="0.92964352637109149"/>
  </r>
  <r>
    <x v="0"/>
    <x v="0"/>
    <n v="102308"/>
    <n v="17081.535"/>
    <n v="4795.0450000000001"/>
    <n v="4795.0450000000001"/>
    <x v="4"/>
    <n v="0.16696187003948859"/>
  </r>
  <r>
    <x v="0"/>
    <x v="0"/>
    <n v="23050"/>
    <n v="3359.4"/>
    <n v="3359.4"/>
    <n v="3359.4"/>
    <x v="4"/>
    <n v="0.14574403470715835"/>
  </r>
  <r>
    <x v="0"/>
    <x v="0"/>
    <n v="175375"/>
    <n v="7741.4949999999999"/>
    <n v="4987.5"/>
    <n v="4987.5"/>
    <x v="4"/>
    <n v="4.4142523164647181E-2"/>
  </r>
  <r>
    <x v="0"/>
    <x v="0"/>
    <n v="1011000"/>
    <n v="1273291.8400000001"/>
    <n v="1206956.2324999999"/>
    <n v="1123247.8875"/>
    <x v="4"/>
    <n v="1.2594380217606331"/>
  </r>
  <r>
    <x v="0"/>
    <x v="0"/>
    <n v="206375"/>
    <n v="146972.22500000001"/>
    <n v="138861.91750000001"/>
    <n v="118551.15"/>
    <x v="4"/>
    <n v="0.71216099333737137"/>
  </r>
  <r>
    <x v="0"/>
    <x v="0"/>
    <n v="83202"/>
    <n v="97738.692500000005"/>
    <n v="95938.692500000005"/>
    <n v="93973.3"/>
    <x v="4"/>
    <n v="1.1747156618831278"/>
  </r>
  <r>
    <x v="0"/>
    <x v="0"/>
    <n v="51250"/>
    <n v="0"/>
    <n v="0"/>
    <n v="0"/>
    <x v="4"/>
    <n v="0"/>
  </r>
  <r>
    <x v="0"/>
    <x v="0"/>
    <n v="116250"/>
    <n v="11250"/>
    <n v="11250"/>
    <n v="11250"/>
    <x v="4"/>
    <n v="9.6774193548387094E-2"/>
  </r>
  <r>
    <x v="0"/>
    <x v="0"/>
    <n v="518495"/>
    <n v="387441.40749999997"/>
    <n v="387441.40749999997"/>
    <n v="356684.85249999998"/>
    <x v="4"/>
    <n v="0.74724232152672632"/>
  </r>
  <r>
    <x v="0"/>
    <x v="0"/>
    <n v="37500"/>
    <n v="39932.137499999997"/>
    <n v="39932.137499999997"/>
    <n v="39932.137499999997"/>
    <x v="4"/>
    <n v="1.0648569999999999"/>
  </r>
  <r>
    <x v="0"/>
    <x v="0"/>
    <n v="1313429"/>
    <n v="1122652.1675"/>
    <n v="1097276.6325000001"/>
    <n v="1014009.2825"/>
    <x v="4"/>
    <n v="0.85474903287501647"/>
  </r>
  <r>
    <x v="0"/>
    <x v="0"/>
    <n v="1045"/>
    <n v="0"/>
    <n v="0"/>
    <n v="0"/>
    <x v="4"/>
    <n v="0"/>
  </r>
  <r>
    <x v="0"/>
    <x v="0"/>
    <n v="20000"/>
    <n v="0"/>
    <n v="0"/>
    <n v="0"/>
    <x v="4"/>
    <n v="0"/>
  </r>
  <r>
    <x v="0"/>
    <x v="0"/>
    <n v="25500"/>
    <n v="0"/>
    <n v="0"/>
    <n v="0"/>
    <x v="4"/>
    <n v="0"/>
  </r>
  <r>
    <x v="0"/>
    <x v="0"/>
    <n v="4795304"/>
    <n v="1554.9124999999999"/>
    <n v="1477.165"/>
    <n v="1477.165"/>
    <x v="4"/>
    <n v="3.2425733592698187E-4"/>
  </r>
  <r>
    <x v="0"/>
    <x v="0"/>
    <n v="2957911"/>
    <n v="2498313.3525"/>
    <n v="2498313.3525"/>
    <n v="2498313.3525"/>
    <x v="4"/>
    <n v="0.84462086671978975"/>
  </r>
  <r>
    <x v="0"/>
    <x v="0"/>
    <n v="25000"/>
    <n v="0"/>
    <n v="0"/>
    <n v="0"/>
    <x v="4"/>
    <n v="0"/>
  </r>
  <r>
    <x v="0"/>
    <x v="0"/>
    <n v="2315340"/>
    <n v="2556105.3849999998"/>
    <n v="2308553.15"/>
    <n v="2164284.44"/>
    <x v="4"/>
    <n v="1.103987053737248"/>
  </r>
  <r>
    <x v="0"/>
    <x v="0"/>
    <n v="2500"/>
    <n v="0"/>
    <n v="0"/>
    <n v="0"/>
    <x v="4"/>
    <n v="0"/>
  </r>
  <r>
    <x v="0"/>
    <x v="0"/>
    <n v="80000"/>
    <n v="122130.72500000001"/>
    <n v="16333.4125"/>
    <n v="16333.4125"/>
    <x v="4"/>
    <n v="1.5266340625000001"/>
  </r>
  <r>
    <x v="0"/>
    <x v="0"/>
    <n v="34000"/>
    <n v="14940"/>
    <n v="0"/>
    <n v="0"/>
    <x v="4"/>
    <n v="0.43941176470588234"/>
  </r>
  <r>
    <x v="0"/>
    <x v="0"/>
    <n v="250000"/>
    <n v="562499.29249999998"/>
    <n v="562499.29249999998"/>
    <n v="562499.29249999998"/>
    <x v="4"/>
    <n v="2.2499971699999999"/>
  </r>
  <r>
    <x v="0"/>
    <x v="0"/>
    <n v="425000"/>
    <n v="613093.98499999999"/>
    <n v="151710.3475"/>
    <n v="75369.16"/>
    <x v="4"/>
    <n v="1.4425740823529412"/>
  </r>
  <r>
    <x v="0"/>
    <x v="0"/>
    <n v="113000"/>
    <n v="150274.13750000001"/>
    <n v="150274.13750000001"/>
    <n v="149403.11249999999"/>
    <x v="4"/>
    <n v="1.3298596238938054"/>
  </r>
  <r>
    <x v="0"/>
    <x v="0"/>
    <n v="40000"/>
    <n v="44636.614999999998"/>
    <n v="0"/>
    <n v="0"/>
    <x v="4"/>
    <n v="1.1159153749999999"/>
  </r>
  <r>
    <x v="0"/>
    <x v="0"/>
    <n v="15000"/>
    <n v="0"/>
    <n v="0"/>
    <n v="0"/>
    <x v="4"/>
    <n v="0"/>
  </r>
  <r>
    <x v="0"/>
    <x v="0"/>
    <n v="17950"/>
    <n v="52457.05"/>
    <n v="34461.364999999998"/>
    <n v="29734.197499999998"/>
    <x v="4"/>
    <n v="2.9223983286908082"/>
  </r>
  <r>
    <x v="0"/>
    <x v="0"/>
    <n v="136648"/>
    <n v="17550"/>
    <n v="17550"/>
    <n v="1371.595"/>
    <x v="4"/>
    <n v="0.12843217610210175"/>
  </r>
  <r>
    <x v="0"/>
    <x v="0"/>
    <n v="1780261"/>
    <n v="771900.65749999997"/>
    <n v="468828.7475"/>
    <n v="465075.065"/>
    <x v="4"/>
    <n v="0.43358847803777084"/>
  </r>
  <r>
    <x v="0"/>
    <x v="0"/>
    <n v="85000"/>
    <n v="100353"/>
    <n v="100353"/>
    <n v="100353"/>
    <x v="4"/>
    <n v="1.1806235294117646"/>
  </r>
  <r>
    <x v="0"/>
    <x v="0"/>
    <n v="20349"/>
    <n v="3608.8325"/>
    <n v="3608.8325"/>
    <n v="487.15249999999997"/>
    <x v="4"/>
    <n v="0.17734692122463019"/>
  </r>
  <r>
    <x v="0"/>
    <x v="1"/>
    <n v="87500"/>
    <n v="91997.537500000006"/>
    <n v="91985.037500000006"/>
    <n v="87012.537500000006"/>
    <x v="4"/>
    <n v="1.0514004285714287"/>
  </r>
  <r>
    <x v="0"/>
    <x v="1"/>
    <n v="3092874"/>
    <n v="624470.00749999995"/>
    <n v="402091.99249999999"/>
    <n v="385864.85"/>
    <x v="4"/>
    <n v="0.20190606132031241"/>
  </r>
  <r>
    <x v="0"/>
    <x v="1"/>
    <n v="127500"/>
    <n v="0"/>
    <n v="0"/>
    <n v="0"/>
    <x v="4"/>
    <n v="0"/>
  </r>
  <r>
    <x v="0"/>
    <x v="1"/>
    <n v="62500"/>
    <n v="50220.75"/>
    <n v="50220.75"/>
    <n v="50220.75"/>
    <x v="4"/>
    <n v="0.80353200000000002"/>
  </r>
  <r>
    <x v="0"/>
    <x v="1"/>
    <n v="3935233"/>
    <n v="3597709.8774999999"/>
    <n v="3547574.4024999999"/>
    <n v="3278531.9175"/>
    <x v="4"/>
    <n v="0.91423046043271139"/>
  </r>
  <r>
    <x v="0"/>
    <x v="1"/>
    <n v="0"/>
    <n v="239321.45"/>
    <n v="239321.45"/>
    <n v="239321.45"/>
    <x v="4"/>
    <n v="0"/>
  </r>
  <r>
    <x v="0"/>
    <x v="1"/>
    <n v="2489056"/>
    <n v="171372.68"/>
    <n v="0"/>
    <n v="0"/>
    <x v="4"/>
    <n v="6.8850471825463139E-2"/>
  </r>
  <r>
    <x v="0"/>
    <x v="1"/>
    <n v="60000"/>
    <n v="68598.45"/>
    <n v="63768.45"/>
    <n v="63768.45"/>
    <x v="4"/>
    <n v="1.1433074999999999"/>
  </r>
  <r>
    <x v="0"/>
    <x v="1"/>
    <n v="1209295"/>
    <n v="1032999.07"/>
    <n v="923678.64"/>
    <n v="922137.89"/>
    <x v="4"/>
    <n v="0.85421594400042999"/>
  </r>
  <r>
    <x v="0"/>
    <x v="1"/>
    <n v="1542751"/>
    <n v="57935.582499999997"/>
    <n v="6913.0825000000004"/>
    <n v="6913.0825000000004"/>
    <x v="4"/>
    <n v="3.7553424045746846E-2"/>
  </r>
  <r>
    <x v="0"/>
    <x v="1"/>
    <n v="54000"/>
    <n v="5754"/>
    <n v="5754"/>
    <n v="5754"/>
    <x v="4"/>
    <n v="0.10655555555555556"/>
  </r>
  <r>
    <x v="0"/>
    <x v="1"/>
    <n v="287024"/>
    <n v="20007.044999999998"/>
    <n v="14117.094999999999"/>
    <n v="14117.094999999999"/>
    <x v="4"/>
    <n v="6.9705129187803111E-2"/>
  </r>
  <r>
    <x v="0"/>
    <x v="1"/>
    <n v="275823"/>
    <n v="12905.445"/>
    <n v="12905.445"/>
    <n v="12320.422500000001"/>
    <x v="4"/>
    <n v="4.6788864597948683E-2"/>
  </r>
  <r>
    <x v="0"/>
    <x v="1"/>
    <n v="7750"/>
    <n v="0"/>
    <n v="0"/>
    <n v="0"/>
    <x v="4"/>
    <n v="0"/>
  </r>
  <r>
    <x v="0"/>
    <x v="1"/>
    <n v="7750"/>
    <n v="0"/>
    <n v="0"/>
    <n v="0"/>
    <x v="4"/>
    <n v="0"/>
  </r>
  <r>
    <x v="0"/>
    <x v="1"/>
    <n v="22500"/>
    <n v="0"/>
    <n v="0"/>
    <n v="0"/>
    <x v="4"/>
    <n v="0"/>
  </r>
  <r>
    <x v="0"/>
    <x v="1"/>
    <n v="542975"/>
    <n v="219955"/>
    <n v="219955"/>
    <n v="219955"/>
    <x v="4"/>
    <n v="0.40509231548413832"/>
  </r>
  <r>
    <x v="0"/>
    <x v="1"/>
    <n v="37500"/>
    <n v="12618.5"/>
    <n v="12618.5"/>
    <n v="12618.5"/>
    <x v="4"/>
    <n v="0.33649333333333331"/>
  </r>
  <r>
    <x v="0"/>
    <x v="1"/>
    <n v="67500"/>
    <n v="0"/>
    <n v="0"/>
    <n v="0"/>
    <x v="4"/>
    <n v="0"/>
  </r>
  <r>
    <x v="0"/>
    <x v="1"/>
    <n v="11000"/>
    <n v="8942.9"/>
    <n v="5794.9"/>
    <n v="5794.9"/>
    <x v="4"/>
    <n v="0.8129909090909091"/>
  </r>
  <r>
    <x v="0"/>
    <x v="1"/>
    <n v="4750"/>
    <n v="5452.625"/>
    <n v="377.99"/>
    <n v="377.99"/>
    <x v="4"/>
    <n v="1.1479210526315788"/>
  </r>
  <r>
    <x v="0"/>
    <x v="1"/>
    <n v="110092"/>
    <n v="60152.282500000001"/>
    <n v="55831.592499999999"/>
    <n v="53959.33"/>
    <x v="4"/>
    <n v="0.54638195781709842"/>
  </r>
  <r>
    <x v="0"/>
    <x v="1"/>
    <n v="27500"/>
    <n v="48258.68"/>
    <n v="45942.68"/>
    <n v="44440.68"/>
    <x v="4"/>
    <n v="1.7548610909090909"/>
  </r>
  <r>
    <x v="0"/>
    <x v="1"/>
    <n v="6250"/>
    <n v="4850"/>
    <n v="4850"/>
    <n v="4850"/>
    <x v="4"/>
    <n v="0.77600000000000002"/>
  </r>
  <r>
    <x v="0"/>
    <x v="1"/>
    <n v="1350000"/>
    <n v="0"/>
    <n v="0"/>
    <n v="0"/>
    <x v="4"/>
    <n v="0"/>
  </r>
  <r>
    <x v="0"/>
    <x v="2"/>
    <n v="330250"/>
    <n v="8960.3150000000005"/>
    <n v="7199.5574999999999"/>
    <n v="7110.0574999999999"/>
    <x v="4"/>
    <n v="2.713191521574565E-2"/>
  </r>
  <r>
    <x v="0"/>
    <x v="2"/>
    <n v="173910"/>
    <n v="120641.4"/>
    <n v="120641.4"/>
    <n v="120641.4"/>
    <x v="4"/>
    <n v="0.6937001897533206"/>
  </r>
  <r>
    <x v="0"/>
    <x v="2"/>
    <n v="30250"/>
    <n v="17572.575000000001"/>
    <n v="8382.35"/>
    <n v="8382.35"/>
    <x v="4"/>
    <n v="0.58091157024793394"/>
  </r>
  <r>
    <x v="0"/>
    <x v="2"/>
    <n v="25000"/>
    <n v="0"/>
    <n v="0"/>
    <n v="0"/>
    <x v="4"/>
    <n v="0"/>
  </r>
  <r>
    <x v="0"/>
    <x v="2"/>
    <n v="8643678"/>
    <n v="16531775.859999999"/>
    <n v="16100946.91"/>
    <n v="15810987.23"/>
    <x v="4"/>
    <n v="1.9125858066438846"/>
  </r>
  <r>
    <x v="0"/>
    <x v="2"/>
    <n v="8293608"/>
    <n v="9272922.9900000002"/>
    <n v="8955923.0899999999"/>
    <n v="8376808.3300000001"/>
    <x v="4"/>
    <n v="1.1180806941924433"/>
  </r>
  <r>
    <x v="0"/>
    <x v="2"/>
    <n v="11563016"/>
    <n v="4901950.03"/>
    <n v="4536091.8899999997"/>
    <n v="3768423.02"/>
    <x v="4"/>
    <n v="0.42393351613454483"/>
  </r>
  <r>
    <x v="0"/>
    <x v="2"/>
    <n v="306010"/>
    <n v="275283.69750000001"/>
    <n v="270525.7475"/>
    <n v="251454.3175"/>
    <x v="4"/>
    <n v="0.89959052808731743"/>
  </r>
  <r>
    <x v="0"/>
    <x v="2"/>
    <n v="10349284"/>
    <n v="10578267.74"/>
    <n v="10135500.42"/>
    <n v="9206506.3900000006"/>
    <x v="4"/>
    <n v="1.0221255634689317"/>
  </r>
  <r>
    <x v="0"/>
    <x v="2"/>
    <n v="167360"/>
    <n v="218193.58"/>
    <n v="87188.67"/>
    <n v="86419.68"/>
    <x v="4"/>
    <n v="1.3037379302103249"/>
  </r>
  <r>
    <x v="0"/>
    <x v="2"/>
    <n v="1060000"/>
    <n v="978337.63"/>
    <n v="948979.63"/>
    <n v="885315.27"/>
    <x v="4"/>
    <n v="0.92296002830188684"/>
  </r>
  <r>
    <x v="0"/>
    <x v="2"/>
    <n v="750"/>
    <n v="0"/>
    <n v="0"/>
    <n v="0"/>
    <x v="4"/>
    <n v="0"/>
  </r>
  <r>
    <x v="0"/>
    <x v="2"/>
    <n v="55250"/>
    <n v="69931.157500000001"/>
    <n v="54241.908499999998"/>
    <n v="54241.908499999998"/>
    <x v="4"/>
    <n v="1.2657223076923076"/>
  </r>
  <r>
    <x v="0"/>
    <x v="2"/>
    <n v="1250"/>
    <n v="0"/>
    <n v="0"/>
    <n v="0"/>
    <x v="4"/>
    <n v="0"/>
  </r>
  <r>
    <x v="0"/>
    <x v="2"/>
    <n v="10420"/>
    <n v="10688.365"/>
    <n v="9298.31"/>
    <n v="9298.31"/>
    <x v="4"/>
    <n v="1.0257547984644912"/>
  </r>
  <r>
    <x v="0"/>
    <x v="2"/>
    <n v="6000"/>
    <n v="0"/>
    <n v="0"/>
    <n v="0"/>
    <x v="4"/>
    <n v="0"/>
  </r>
  <r>
    <x v="0"/>
    <x v="2"/>
    <n v="92337394"/>
    <n v="85129562.810000002"/>
    <n v="78296875.150000006"/>
    <n v="73620672.519999996"/>
    <x v="4"/>
    <n v="0.92194027925457811"/>
  </r>
  <r>
    <x v="0"/>
    <x v="2"/>
    <n v="61400"/>
    <n v="0"/>
    <n v="0"/>
    <n v="0"/>
    <x v="4"/>
    <n v="0"/>
  </r>
  <r>
    <x v="0"/>
    <x v="2"/>
    <n v="1282638"/>
    <n v="805950"/>
    <n v="671625"/>
    <n v="671625"/>
    <x v="4"/>
    <n v="0.6283534403315667"/>
  </r>
  <r>
    <x v="0"/>
    <x v="2"/>
    <n v="5000"/>
    <n v="0"/>
    <n v="0"/>
    <n v="0"/>
    <x v="4"/>
    <n v="0"/>
  </r>
  <r>
    <x v="0"/>
    <x v="2"/>
    <n v="24000"/>
    <n v="0"/>
    <n v="0"/>
    <n v="0"/>
    <x v="4"/>
    <n v="0"/>
  </r>
  <r>
    <x v="0"/>
    <x v="2"/>
    <n v="240000"/>
    <n v="18000"/>
    <n v="18000"/>
    <n v="18000"/>
    <x v="4"/>
    <n v="7.4999999999999997E-2"/>
  </r>
  <r>
    <x v="0"/>
    <x v="2"/>
    <n v="405500"/>
    <n v="0"/>
    <n v="0"/>
    <n v="0"/>
    <x v="4"/>
    <n v="0"/>
  </r>
  <r>
    <x v="0"/>
    <x v="2"/>
    <n v="360687"/>
    <n v="16413.66"/>
    <n v="16413.66"/>
    <n v="16413.66"/>
    <x v="4"/>
    <n v="4.5506658127406868E-2"/>
  </r>
  <r>
    <x v="0"/>
    <x v="2"/>
    <n v="4656000"/>
    <n v="0"/>
    <n v="0"/>
    <n v="0"/>
    <x v="4"/>
    <n v="0"/>
  </r>
  <r>
    <x v="0"/>
    <x v="2"/>
    <n v="331950"/>
    <n v="276031.96999999997"/>
    <n v="0"/>
    <n v="0"/>
    <x v="4"/>
    <n v="0.83154682934176827"/>
  </r>
  <r>
    <x v="0"/>
    <x v="2"/>
    <n v="2000"/>
    <n v="0"/>
    <n v="0"/>
    <n v="0"/>
    <x v="4"/>
    <n v="0"/>
  </r>
  <r>
    <x v="0"/>
    <x v="2"/>
    <n v="10000"/>
    <n v="0"/>
    <n v="0"/>
    <n v="0"/>
    <x v="4"/>
    <n v="0"/>
  </r>
  <r>
    <x v="0"/>
    <x v="2"/>
    <n v="10000"/>
    <n v="0"/>
    <n v="0"/>
    <n v="0"/>
    <x v="4"/>
    <n v="0"/>
  </r>
  <r>
    <x v="0"/>
    <x v="2"/>
    <n v="5000"/>
    <n v="0"/>
    <n v="0"/>
    <n v="0"/>
    <x v="4"/>
    <n v="0"/>
  </r>
  <r>
    <x v="0"/>
    <x v="2"/>
    <n v="5000"/>
    <n v="0"/>
    <n v="0"/>
    <n v="0"/>
    <x v="4"/>
    <n v="0"/>
  </r>
  <r>
    <x v="0"/>
    <x v="2"/>
    <n v="120000"/>
    <n v="0"/>
    <n v="0"/>
    <n v="0"/>
    <x v="4"/>
    <n v="0"/>
  </r>
  <r>
    <x v="0"/>
    <x v="2"/>
    <n v="17082300"/>
    <n v="18034646.52"/>
    <n v="17959323.829999998"/>
    <n v="16633107.869999999"/>
    <x v="4"/>
    <n v="1.0557504855903479"/>
  </r>
  <r>
    <x v="0"/>
    <x v="2"/>
    <n v="28211"/>
    <n v="0"/>
    <n v="0"/>
    <n v="0"/>
    <x v="4"/>
    <n v="0"/>
  </r>
  <r>
    <x v="0"/>
    <x v="2"/>
    <n v="1000000"/>
    <n v="0"/>
    <n v="0"/>
    <n v="0"/>
    <x v="4"/>
    <n v="0"/>
  </r>
  <r>
    <x v="0"/>
    <x v="2"/>
    <n v="60000"/>
    <n v="0"/>
    <n v="0"/>
    <n v="0"/>
    <x v="4"/>
    <n v="0"/>
  </r>
  <r>
    <x v="0"/>
    <x v="2"/>
    <n v="6953398"/>
    <n v="220630.37"/>
    <n v="214186.03"/>
    <n v="214186.03"/>
    <x v="4"/>
    <n v="3.1729863586120052E-2"/>
  </r>
  <r>
    <x v="0"/>
    <x v="2"/>
    <n v="950000"/>
    <n v="0"/>
    <n v="0"/>
    <n v="0"/>
    <x v="4"/>
    <n v="0"/>
  </r>
  <r>
    <x v="0"/>
    <x v="2"/>
    <n v="1413000"/>
    <n v="1938370.5600000001"/>
    <n v="1938370.5600000001"/>
    <n v="1938370.5600000001"/>
    <x v="4"/>
    <n v="1.371812144373673"/>
  </r>
  <r>
    <x v="0"/>
    <x v="2"/>
    <n v="200000"/>
    <n v="0"/>
    <n v="0"/>
    <n v="0"/>
    <x v="4"/>
    <n v="0"/>
  </r>
  <r>
    <x v="0"/>
    <x v="2"/>
    <n v="47109916"/>
    <n v="43211179.82"/>
    <n v="43211179.82"/>
    <n v="43211179.82"/>
    <x v="4"/>
    <n v="0.91724170809389682"/>
  </r>
  <r>
    <x v="0"/>
    <x v="2"/>
    <n v="6321259"/>
    <n v="15969340.07"/>
    <n v="6563545.9100000001"/>
    <n v="6563545.9100000001"/>
    <x v="4"/>
    <n v="2.5262910553103426"/>
  </r>
  <r>
    <x v="0"/>
    <x v="2"/>
    <n v="73691546"/>
    <n v="107071029.36"/>
    <n v="107039056.47"/>
    <n v="107039056.47"/>
    <x v="4"/>
    <n v="1.4529621804921828"/>
  </r>
  <r>
    <x v="0"/>
    <x v="2"/>
    <n v="6346830"/>
    <n v="3405151.5"/>
    <n v="3405151.5"/>
    <n v="3405151.5"/>
    <x v="4"/>
    <n v="0.53651216434030846"/>
  </r>
  <r>
    <x v="0"/>
    <x v="2"/>
    <n v="1047427625"/>
    <n v="981019732.48000002"/>
    <n v="926550447.74000001"/>
    <n v="849623066.83000004"/>
    <x v="4"/>
    <n v="0.93659906332907727"/>
  </r>
  <r>
    <x v="0"/>
    <x v="2"/>
    <n v="10000"/>
    <n v="0"/>
    <n v="0"/>
    <n v="0"/>
    <x v="4"/>
    <n v="0"/>
  </r>
  <r>
    <x v="0"/>
    <x v="2"/>
    <n v="22307629"/>
    <n v="10740130.51"/>
    <n v="10740130.51"/>
    <n v="10740130.51"/>
    <x v="4"/>
    <n v="0.48145549264782911"/>
  </r>
  <r>
    <x v="0"/>
    <x v="2"/>
    <n v="2389598"/>
    <n v="0"/>
    <n v="0"/>
    <n v="0"/>
    <x v="4"/>
    <n v="0"/>
  </r>
  <r>
    <x v="0"/>
    <x v="2"/>
    <n v="350000"/>
    <n v="340000"/>
    <n v="340000"/>
    <n v="340000"/>
    <x v="4"/>
    <n v="0.97142857142857142"/>
  </r>
  <r>
    <x v="0"/>
    <x v="2"/>
    <n v="5615308"/>
    <n v="5876500"/>
    <n v="5876500"/>
    <n v="5342900"/>
    <x v="4"/>
    <n v="1.0465142784687858"/>
  </r>
  <r>
    <x v="0"/>
    <x v="2"/>
    <n v="35000"/>
    <n v="0"/>
    <n v="0"/>
    <n v="0"/>
    <x v="4"/>
    <n v="0"/>
  </r>
  <r>
    <x v="0"/>
    <x v="2"/>
    <n v="1430228"/>
    <n v="1212872.05"/>
    <n v="1212872.05"/>
    <n v="1212872.05"/>
    <x v="4"/>
    <n v="0.84802706281795637"/>
  </r>
  <r>
    <x v="0"/>
    <x v="2"/>
    <n v="3920970"/>
    <n v="1835846.84"/>
    <n v="1835846.84"/>
    <n v="1835846.84"/>
    <x v="4"/>
    <n v="0.46821241682542841"/>
  </r>
  <r>
    <x v="0"/>
    <x v="2"/>
    <n v="425000"/>
    <n v="0"/>
    <n v="0"/>
    <n v="0"/>
    <x v="4"/>
    <n v="0"/>
  </r>
  <r>
    <x v="0"/>
    <x v="2"/>
    <n v="186000"/>
    <n v="0"/>
    <n v="0"/>
    <n v="0"/>
    <x v="4"/>
    <n v="0"/>
  </r>
  <r>
    <x v="0"/>
    <x v="2"/>
    <n v="563650"/>
    <n v="0"/>
    <n v="0"/>
    <n v="0"/>
    <x v="4"/>
    <n v="0"/>
  </r>
  <r>
    <x v="0"/>
    <x v="2"/>
    <n v="35000"/>
    <n v="0"/>
    <n v="0"/>
    <n v="0"/>
    <x v="4"/>
    <n v="0"/>
  </r>
  <r>
    <x v="0"/>
    <x v="2"/>
    <n v="4068000"/>
    <n v="102252.95"/>
    <n v="101075.25"/>
    <n v="78699.09"/>
    <x v="4"/>
    <n v="2.5135926745329398E-2"/>
  </r>
  <r>
    <x v="0"/>
    <x v="2"/>
    <n v="10341827"/>
    <n v="35948.910000000003"/>
    <n v="34711.910000000003"/>
    <n v="34711.910000000003"/>
    <x v="4"/>
    <n v="3.4760695571488484E-3"/>
  </r>
  <r>
    <x v="0"/>
    <x v="2"/>
    <n v="590363"/>
    <n v="0"/>
    <n v="0"/>
    <n v="0"/>
    <x v="4"/>
    <n v="0"/>
  </r>
  <r>
    <x v="0"/>
    <x v="2"/>
    <n v="850000"/>
    <n v="965917.11"/>
    <n v="910125.36"/>
    <n v="910125.36"/>
    <x v="4"/>
    <n v="1.1363730705882353"/>
  </r>
  <r>
    <x v="0"/>
    <x v="2"/>
    <n v="12936916"/>
    <n v="12150072.33"/>
    <n v="12150072.33"/>
    <n v="12150072.33"/>
    <x v="4"/>
    <n v="0.93917842011187214"/>
  </r>
  <r>
    <x v="0"/>
    <x v="2"/>
    <n v="1859000"/>
    <n v="5378955.71"/>
    <n v="3854322.13"/>
    <n v="3854322.13"/>
    <x v="4"/>
    <n v="2.8934672996234534"/>
  </r>
  <r>
    <x v="0"/>
    <x v="2"/>
    <n v="13587547"/>
    <n v="2683136.89"/>
    <n v="2683136.89"/>
    <n v="2683136.89"/>
    <x v="4"/>
    <n v="0.19747029320303364"/>
  </r>
  <r>
    <x v="0"/>
    <x v="2"/>
    <n v="1254600"/>
    <n v="2540444.9700000002"/>
    <n v="2540444.9700000002"/>
    <n v="2540444.9700000002"/>
    <x v="4"/>
    <n v="2.0249043280726928"/>
  </r>
  <r>
    <x v="0"/>
    <x v="2"/>
    <n v="355982638"/>
    <n v="485565288.31999999"/>
    <n v="458657057.95999998"/>
    <n v="425130966.32999998"/>
    <x v="4"/>
    <n v="1.3640139616022509"/>
  </r>
  <r>
    <x v="0"/>
    <x v="2"/>
    <n v="8000"/>
    <n v="0"/>
    <n v="0"/>
    <n v="0"/>
    <x v="4"/>
    <n v="0"/>
  </r>
  <r>
    <x v="0"/>
    <x v="2"/>
    <n v="165631175"/>
    <n v="184374986.74000001"/>
    <n v="182927939.69"/>
    <n v="182927939.69"/>
    <x v="4"/>
    <n v="1.1131659649217607"/>
  </r>
  <r>
    <x v="0"/>
    <x v="2"/>
    <n v="42207"/>
    <n v="48890"/>
    <n v="48890"/>
    <n v="48890"/>
    <x v="4"/>
    <n v="1.1583386642026203"/>
  </r>
  <r>
    <x v="0"/>
    <x v="2"/>
    <n v="13000"/>
    <n v="0"/>
    <n v="0"/>
    <n v="0"/>
    <x v="4"/>
    <n v="0"/>
  </r>
  <r>
    <x v="0"/>
    <x v="2"/>
    <n v="22697"/>
    <n v="52442.014999999999"/>
    <n v="52442.014999999999"/>
    <n v="52442.014999999999"/>
    <x v="4"/>
    <n v="2.3105262810063003"/>
  </r>
  <r>
    <x v="0"/>
    <x v="2"/>
    <n v="8662"/>
    <n v="3927"/>
    <n v="3927"/>
    <n v="3927"/>
    <x v="4"/>
    <n v="0.45335950126991459"/>
  </r>
  <r>
    <x v="0"/>
    <x v="2"/>
    <n v="6268628"/>
    <n v="5564988.5274999999"/>
    <n v="5510378.9550000001"/>
    <n v="4998872.8949999996"/>
    <x v="4"/>
    <n v="0.88775223661381719"/>
  </r>
  <r>
    <x v="0"/>
    <x v="2"/>
    <n v="254140"/>
    <n v="189410"/>
    <n v="189410"/>
    <n v="189410"/>
    <x v="4"/>
    <n v="0.74529786731722669"/>
  </r>
  <r>
    <x v="0"/>
    <x v="2"/>
    <n v="156000"/>
    <n v="36593.300000000003"/>
    <n v="0"/>
    <n v="0"/>
    <x v="4"/>
    <n v="0.23457243589743593"/>
  </r>
  <r>
    <x v="0"/>
    <x v="2"/>
    <n v="651576"/>
    <n v="805535.14"/>
    <n v="805535.14"/>
    <n v="805535.14"/>
    <x v="4"/>
    <n v="1.2362873095387183"/>
  </r>
  <r>
    <x v="0"/>
    <x v="2"/>
    <n v="39124"/>
    <n v="6281.99"/>
    <n v="6281.99"/>
    <n v="6281.99"/>
    <x v="4"/>
    <n v="0.16056614865555668"/>
  </r>
  <r>
    <x v="0"/>
    <x v="2"/>
    <n v="12790349"/>
    <n v="0"/>
    <n v="0"/>
    <n v="0"/>
    <x v="4"/>
    <n v="0"/>
  </r>
  <r>
    <x v="0"/>
    <x v="2"/>
    <n v="8848045"/>
    <n v="4263260.12"/>
    <n v="3770905.77"/>
    <n v="3770905.77"/>
    <x v="4"/>
    <n v="0.48183074566189482"/>
  </r>
  <r>
    <x v="0"/>
    <x v="2"/>
    <n v="14895340"/>
    <n v="6828166.6900000004"/>
    <n v="6231164.6500000004"/>
    <n v="6061840.9199999999"/>
    <x v="4"/>
    <n v="0.45840958917352675"/>
  </r>
  <r>
    <x v="0"/>
    <x v="2"/>
    <n v="120000"/>
    <n v="347000"/>
    <n v="306000"/>
    <n v="306000"/>
    <x v="4"/>
    <n v="2.8916666666666666"/>
  </r>
  <r>
    <x v="0"/>
    <x v="2"/>
    <n v="1000000"/>
    <n v="0"/>
    <n v="0"/>
    <n v="0"/>
    <x v="4"/>
    <n v="0"/>
  </r>
  <r>
    <x v="0"/>
    <x v="2"/>
    <n v="14840"/>
    <n v="1429.9949999999999"/>
    <n v="520"/>
    <n v="520"/>
    <x v="4"/>
    <n v="9.6360849056603762E-2"/>
  </r>
  <r>
    <x v="0"/>
    <x v="2"/>
    <n v="42885"/>
    <n v="0"/>
    <n v="0"/>
    <n v="0"/>
    <x v="4"/>
    <n v="0"/>
  </r>
  <r>
    <x v="0"/>
    <x v="2"/>
    <n v="20048"/>
    <n v="0"/>
    <n v="0"/>
    <n v="0"/>
    <x v="4"/>
    <n v="0"/>
  </r>
  <r>
    <x v="0"/>
    <x v="2"/>
    <n v="2826"/>
    <n v="0"/>
    <n v="0"/>
    <n v="0"/>
    <x v="4"/>
    <n v="0"/>
  </r>
  <r>
    <x v="0"/>
    <x v="2"/>
    <n v="1060"/>
    <n v="0"/>
    <n v="0"/>
    <n v="0"/>
    <x v="4"/>
    <n v="0"/>
  </r>
  <r>
    <x v="0"/>
    <x v="2"/>
    <n v="2500"/>
    <n v="0"/>
    <n v="0"/>
    <n v="0"/>
    <x v="4"/>
    <n v="0"/>
  </r>
  <r>
    <x v="0"/>
    <x v="2"/>
    <n v="125"/>
    <n v="0"/>
    <n v="0"/>
    <n v="0"/>
    <x v="4"/>
    <n v="0"/>
  </r>
  <r>
    <x v="0"/>
    <x v="2"/>
    <n v="182000"/>
    <n v="11710"/>
    <n v="11710"/>
    <n v="11710"/>
    <x v="4"/>
    <n v="6.4340659340659342E-2"/>
  </r>
  <r>
    <x v="0"/>
    <x v="2"/>
    <n v="850000"/>
    <n v="672282"/>
    <n v="615175.6"/>
    <n v="615175.6"/>
    <x v="4"/>
    <n v="0.79091999999999996"/>
  </r>
  <r>
    <x v="2"/>
    <x v="6"/>
    <n v="810"/>
    <n v="0"/>
    <n v="0"/>
    <n v="0"/>
    <x v="4"/>
    <n v="0"/>
  </r>
  <r>
    <x v="2"/>
    <x v="6"/>
    <n v="419542"/>
    <n v="312876.91249999998"/>
    <n v="312876.91249999998"/>
    <n v="288023.59000000003"/>
    <x v="4"/>
    <n v="0.74575826138980117"/>
  </r>
  <r>
    <x v="2"/>
    <x v="6"/>
    <n v="750"/>
    <n v="0"/>
    <n v="0"/>
    <n v="0"/>
    <x v="4"/>
    <n v="0"/>
  </r>
  <r>
    <x v="2"/>
    <x v="6"/>
    <n v="375"/>
    <n v="0"/>
    <n v="0"/>
    <n v="0"/>
    <x v="4"/>
    <n v="0"/>
  </r>
  <r>
    <x v="2"/>
    <x v="6"/>
    <n v="514"/>
    <n v="0"/>
    <n v="0"/>
    <n v="0"/>
    <x v="4"/>
    <n v="0"/>
  </r>
  <r>
    <x v="2"/>
    <x v="6"/>
    <n v="80595"/>
    <n v="13067.01"/>
    <n v="12692.385"/>
    <n v="12692.385"/>
    <x v="4"/>
    <n v="0.16213176996091569"/>
  </r>
  <r>
    <x v="2"/>
    <x v="6"/>
    <n v="9201256"/>
    <n v="10463943.7425"/>
    <n v="10095168.595000001"/>
    <n v="9403207.1850000005"/>
    <x v="4"/>
    <n v="1.1372299327939577"/>
  </r>
  <r>
    <x v="2"/>
    <x v="6"/>
    <n v="265145"/>
    <n v="257422.59"/>
    <n v="257422.59"/>
    <n v="257422.59"/>
    <x v="4"/>
    <n v="0.97087476663712302"/>
  </r>
  <r>
    <x v="2"/>
    <x v="6"/>
    <n v="480825"/>
    <n v="511994.11499999999"/>
    <n v="511994.11499999999"/>
    <n v="511994.11499999999"/>
    <x v="4"/>
    <n v="1.0648242395882077"/>
  </r>
  <r>
    <x v="2"/>
    <x v="6"/>
    <n v="4003732"/>
    <n v="3669995.23"/>
    <n v="3669995.23"/>
    <n v="3669995.23"/>
    <x v="4"/>
    <n v="0.916643579040755"/>
  </r>
  <r>
    <x v="2"/>
    <x v="6"/>
    <n v="26575330"/>
    <n v="25357187.379999999"/>
    <n v="25327236.120000001"/>
    <n v="25265085.539999999"/>
    <x v="4"/>
    <n v="0.95416265310722381"/>
  </r>
  <r>
    <x v="2"/>
    <x v="6"/>
    <n v="742000"/>
    <n v="566358.38"/>
    <n v="563655.6"/>
    <n v="514527.28"/>
    <x v="4"/>
    <n v="0.76328622641509436"/>
  </r>
  <r>
    <x v="2"/>
    <x v="6"/>
    <n v="258100"/>
    <n v="100231.47"/>
    <n v="96101.17"/>
    <n v="96101.17"/>
    <x v="4"/>
    <n v="0.38834354901201085"/>
  </r>
  <r>
    <x v="2"/>
    <x v="6"/>
    <n v="1000"/>
    <n v="0"/>
    <n v="0"/>
    <n v="0"/>
    <x v="4"/>
    <n v="0"/>
  </r>
  <r>
    <x v="2"/>
    <x v="6"/>
    <n v="764396"/>
    <n v="786057.31"/>
    <n v="781169.51"/>
    <n v="781169.51"/>
    <x v="4"/>
    <n v="1.0283378118148185"/>
  </r>
  <r>
    <x v="2"/>
    <x v="6"/>
    <n v="792641"/>
    <n v="642832.34"/>
    <n v="586539.35"/>
    <n v="583626.85"/>
    <x v="4"/>
    <n v="0.81100061692493819"/>
  </r>
  <r>
    <x v="2"/>
    <x v="6"/>
    <n v="5331413"/>
    <n v="3101890.26"/>
    <n v="2841084.74"/>
    <n v="2596969.15"/>
    <x v="4"/>
    <n v="0.58181391312209352"/>
  </r>
  <r>
    <x v="2"/>
    <x v="6"/>
    <n v="533825"/>
    <n v="0"/>
    <n v="0"/>
    <n v="0"/>
    <x v="4"/>
    <n v="0"/>
  </r>
  <r>
    <x v="2"/>
    <x v="6"/>
    <n v="960884"/>
    <n v="331737"/>
    <n v="331737"/>
    <n v="262521"/>
    <x v="4"/>
    <n v="0.34524146515084025"/>
  </r>
  <r>
    <x v="2"/>
    <x v="6"/>
    <n v="854120"/>
    <n v="197596.7"/>
    <n v="56620.7"/>
    <n v="4320"/>
    <x v="4"/>
    <n v="0.23134536130754463"/>
  </r>
  <r>
    <x v="2"/>
    <x v="6"/>
    <n v="2135297"/>
    <n v="450398.64"/>
    <n v="450398.64"/>
    <n v="450398.64"/>
    <x v="4"/>
    <n v="0.21093020783525665"/>
  </r>
  <r>
    <x v="2"/>
    <x v="6"/>
    <n v="5800"/>
    <n v="0"/>
    <n v="0"/>
    <n v="0"/>
    <x v="4"/>
    <n v="0"/>
  </r>
  <r>
    <x v="2"/>
    <x v="6"/>
    <n v="925865"/>
    <n v="44818.63"/>
    <n v="25965.29"/>
    <n v="20472.060000000001"/>
    <x v="4"/>
    <n v="4.8407305600708522E-2"/>
  </r>
  <r>
    <x v="2"/>
    <x v="6"/>
    <n v="672284"/>
    <n v="151733.18"/>
    <n v="136733.18"/>
    <n v="136733.18"/>
    <x v="4"/>
    <n v="0.22569803832903951"/>
  </r>
  <r>
    <x v="2"/>
    <x v="6"/>
    <n v="128119"/>
    <n v="0"/>
    <n v="0"/>
    <n v="0"/>
    <x v="4"/>
    <n v="0"/>
  </r>
  <r>
    <x v="2"/>
    <x v="6"/>
    <n v="565854"/>
    <n v="10015"/>
    <n v="10015"/>
    <n v="10015"/>
    <x v="4"/>
    <n v="1.7698911733415333E-2"/>
  </r>
  <r>
    <x v="2"/>
    <x v="6"/>
    <n v="85412"/>
    <n v="0"/>
    <n v="0"/>
    <n v="0"/>
    <x v="4"/>
    <n v="0"/>
  </r>
  <r>
    <x v="2"/>
    <x v="6"/>
    <n v="1537515"/>
    <n v="467016.65749999997"/>
    <n v="285151.7525"/>
    <n v="247834.77499999999"/>
    <x v="4"/>
    <n v="0.30374770815244079"/>
  </r>
  <r>
    <x v="2"/>
    <x v="6"/>
    <n v="8030131"/>
    <n v="7446828.6475"/>
    <n v="7118435.2949999999"/>
    <n v="6786858.1349999998"/>
    <x v="4"/>
    <n v="0.92736079243290048"/>
  </r>
  <r>
    <x v="2"/>
    <x v="6"/>
    <n v="1409925"/>
    <n v="1506853.4550000001"/>
    <n v="1502698.7075"/>
    <n v="1418093.0024999999"/>
    <x v="4"/>
    <n v="1.0687472418745678"/>
  </r>
  <r>
    <x v="2"/>
    <x v="6"/>
    <n v="0"/>
    <n v="1476725.8"/>
    <n v="1475172.97"/>
    <n v="1475172.97"/>
    <x v="4"/>
    <n v="0"/>
  </r>
  <r>
    <x v="2"/>
    <x v="6"/>
    <n v="390000"/>
    <n v="308107.21500000003"/>
    <n v="148467.0025"/>
    <n v="138373.1225"/>
    <x v="4"/>
    <n v="0.79001850000000007"/>
  </r>
  <r>
    <x v="2"/>
    <x v="6"/>
    <n v="2625"/>
    <n v="1984.25"/>
    <n v="1575.3924999999999"/>
    <n v="1429.895"/>
    <x v="4"/>
    <n v="0.75590476190476186"/>
  </r>
  <r>
    <x v="2"/>
    <x v="6"/>
    <n v="2194667"/>
    <n v="1564511.9450000001"/>
    <n v="1261447.6950000001"/>
    <n v="1198305.5874999999"/>
    <x v="4"/>
    <n v="0.71286985451551421"/>
  </r>
  <r>
    <x v="2"/>
    <x v="6"/>
    <n v="250"/>
    <n v="1200"/>
    <n v="75"/>
    <n v="75"/>
    <x v="4"/>
    <n v="4.8"/>
  </r>
  <r>
    <x v="2"/>
    <x v="6"/>
    <n v="308731"/>
    <n v="318984.75"/>
    <n v="318984.75"/>
    <n v="318804.75"/>
    <x v="4"/>
    <n v="1.0332125701662613"/>
  </r>
  <r>
    <x v="2"/>
    <x v="6"/>
    <n v="210600"/>
    <n v="0"/>
    <n v="0"/>
    <n v="0"/>
    <x v="4"/>
    <n v="0"/>
  </r>
  <r>
    <x v="2"/>
    <x v="6"/>
    <n v="1026355"/>
    <n v="666330.62"/>
    <n v="642224.5575"/>
    <n v="642224.5575"/>
    <x v="4"/>
    <n v="0.64922041593795521"/>
  </r>
  <r>
    <x v="2"/>
    <x v="6"/>
    <n v="1111271"/>
    <n v="1075521.2849999999"/>
    <n v="1064168.625"/>
    <n v="1064168.625"/>
    <x v="4"/>
    <n v="0.96782988577943629"/>
  </r>
  <r>
    <x v="2"/>
    <x v="6"/>
    <n v="1312911"/>
    <n v="998764.24"/>
    <n v="989919.69750000001"/>
    <n v="989768.88749999995"/>
    <x v="4"/>
    <n v="0.76072501487153354"/>
  </r>
  <r>
    <x v="2"/>
    <x v="6"/>
    <n v="618543"/>
    <n v="665071.80000000005"/>
    <n v="665071.80000000005"/>
    <n v="558139.71"/>
    <x v="4"/>
    <n v="1.0752232261944603"/>
  </r>
  <r>
    <x v="2"/>
    <x v="6"/>
    <n v="500"/>
    <n v="0"/>
    <n v="0"/>
    <n v="0"/>
    <x v="4"/>
    <n v="0"/>
  </r>
  <r>
    <x v="2"/>
    <x v="6"/>
    <n v="250"/>
    <n v="21876.75"/>
    <n v="21876.75"/>
    <n v="21876.75"/>
    <x v="4"/>
    <n v="87.507000000000005"/>
  </r>
  <r>
    <x v="2"/>
    <x v="6"/>
    <n v="1000"/>
    <n v="0"/>
    <n v="0"/>
    <n v="0"/>
    <x v="4"/>
    <n v="0"/>
  </r>
  <r>
    <x v="2"/>
    <x v="6"/>
    <n v="480000"/>
    <n v="176646"/>
    <n v="176646"/>
    <n v="176646"/>
    <x v="4"/>
    <n v="0.36801250000000002"/>
  </r>
  <r>
    <x v="2"/>
    <x v="6"/>
    <n v="540000"/>
    <n v="562872"/>
    <n v="562872"/>
    <n v="561874"/>
    <x v="4"/>
    <n v="1.0423555555555555"/>
  </r>
  <r>
    <x v="2"/>
    <x v="6"/>
    <n v="7000728"/>
    <n v="5631717.8574999999"/>
    <n v="5509530.9800000004"/>
    <n v="5129405.9550000001"/>
    <x v="4"/>
    <n v="0.80444745996416367"/>
  </r>
  <r>
    <x v="2"/>
    <x v="6"/>
    <n v="297500"/>
    <n v="143431.005"/>
    <n v="143431.005"/>
    <n v="143431.005"/>
    <x v="4"/>
    <n v="0.48212102521008404"/>
  </r>
  <r>
    <x v="2"/>
    <x v="6"/>
    <n v="1078026"/>
    <n v="1125166.7075"/>
    <n v="1125166.7075"/>
    <n v="1125166.7075"/>
    <x v="4"/>
    <n v="1.0437287296410291"/>
  </r>
  <r>
    <x v="2"/>
    <x v="6"/>
    <n v="785280"/>
    <n v="935280"/>
    <n v="935280"/>
    <n v="857340"/>
    <x v="4"/>
    <n v="1.1910146699266504"/>
  </r>
  <r>
    <x v="2"/>
    <x v="6"/>
    <n v="92144"/>
    <n v="52780.002500000002"/>
    <n v="42352.477500000001"/>
    <n v="41474.577499999999"/>
    <x v="4"/>
    <n v="0.57279912419690926"/>
  </r>
  <r>
    <x v="2"/>
    <x v="6"/>
    <n v="1004125"/>
    <n v="985407.19750000001"/>
    <n v="981682.09499999997"/>
    <n v="887303.27500000002"/>
    <x v="4"/>
    <n v="0.98135909124859955"/>
  </r>
  <r>
    <x v="2"/>
    <x v="6"/>
    <n v="5904494"/>
    <n v="4754592.1825000001"/>
    <n v="4748917.17"/>
    <n v="4332731.7350000003"/>
    <x v="4"/>
    <n v="0.80524972715697574"/>
  </r>
  <r>
    <x v="2"/>
    <x v="6"/>
    <n v="230625"/>
    <n v="280453.4325"/>
    <n v="239780.22500000001"/>
    <n v="228910.69500000001"/>
    <x v="4"/>
    <n v="1.216058243902439"/>
  </r>
  <r>
    <x v="2"/>
    <x v="6"/>
    <n v="1125"/>
    <n v="4889.5275000000001"/>
    <n v="4585.5550000000003"/>
    <n v="4220.4825000000001"/>
    <x v="4"/>
    <n v="4.3462466666666666"/>
  </r>
  <r>
    <x v="2"/>
    <x v="6"/>
    <n v="9575"/>
    <n v="312.5"/>
    <n v="312.5"/>
    <n v="312.5"/>
    <x v="4"/>
    <n v="3.2637075718015669E-2"/>
  </r>
  <r>
    <x v="2"/>
    <x v="6"/>
    <n v="4000"/>
    <n v="0"/>
    <n v="0"/>
    <n v="0"/>
    <x v="4"/>
    <n v="0"/>
  </r>
  <r>
    <x v="2"/>
    <x v="6"/>
    <n v="3750"/>
    <n v="0"/>
    <n v="0"/>
    <n v="0"/>
    <x v="4"/>
    <n v="0"/>
  </r>
  <r>
    <x v="2"/>
    <x v="6"/>
    <n v="40025"/>
    <n v="0"/>
    <n v="0"/>
    <n v="0"/>
    <x v="4"/>
    <n v="0"/>
  </r>
  <r>
    <x v="2"/>
    <x v="6"/>
    <n v="375"/>
    <n v="0"/>
    <n v="0"/>
    <n v="0"/>
    <x v="4"/>
    <n v="0"/>
  </r>
  <r>
    <x v="2"/>
    <x v="6"/>
    <n v="13250"/>
    <n v="37500"/>
    <n v="0"/>
    <n v="0"/>
    <x v="4"/>
    <n v="2.8301886792452828"/>
  </r>
  <r>
    <x v="2"/>
    <x v="6"/>
    <n v="100000"/>
    <n v="0"/>
    <n v="0"/>
    <n v="0"/>
    <x v="4"/>
    <n v="0"/>
  </r>
  <r>
    <x v="2"/>
    <x v="6"/>
    <n v="26451"/>
    <n v="0"/>
    <n v="0"/>
    <n v="0"/>
    <x v="4"/>
    <n v="0"/>
  </r>
  <r>
    <x v="2"/>
    <x v="6"/>
    <n v="90339"/>
    <n v="9343.3624999999993"/>
    <n v="5866.81"/>
    <n v="5624.81"/>
    <x v="4"/>
    <n v="0.10342556924473371"/>
  </r>
  <r>
    <x v="2"/>
    <x v="6"/>
    <n v="20625"/>
    <n v="0"/>
    <n v="0"/>
    <n v="0"/>
    <x v="4"/>
    <n v="0"/>
  </r>
  <r>
    <x v="2"/>
    <x v="6"/>
    <n v="1810213"/>
    <n v="6419.1149999999998"/>
    <n v="6419.1149999999998"/>
    <n v="6419.1149999999998"/>
    <x v="4"/>
    <n v="3.5460550774964049E-3"/>
  </r>
  <r>
    <x v="2"/>
    <x v="6"/>
    <n v="836396"/>
    <n v="115323.43"/>
    <n v="115323.43"/>
    <n v="115323.43"/>
    <x v="4"/>
    <n v="0.13788137437290468"/>
  </r>
  <r>
    <x v="2"/>
    <x v="6"/>
    <n v="3947"/>
    <n v="1951.5"/>
    <n v="1821.5"/>
    <n v="1666.25"/>
    <x v="4"/>
    <n v="0.49442614644033445"/>
  </r>
  <r>
    <x v="2"/>
    <x v="6"/>
    <n v="165530"/>
    <n v="318040.375"/>
    <n v="277813.55499999999"/>
    <n v="277813.55499999999"/>
    <x v="4"/>
    <n v="1.9213458285507159"/>
  </r>
  <r>
    <x v="2"/>
    <x v="6"/>
    <n v="2623500"/>
    <n v="2714765.02"/>
    <n v="2454234.9550000001"/>
    <n v="2346304.665"/>
    <x v="4"/>
    <n v="1.0347875052410902"/>
  </r>
  <r>
    <x v="2"/>
    <x v="6"/>
    <n v="7552"/>
    <n v="7507.73"/>
    <n v="2894.3975"/>
    <n v="1536.8975"/>
    <x v="4"/>
    <n v="0.99413797669491522"/>
  </r>
  <r>
    <x v="2"/>
    <x v="6"/>
    <n v="130000"/>
    <n v="93589.854999999996"/>
    <n v="83248.854999999996"/>
    <n v="77874.104999999996"/>
    <x v="4"/>
    <n v="0.71992196153846155"/>
  </r>
  <r>
    <x v="2"/>
    <x v="6"/>
    <n v="2550000"/>
    <n v="2787029.1639999999"/>
    <n v="2787029.1639999999"/>
    <n v="2787029.1639999999"/>
    <x v="4"/>
    <n v="1.0929526133333334"/>
  </r>
  <r>
    <x v="2"/>
    <x v="6"/>
    <n v="95103"/>
    <n v="41880.275000000001"/>
    <n v="34408.959999999999"/>
    <n v="32366.9725"/>
    <x v="4"/>
    <n v="0.44036754886806939"/>
  </r>
  <r>
    <x v="2"/>
    <x v="6"/>
    <n v="56739"/>
    <n v="53750"/>
    <n v="0"/>
    <n v="0"/>
    <x v="4"/>
    <n v="0.94732018541038787"/>
  </r>
  <r>
    <x v="2"/>
    <x v="6"/>
    <n v="46073"/>
    <n v="15985.315000000001"/>
    <n v="9343.9599999999991"/>
    <n v="9179.7649999999994"/>
    <x v="4"/>
    <n v="0.3469562433529399"/>
  </r>
  <r>
    <x v="2"/>
    <x v="6"/>
    <n v="51090"/>
    <n v="42589.467499999999"/>
    <n v="39909.495000000003"/>
    <n v="39909.495000000003"/>
    <x v="4"/>
    <n v="0.83361651008025051"/>
  </r>
  <r>
    <x v="2"/>
    <x v="6"/>
    <n v="230120"/>
    <n v="202491.1275"/>
    <n v="184680.935"/>
    <n v="184512.72500000001"/>
    <x v="4"/>
    <n v="0.87993710889970456"/>
  </r>
  <r>
    <x v="2"/>
    <x v="6"/>
    <n v="106842"/>
    <n v="96375.712499999994"/>
    <n v="86547.05"/>
    <n v="86269.42"/>
    <x v="4"/>
    <n v="0.9020395771325882"/>
  </r>
  <r>
    <x v="2"/>
    <x v="6"/>
    <n v="0"/>
    <n v="2422.125"/>
    <n v="2422.125"/>
    <n v="2169"/>
    <x v="4"/>
    <n v="0"/>
  </r>
  <r>
    <x v="2"/>
    <x v="6"/>
    <n v="100401"/>
    <n v="34947.6175"/>
    <n v="34947.6175"/>
    <n v="34947.6175"/>
    <x v="4"/>
    <n v="0.34808037270545117"/>
  </r>
  <r>
    <x v="2"/>
    <x v="6"/>
    <n v="2251028"/>
    <n v="2245283.5874999999"/>
    <n v="2178995.7749999999"/>
    <n v="2042648.9275"/>
    <x v="4"/>
    <n v="0.99744809371540466"/>
  </r>
  <r>
    <x v="2"/>
    <x v="6"/>
    <n v="8044820"/>
    <n v="7585237.0025000004"/>
    <n v="7352989.3600000003"/>
    <n v="6772755.7675000001"/>
    <x v="4"/>
    <n v="0.94287218390218808"/>
  </r>
  <r>
    <x v="2"/>
    <x v="7"/>
    <n v="2905"/>
    <n v="1296"/>
    <n v="1296"/>
    <n v="1080"/>
    <x v="4"/>
    <n v="0.44612736660929431"/>
  </r>
  <r>
    <x v="2"/>
    <x v="7"/>
    <n v="14875"/>
    <n v="8776.7425000000003"/>
    <n v="8007.1225000000004"/>
    <n v="7219.6225000000004"/>
    <x v="4"/>
    <n v="0.59003310924369745"/>
  </r>
  <r>
    <x v="2"/>
    <x v="7"/>
    <n v="62875"/>
    <n v="105"/>
    <n v="105"/>
    <n v="105"/>
    <x v="4"/>
    <n v="1.6699801192842942E-3"/>
  </r>
  <r>
    <x v="2"/>
    <x v="7"/>
    <n v="38500"/>
    <n v="32330.1"/>
    <n v="29549.157500000001"/>
    <n v="29549.157500000001"/>
    <x v="4"/>
    <n v="0.83974285714285712"/>
  </r>
  <r>
    <x v="2"/>
    <x v="7"/>
    <n v="4625"/>
    <n v="0"/>
    <n v="0"/>
    <n v="0"/>
    <x v="4"/>
    <n v="0"/>
  </r>
  <r>
    <x v="2"/>
    <x v="7"/>
    <n v="12500"/>
    <n v="0"/>
    <n v="0"/>
    <n v="0"/>
    <x v="4"/>
    <n v="0"/>
  </r>
  <r>
    <x v="2"/>
    <x v="7"/>
    <n v="250"/>
    <n v="0"/>
    <n v="0"/>
    <n v="0"/>
    <x v="4"/>
    <n v="0"/>
  </r>
  <r>
    <x v="2"/>
    <x v="7"/>
    <n v="1550"/>
    <n v="5662"/>
    <n v="5529.5"/>
    <n v="5320"/>
    <x v="4"/>
    <n v="3.6529032258064515"/>
  </r>
  <r>
    <x v="2"/>
    <x v="7"/>
    <n v="125"/>
    <n v="0"/>
    <n v="0"/>
    <n v="0"/>
    <x v="4"/>
    <n v="0"/>
  </r>
  <r>
    <x v="2"/>
    <x v="7"/>
    <n v="125"/>
    <n v="0"/>
    <n v="0"/>
    <n v="0"/>
    <x v="4"/>
    <n v="0"/>
  </r>
  <r>
    <x v="2"/>
    <x v="7"/>
    <n v="250"/>
    <n v="0"/>
    <n v="0"/>
    <n v="0"/>
    <x v="4"/>
    <n v="0"/>
  </r>
  <r>
    <x v="2"/>
    <x v="7"/>
    <n v="625"/>
    <n v="0"/>
    <n v="0"/>
    <n v="0"/>
    <x v="4"/>
    <n v="0"/>
  </r>
  <r>
    <x v="2"/>
    <x v="7"/>
    <n v="10750"/>
    <n v="0"/>
    <n v="0"/>
    <n v="0"/>
    <x v="4"/>
    <n v="0"/>
  </r>
  <r>
    <x v="2"/>
    <x v="7"/>
    <n v="37500"/>
    <n v="0"/>
    <n v="0"/>
    <n v="0"/>
    <x v="4"/>
    <n v="0"/>
  </r>
  <r>
    <x v="2"/>
    <x v="7"/>
    <n v="163750"/>
    <n v="164723.01999999999"/>
    <n v="164723.01999999999"/>
    <n v="150957.24249999999"/>
    <x v="4"/>
    <n v="1.005942106870229"/>
  </r>
  <r>
    <x v="2"/>
    <x v="7"/>
    <n v="328141"/>
    <n v="321949.34250000003"/>
    <n v="317719.82500000001"/>
    <n v="294587.23"/>
    <x v="4"/>
    <n v="0.98113110674984239"/>
  </r>
  <r>
    <x v="2"/>
    <x v="7"/>
    <n v="29050"/>
    <n v="0"/>
    <n v="0"/>
    <n v="0"/>
    <x v="4"/>
    <n v="0"/>
  </r>
  <r>
    <x v="2"/>
    <x v="7"/>
    <n v="154000"/>
    <n v="3836.105"/>
    <n v="810"/>
    <n v="675"/>
    <x v="4"/>
    <n v="2.4909772727272728E-2"/>
  </r>
  <r>
    <x v="2"/>
    <x v="7"/>
    <n v="953312"/>
    <n v="1056498.575"/>
    <n v="1026058.55"/>
    <n v="955583.86499999999"/>
    <x v="4"/>
    <n v="1.1082400882397367"/>
  </r>
  <r>
    <x v="2"/>
    <x v="7"/>
    <n v="25250"/>
    <n v="2576.5500000000002"/>
    <n v="2576.5500000000002"/>
    <n v="2220.5500000000002"/>
    <x v="4"/>
    <n v="0.10204158415841585"/>
  </r>
  <r>
    <x v="2"/>
    <x v="7"/>
    <n v="49000"/>
    <n v="0"/>
    <n v="0"/>
    <n v="0"/>
    <x v="4"/>
    <n v="0"/>
  </r>
  <r>
    <x v="2"/>
    <x v="7"/>
    <n v="17000"/>
    <n v="0"/>
    <n v="0"/>
    <n v="0"/>
    <x v="4"/>
    <n v="0"/>
  </r>
  <r>
    <x v="2"/>
    <x v="7"/>
    <n v="30000"/>
    <n v="0"/>
    <n v="0"/>
    <n v="0"/>
    <x v="4"/>
    <n v="0"/>
  </r>
  <r>
    <x v="2"/>
    <x v="7"/>
    <n v="125000"/>
    <n v="0"/>
    <n v="0"/>
    <n v="0"/>
    <x v="4"/>
    <n v="0"/>
  </r>
  <r>
    <x v="2"/>
    <x v="7"/>
    <n v="75000"/>
    <n v="0"/>
    <n v="0"/>
    <n v="0"/>
    <x v="4"/>
    <n v="0"/>
  </r>
  <r>
    <x v="2"/>
    <x v="7"/>
    <n v="121468"/>
    <n v="121902.8075"/>
    <n v="110291.59"/>
    <n v="110291.59"/>
    <x v="4"/>
    <n v="1.0035796053281523"/>
  </r>
  <r>
    <x v="2"/>
    <x v="7"/>
    <n v="25000"/>
    <n v="0"/>
    <n v="0"/>
    <n v="0"/>
    <x v="4"/>
    <n v="0"/>
  </r>
  <r>
    <x v="2"/>
    <x v="7"/>
    <n v="25000"/>
    <n v="0"/>
    <n v="0"/>
    <n v="0"/>
    <x v="4"/>
    <n v="0"/>
  </r>
  <r>
    <x v="1"/>
    <x v="3"/>
    <n v="407468"/>
    <n v="108000"/>
    <n v="67842.822499999995"/>
    <n v="52782.042500000003"/>
    <x v="4"/>
    <n v="0.26505148870586154"/>
  </r>
  <r>
    <x v="1"/>
    <x v="3"/>
    <n v="329516"/>
    <n v="0"/>
    <n v="0"/>
    <n v="0"/>
    <x v="4"/>
    <n v="0"/>
  </r>
  <r>
    <x v="1"/>
    <x v="3"/>
    <n v="950000"/>
    <n v="670579.43999999994"/>
    <n v="662579.43999999994"/>
    <n v="655963.10750000004"/>
    <x v="4"/>
    <n v="0.70587309473684201"/>
  </r>
  <r>
    <x v="1"/>
    <x v="3"/>
    <n v="376751"/>
    <n v="44187.5"/>
    <n v="41737.5"/>
    <n v="39662.5"/>
    <x v="4"/>
    <n v="0.11728568736380261"/>
  </r>
  <r>
    <x v="1"/>
    <x v="3"/>
    <n v="32750"/>
    <n v="0"/>
    <n v="0"/>
    <n v="0"/>
    <x v="4"/>
    <n v="0"/>
  </r>
  <r>
    <x v="1"/>
    <x v="3"/>
    <n v="222764"/>
    <n v="37500"/>
    <n v="5829.8950000000004"/>
    <n v="5829.8950000000004"/>
    <x v="4"/>
    <n v="0.16833958808425059"/>
  </r>
  <r>
    <x v="1"/>
    <x v="3"/>
    <n v="250"/>
    <n v="0"/>
    <n v="0"/>
    <n v="0"/>
    <x v="4"/>
    <n v="0"/>
  </r>
  <r>
    <x v="1"/>
    <x v="3"/>
    <n v="368089"/>
    <n v="356438.42249999999"/>
    <n v="314309.05499999999"/>
    <n v="314309.05499999999"/>
    <x v="4"/>
    <n v="0.96834847686293257"/>
  </r>
  <r>
    <x v="1"/>
    <x v="3"/>
    <n v="447102"/>
    <n v="46875"/>
    <n v="16801.827499999999"/>
    <n v="16801.827499999999"/>
    <x v="4"/>
    <n v="0.10484184816887422"/>
  </r>
  <r>
    <x v="1"/>
    <x v="3"/>
    <n v="1175500"/>
    <n v="75000"/>
    <n v="0"/>
    <n v="0"/>
    <x v="4"/>
    <n v="6.3802637175669932E-2"/>
  </r>
  <r>
    <x v="1"/>
    <x v="3"/>
    <n v="994750"/>
    <n v="516375"/>
    <n v="441125"/>
    <n v="441125"/>
    <x v="4"/>
    <n v="0.51910027645136969"/>
  </r>
  <r>
    <x v="1"/>
    <x v="3"/>
    <n v="301000"/>
    <n v="150125"/>
    <n v="136500"/>
    <n v="136500"/>
    <x v="4"/>
    <n v="0.49875415282392027"/>
  </r>
  <r>
    <x v="1"/>
    <x v="3"/>
    <n v="643250"/>
    <n v="493.48250000000002"/>
    <n v="493.48250000000002"/>
    <n v="493.48250000000002"/>
    <x v="4"/>
    <n v="7.6717061795569374E-4"/>
  </r>
  <r>
    <x v="1"/>
    <x v="3"/>
    <n v="30750"/>
    <n v="125"/>
    <n v="125"/>
    <n v="125"/>
    <x v="4"/>
    <n v="4.0650406504065045E-3"/>
  </r>
  <r>
    <x v="1"/>
    <x v="3"/>
    <n v="2210827"/>
    <n v="2247832.34"/>
    <n v="2247832.34"/>
    <n v="1935906.6025"/>
    <x v="4"/>
    <n v="1.0167382341540065"/>
  </r>
  <r>
    <x v="1"/>
    <x v="3"/>
    <n v="1504489"/>
    <n v="419835.19500000001"/>
    <n v="323751.05249999999"/>
    <n v="301734.78000000003"/>
    <x v="4"/>
    <n v="0.27905501136930877"/>
  </r>
  <r>
    <x v="1"/>
    <x v="3"/>
    <n v="550750"/>
    <n v="0"/>
    <n v="0"/>
    <n v="0"/>
    <x v="4"/>
    <n v="0"/>
  </r>
  <r>
    <x v="1"/>
    <x v="3"/>
    <n v="15500"/>
    <n v="0"/>
    <n v="0"/>
    <n v="0"/>
    <x v="4"/>
    <n v="0"/>
  </r>
  <r>
    <x v="1"/>
    <x v="3"/>
    <n v="125500"/>
    <n v="0"/>
    <n v="0"/>
    <n v="0"/>
    <x v="4"/>
    <n v="0"/>
  </r>
  <r>
    <x v="1"/>
    <x v="3"/>
    <n v="2094335"/>
    <n v="1345237.0349999999"/>
    <n v="1047520.16"/>
    <n v="852061.43"/>
    <x v="4"/>
    <n v="0.64232180381839576"/>
  </r>
  <r>
    <x v="1"/>
    <x v="3"/>
    <n v="2523687"/>
    <n v="882426.56"/>
    <n v="770775.58750000002"/>
    <n v="407478.78499999997"/>
    <x v="4"/>
    <n v="0.34965768734395353"/>
  </r>
  <r>
    <x v="1"/>
    <x v="3"/>
    <n v="747755"/>
    <n v="123897.26"/>
    <n v="123897.26"/>
    <n v="45119.144999999997"/>
    <x v="4"/>
    <n v="0.16569231900823131"/>
  </r>
  <r>
    <x v="1"/>
    <x v="3"/>
    <n v="9737323"/>
    <n v="3029642.6074999999"/>
    <n v="2072293.895"/>
    <n v="1905177.2450000001"/>
    <x v="4"/>
    <n v="0.31113711720356818"/>
  </r>
  <r>
    <x v="1"/>
    <x v="3"/>
    <n v="392743"/>
    <n v="61430.404999999999"/>
    <n v="61430.404999999999"/>
    <n v="61430.404999999999"/>
    <x v="4"/>
    <n v="0.15641374894014662"/>
  </r>
  <r>
    <x v="1"/>
    <x v="3"/>
    <n v="709461"/>
    <n v="308143.505"/>
    <n v="261930.93"/>
    <n v="247951.8"/>
    <x v="4"/>
    <n v="0.43433466392092024"/>
  </r>
  <r>
    <x v="1"/>
    <x v="3"/>
    <n v="2335675"/>
    <n v="417450.61499999999"/>
    <n v="297965.74249999999"/>
    <n v="272417.55249999999"/>
    <x v="4"/>
    <n v="0.17872804007406853"/>
  </r>
  <r>
    <x v="1"/>
    <x v="3"/>
    <n v="2080634"/>
    <n v="331639.21000000002"/>
    <n v="295167.83250000002"/>
    <n v="295167.83250000002"/>
    <x v="4"/>
    <n v="0.1593933435673934"/>
  </r>
  <r>
    <x v="1"/>
    <x v="3"/>
    <n v="259450"/>
    <n v="308508.07500000001"/>
    <n v="284873.41499999998"/>
    <n v="270435.97499999998"/>
    <x v="4"/>
    <n v="1.1890848911158221"/>
  </r>
  <r>
    <x v="1"/>
    <x v="3"/>
    <n v="922086"/>
    <n v="915468.27749999997"/>
    <n v="740980.80249999999"/>
    <n v="674485.05"/>
    <x v="4"/>
    <n v="0.99282309621879083"/>
  </r>
  <r>
    <x v="1"/>
    <x v="3"/>
    <n v="5982655"/>
    <n v="6974024.665"/>
    <n v="5724942.1174999997"/>
    <n v="5332843.4924999997"/>
    <x v="4"/>
    <n v="1.1657073097144997"/>
  </r>
  <r>
    <x v="1"/>
    <x v="3"/>
    <n v="108377"/>
    <n v="155756.41250000001"/>
    <n v="114712.91499999999"/>
    <n v="114609.28750000001"/>
    <x v="4"/>
    <n v="1.4371722090480452"/>
  </r>
  <r>
    <x v="1"/>
    <x v="3"/>
    <n v="3273507"/>
    <n v="3633375"/>
    <n v="2525953.2675000001"/>
    <n v="2306212.09"/>
    <x v="4"/>
    <n v="1.109933475016244"/>
  </r>
  <r>
    <x v="1"/>
    <x v="3"/>
    <n v="9176805"/>
    <n v="2666017.5074999998"/>
    <n v="2263927"/>
    <n v="2138386.0499999998"/>
    <x v="4"/>
    <n v="0.29051696178571951"/>
  </r>
  <r>
    <x v="1"/>
    <x v="3"/>
    <n v="5856600"/>
    <n v="1181494.2775000001"/>
    <n v="1181494.2775000001"/>
    <n v="1098692.605"/>
    <x v="4"/>
    <n v="0.20173723278011135"/>
  </r>
  <r>
    <x v="1"/>
    <x v="3"/>
    <n v="727500"/>
    <n v="0"/>
    <n v="0"/>
    <n v="0"/>
    <x v="4"/>
    <n v="0"/>
  </r>
  <r>
    <x v="1"/>
    <x v="3"/>
    <n v="2750"/>
    <n v="0"/>
    <n v="0"/>
    <n v="0"/>
    <x v="4"/>
    <n v="0"/>
  </r>
  <r>
    <x v="1"/>
    <x v="3"/>
    <n v="3452338"/>
    <n v="47625"/>
    <n v="40375"/>
    <n v="40375"/>
    <x v="4"/>
    <n v="1.3794999215024717E-2"/>
  </r>
  <r>
    <x v="1"/>
    <x v="3"/>
    <n v="15500"/>
    <n v="0"/>
    <n v="0"/>
    <n v="0"/>
    <x v="4"/>
    <n v="0"/>
  </r>
  <r>
    <x v="1"/>
    <x v="3"/>
    <n v="15500"/>
    <n v="0"/>
    <n v="0"/>
    <n v="0"/>
    <x v="4"/>
    <n v="0"/>
  </r>
  <r>
    <x v="1"/>
    <x v="3"/>
    <n v="442250"/>
    <n v="0"/>
    <n v="0"/>
    <n v="0"/>
    <x v="4"/>
    <n v="0"/>
  </r>
  <r>
    <x v="1"/>
    <x v="3"/>
    <n v="242481"/>
    <n v="0"/>
    <n v="0"/>
    <n v="0"/>
    <x v="4"/>
    <n v="0"/>
  </r>
  <r>
    <x v="1"/>
    <x v="4"/>
    <n v="10782112"/>
    <n v="12864437.5375"/>
    <n v="11189145.605"/>
    <n v="11189145.605"/>
    <x v="4"/>
    <n v="1.1931277969937615"/>
  </r>
  <r>
    <x v="1"/>
    <x v="4"/>
    <n v="0"/>
    <n v="75000"/>
    <n v="0"/>
    <n v="0"/>
    <x v="4"/>
    <n v="0"/>
  </r>
  <r>
    <x v="1"/>
    <x v="4"/>
    <n v="24597170"/>
    <n v="23454805.4175"/>
    <n v="21605801.285"/>
    <n v="21605801.285"/>
    <x v="4"/>
    <n v="0.95355707252094446"/>
  </r>
  <r>
    <x v="1"/>
    <x v="4"/>
    <n v="1702980"/>
    <n v="1332170.5549999999"/>
    <n v="1098334.2825"/>
    <n v="1070630.8725000001"/>
    <x v="4"/>
    <n v="0.7822584851260731"/>
  </r>
  <r>
    <x v="1"/>
    <x v="4"/>
    <n v="8159035"/>
    <n v="8853226.4525000006"/>
    <n v="6982873.0875000004"/>
    <n v="6982873.0875000004"/>
    <x v="4"/>
    <n v="1.0850825437689628"/>
  </r>
  <r>
    <x v="1"/>
    <x v="4"/>
    <n v="5000"/>
    <n v="0"/>
    <n v="0"/>
    <n v="0"/>
    <x v="4"/>
    <n v="0"/>
  </r>
  <r>
    <x v="1"/>
    <x v="4"/>
    <n v="28551864"/>
    <n v="27645220.704999998"/>
    <n v="26989708.010000002"/>
    <n v="25181389.182500001"/>
    <x v="4"/>
    <n v="0.96824574062835256"/>
  </r>
  <r>
    <x v="1"/>
    <x v="4"/>
    <n v="76112178"/>
    <n v="29533339.675000001"/>
    <n v="22877081.885000002"/>
    <n v="21204241.307500001"/>
    <x v="4"/>
    <n v="0.38802384127018413"/>
  </r>
  <r>
    <x v="1"/>
    <x v="4"/>
    <n v="4131529"/>
    <n v="36930.75"/>
    <n v="4387.5"/>
    <n v="0"/>
    <x v="4"/>
    <n v="8.9387609284601408E-3"/>
  </r>
  <r>
    <x v="1"/>
    <x v="4"/>
    <n v="10047100"/>
    <n v="7022437.4400000004"/>
    <n v="4726338.4175000004"/>
    <n v="4140712.4925000002"/>
    <x v="4"/>
    <n v="0.6989516815797594"/>
  </r>
  <r>
    <x v="1"/>
    <x v="4"/>
    <n v="29906491"/>
    <n v="26539708.41"/>
    <n v="23102358.467500001"/>
    <n v="23102358.467500001"/>
    <x v="4"/>
    <n v="0.88742301495685338"/>
  </r>
  <r>
    <x v="1"/>
    <x v="4"/>
    <n v="2500"/>
    <n v="44456.364999999998"/>
    <n v="31214.47"/>
    <n v="31214.47"/>
    <x v="4"/>
    <n v="17.782546"/>
  </r>
  <r>
    <x v="1"/>
    <x v="4"/>
    <n v="68616"/>
    <n v="114055"/>
    <n v="61579.177499999998"/>
    <n v="61579.177499999998"/>
    <x v="4"/>
    <n v="1.6622216392678093"/>
  </r>
  <r>
    <x v="1"/>
    <x v="4"/>
    <n v="838503"/>
    <n v="251616.0275"/>
    <n v="251616.0275"/>
    <n v="251616.0275"/>
    <x v="4"/>
    <n v="0.30007767115919681"/>
  </r>
  <r>
    <x v="1"/>
    <x v="4"/>
    <n v="543837"/>
    <n v="243552.5"/>
    <n v="152903.70749999999"/>
    <n v="152903.70749999999"/>
    <x v="4"/>
    <n v="0.44784098911990172"/>
  </r>
  <r>
    <x v="1"/>
    <x v="4"/>
    <n v="2750"/>
    <n v="0"/>
    <n v="0"/>
    <n v="0"/>
    <x v="4"/>
    <n v="0"/>
  </r>
  <r>
    <x v="1"/>
    <x v="5"/>
    <n v="0"/>
    <n v="10198516.33"/>
    <n v="8852156.9800000004"/>
    <n v="8423874.4399999995"/>
    <x v="4"/>
    <n v="0"/>
  </r>
  <r>
    <x v="1"/>
    <x v="5"/>
    <n v="89750"/>
    <n v="0"/>
    <n v="0"/>
    <n v="0"/>
    <x v="4"/>
    <n v="0"/>
  </r>
  <r>
    <x v="1"/>
    <x v="5"/>
    <n v="3352600"/>
    <n v="711238.16"/>
    <n v="711238.16"/>
    <n v="711238.16"/>
    <x v="4"/>
    <n v="0.21214524846387878"/>
  </r>
  <r>
    <x v="1"/>
    <x v="5"/>
    <n v="6484225"/>
    <n v="0"/>
    <n v="0"/>
    <n v="0"/>
    <x v="4"/>
    <n v="0"/>
  </r>
  <r>
    <x v="1"/>
    <x v="5"/>
    <n v="904727"/>
    <n v="0"/>
    <n v="0"/>
    <n v="0"/>
    <x v="4"/>
    <n v="0"/>
  </r>
  <r>
    <x v="1"/>
    <x v="5"/>
    <n v="1002319"/>
    <n v="0"/>
    <n v="0"/>
    <n v="0"/>
    <x v="4"/>
    <n v="0"/>
  </r>
  <r>
    <x v="1"/>
    <x v="5"/>
    <n v="538757"/>
    <n v="0"/>
    <n v="0"/>
    <n v="0"/>
    <x v="4"/>
    <n v="0"/>
  </r>
  <r>
    <x v="1"/>
    <x v="5"/>
    <n v="69125"/>
    <n v="0"/>
    <n v="0"/>
    <n v="0"/>
    <x v="4"/>
    <n v="0"/>
  </r>
  <r>
    <x v="1"/>
    <x v="5"/>
    <n v="1250250"/>
    <n v="633209.75"/>
    <n v="347038.80499999999"/>
    <n v="347038.80499999999"/>
    <x v="4"/>
    <n v="0.50646650669866022"/>
  </r>
  <r>
    <x v="1"/>
    <x v="5"/>
    <n v="9882500"/>
    <n v="52045.487500000003"/>
    <n v="0"/>
    <n v="0"/>
    <x v="4"/>
    <n v="5.2664292942069318E-3"/>
  </r>
  <r>
    <x v="1"/>
    <x v="5"/>
    <n v="3710000"/>
    <n v="137497.5"/>
    <n v="0"/>
    <n v="0"/>
    <x v="4"/>
    <n v="3.7061320754716978E-2"/>
  </r>
  <r>
    <x v="1"/>
    <x v="5"/>
    <n v="1250000"/>
    <n v="0"/>
    <n v="0"/>
    <n v="0"/>
    <x v="4"/>
    <n v="0"/>
  </r>
  <r>
    <x v="1"/>
    <x v="5"/>
    <n v="291675"/>
    <n v="0"/>
    <n v="0"/>
    <n v="0"/>
    <x v="4"/>
    <n v="0"/>
  </r>
  <r>
    <x v="1"/>
    <x v="5"/>
    <n v="2000"/>
    <n v="0"/>
    <n v="0"/>
    <n v="0"/>
    <x v="4"/>
    <n v="0"/>
  </r>
  <r>
    <x v="1"/>
    <x v="5"/>
    <n v="2000"/>
    <n v="0"/>
    <n v="0"/>
    <n v="0"/>
    <x v="4"/>
    <n v="0"/>
  </r>
  <r>
    <x v="1"/>
    <x v="5"/>
    <n v="2000"/>
    <n v="0"/>
    <n v="0"/>
    <n v="0"/>
    <x v="4"/>
    <n v="0"/>
  </r>
  <r>
    <x v="1"/>
    <x v="5"/>
    <n v="4199405"/>
    <n v="15000.4"/>
    <n v="0"/>
    <n v="0"/>
    <x v="4"/>
    <n v="3.5720298470854799E-3"/>
  </r>
  <r>
    <x v="1"/>
    <x v="5"/>
    <n v="4025600"/>
    <n v="2440127.71"/>
    <n v="540791.37"/>
    <n v="35096.717499999999"/>
    <x v="4"/>
    <n v="0.606152551172496"/>
  </r>
  <r>
    <x v="1"/>
    <x v="5"/>
    <n v="23350873"/>
    <n v="1888397.73"/>
    <n v="1682956.395"/>
    <n v="1590301.88"/>
    <x v="4"/>
    <n v="8.0870540900119664E-2"/>
  </r>
  <r>
    <x v="1"/>
    <x v="5"/>
    <n v="875000"/>
    <n v="2951.8"/>
    <n v="0"/>
    <n v="0"/>
    <x v="4"/>
    <n v="3.3734857142857146E-3"/>
  </r>
  <r>
    <x v="1"/>
    <x v="5"/>
    <n v="32922498"/>
    <n v="28761428.512499999"/>
    <n v="28414093.184999999"/>
    <n v="26379572.530000001"/>
    <x v="4"/>
    <n v="0.87361015292642741"/>
  </r>
  <r>
    <x v="1"/>
    <x v="5"/>
    <n v="1995368"/>
    <n v="2678089.4175"/>
    <n v="2285706.7574999998"/>
    <n v="2242793.0825"/>
    <x v="4"/>
    <n v="1.3421531354116132"/>
  </r>
  <r>
    <x v="1"/>
    <x v="5"/>
    <n v="50517"/>
    <n v="53859.677499999998"/>
    <n v="21358.605"/>
    <n v="21358.605"/>
    <x v="4"/>
    <n v="1.0661693588297008"/>
  </r>
  <r>
    <x v="1"/>
    <x v="5"/>
    <n v="455893"/>
    <n v="15773.39"/>
    <n v="14939.39"/>
    <n v="14939.39"/>
    <x v="4"/>
    <n v="3.4598886142143001E-2"/>
  </r>
  <r>
    <x v="1"/>
    <x v="5"/>
    <n v="254142"/>
    <n v="0"/>
    <n v="0"/>
    <n v="0"/>
    <x v="4"/>
    <n v="0"/>
  </r>
  <r>
    <x v="1"/>
    <x v="5"/>
    <n v="4013950"/>
    <n v="3874882.2124999999"/>
    <n v="3791301.2250000001"/>
    <n v="3525941.77"/>
    <x v="4"/>
    <n v="0.9653538814633964"/>
  </r>
  <r>
    <x v="1"/>
    <x v="5"/>
    <n v="46079838"/>
    <n v="33606435.104999997"/>
    <n v="28670188.912500001"/>
    <n v="24788944.7225"/>
    <x v="4"/>
    <n v="0.72930888135934846"/>
  </r>
  <r>
    <x v="1"/>
    <x v="5"/>
    <n v="360000"/>
    <n v="0"/>
    <n v="0"/>
    <n v="0"/>
    <x v="4"/>
    <n v="0"/>
  </r>
  <r>
    <x v="1"/>
    <x v="5"/>
    <n v="187347416"/>
    <n v="162135502.78999999"/>
    <n v="161625017.19499999"/>
    <n v="149986632.435"/>
    <x v="4"/>
    <n v="0.86542694984381308"/>
  </r>
  <r>
    <x v="1"/>
    <x v="5"/>
    <n v="200000"/>
    <n v="20539.857499999998"/>
    <n v="20539.857499999998"/>
    <n v="20539.857499999998"/>
    <x v="4"/>
    <n v="0.10269928749999999"/>
  </r>
  <r>
    <x v="1"/>
    <x v="5"/>
    <n v="7789000"/>
    <n v="1025550.0875"/>
    <n v="562358.88500000001"/>
    <n v="512121.04749999999"/>
    <x v="4"/>
    <n v="0.13166646392348183"/>
  </r>
  <r>
    <x v="1"/>
    <x v="5"/>
    <n v="17689887"/>
    <n v="16370261.535"/>
    <n v="15757402.175000001"/>
    <n v="14607640.699999999"/>
    <x v="4"/>
    <n v="0.92540226712584428"/>
  </r>
  <r>
    <x v="1"/>
    <x v="5"/>
    <n v="12023216"/>
    <n v="11122076.9275"/>
    <n v="9766647.8424999993"/>
    <n v="9123434.3399999999"/>
    <x v="4"/>
    <n v="0.92505008040278081"/>
  </r>
  <r>
    <x v="1"/>
    <x v="5"/>
    <n v="38706227"/>
    <n v="38005828.034999996"/>
    <n v="35327324.827500001"/>
    <n v="32683191.8475"/>
    <x v="4"/>
    <n v="0.98190474713538978"/>
  </r>
  <r>
    <x v="1"/>
    <x v="5"/>
    <n v="2357993"/>
    <n v="1512277.6"/>
    <n v="1059216.4950000001"/>
    <n v="1010243.7075"/>
    <x v="4"/>
    <n v="0.64134100482910683"/>
  </r>
  <r>
    <x v="1"/>
    <x v="5"/>
    <n v="577655"/>
    <n v="357512.54499999998"/>
    <n v="191731.51500000001"/>
    <n v="188509.56"/>
    <x v="4"/>
    <n v="0.6189032294362552"/>
  </r>
  <r>
    <x v="1"/>
    <x v="5"/>
    <n v="1315641"/>
    <n v="776706.75249999994"/>
    <n v="600580.505"/>
    <n v="565458.77249999996"/>
    <x v="4"/>
    <n v="0.59036374854538587"/>
  </r>
  <r>
    <x v="1"/>
    <x v="5"/>
    <n v="4763925"/>
    <n v="5933412.6100000003"/>
    <n v="4829199.1100000003"/>
    <n v="3867794.3075000001"/>
    <x v="4"/>
    <n v="1.2454882497100606"/>
  </r>
  <r>
    <x v="1"/>
    <x v="5"/>
    <n v="3957500"/>
    <n v="4957486.8975"/>
    <n v="1226109.3975"/>
    <n v="1226109.3975"/>
    <x v="4"/>
    <n v="1.2526814649399873"/>
  </r>
  <r>
    <x v="1"/>
    <x v="5"/>
    <n v="2360600"/>
    <n v="2065401.4424999999"/>
    <n v="1820008.0325"/>
    <n v="1557769.2275"/>
    <x v="4"/>
    <n v="0.87494765843429634"/>
  </r>
  <r>
    <x v="1"/>
    <x v="5"/>
    <n v="28750"/>
    <n v="280.72000000000003"/>
    <n v="0"/>
    <n v="0"/>
    <x v="4"/>
    <n v="9.7641739130434786E-3"/>
  </r>
  <r>
    <x v="1"/>
    <x v="5"/>
    <n v="500000"/>
    <n v="0"/>
    <n v="0"/>
    <n v="0"/>
    <x v="4"/>
    <n v="0"/>
  </r>
  <r>
    <x v="1"/>
    <x v="5"/>
    <n v="375000"/>
    <n v="0"/>
    <n v="0"/>
    <n v="0"/>
    <x v="4"/>
    <n v="0"/>
  </r>
  <r>
    <x v="1"/>
    <x v="5"/>
    <n v="4197525"/>
    <n v="3404415.1549999998"/>
    <n v="3145111.7075"/>
    <n v="2926663.7174999998"/>
    <x v="4"/>
    <n v="0.81105297883872041"/>
  </r>
  <r>
    <x v="1"/>
    <x v="5"/>
    <n v="88298000"/>
    <n v="109280317.14"/>
    <n v="93489058.197500005"/>
    <n v="91015072.007499993"/>
    <x v="4"/>
    <n v="1.2376307180230584"/>
  </r>
  <r>
    <x v="1"/>
    <x v="5"/>
    <n v="127500"/>
    <n v="0"/>
    <n v="0"/>
    <n v="0"/>
    <x v="4"/>
    <n v="0"/>
  </r>
  <r>
    <x v="1"/>
    <x v="5"/>
    <n v="5862825"/>
    <n v="6185716.6074999999"/>
    <n v="4635621.5650000004"/>
    <n v="3801877.8075000001"/>
    <x v="4"/>
    <n v="1.0550744065360982"/>
  </r>
  <r>
    <x v="1"/>
    <x v="5"/>
    <n v="21714300"/>
    <n v="24266635.4925"/>
    <n v="20073827.5825"/>
    <n v="16151125.4625"/>
    <x v="4"/>
    <n v="1.1175416887719152"/>
  </r>
  <r>
    <x v="1"/>
    <x v="5"/>
    <n v="3306950"/>
    <n v="2821522.6349999998"/>
    <n v="2573110.1375000002"/>
    <n v="2573110.1375000002"/>
    <x v="4"/>
    <n v="0.85320994723234389"/>
  </r>
  <r>
    <x v="1"/>
    <x v="5"/>
    <n v="852250"/>
    <n v="0"/>
    <n v="0"/>
    <n v="0"/>
    <x v="4"/>
    <n v="0"/>
  </r>
  <r>
    <x v="1"/>
    <x v="5"/>
    <n v="4814752"/>
    <n v="3853311.9775"/>
    <n v="3517432.5175000001"/>
    <n v="3234100.8675000002"/>
    <x v="4"/>
    <n v="0.80031369788101236"/>
  </r>
  <r>
    <x v="1"/>
    <x v="5"/>
    <n v="303994750"/>
    <n v="351500184.08499998"/>
    <n v="315964406.94749999"/>
    <n v="309634943.50999999"/>
    <x v="4"/>
    <n v="1.1562705740312949"/>
  </r>
  <r>
    <x v="1"/>
    <x v="5"/>
    <n v="11955000"/>
    <n v="9793324.9700000007"/>
    <n v="8369587.7800000003"/>
    <n v="7808668.8250000002"/>
    <x v="4"/>
    <n v="0.81918234797156009"/>
  </r>
  <r>
    <x v="1"/>
    <x v="5"/>
    <n v="76766250"/>
    <n v="73159324.564999998"/>
    <n v="67870718.780000001"/>
    <n v="67870718.780000001"/>
    <x v="4"/>
    <n v="0.95301417699835533"/>
  </r>
  <r>
    <x v="1"/>
    <x v="5"/>
    <n v="27028499"/>
    <n v="25279861.844999999"/>
    <n v="23126088.239999998"/>
    <n v="23126088.239999998"/>
    <x v="4"/>
    <n v="0.93530394880603618"/>
  </r>
  <r>
    <x v="1"/>
    <x v="5"/>
    <n v="7445625"/>
    <n v="7223126.6875"/>
    <n v="6007455.8324999996"/>
    <n v="5084351.33"/>
    <x v="4"/>
    <n v="0.97011690590111643"/>
  </r>
  <r>
    <x v="1"/>
    <x v="5"/>
    <n v="155250"/>
    <n v="77885.464999999997"/>
    <n v="51104.407500000001"/>
    <n v="45493.08"/>
    <x v="4"/>
    <n v="0.50167771336553946"/>
  </r>
  <r>
    <x v="1"/>
    <x v="5"/>
    <n v="855100"/>
    <n v="546080.73"/>
    <n v="508682.98499999999"/>
    <n v="494010.86"/>
    <x v="4"/>
    <n v="0.63861622032510812"/>
  </r>
  <r>
    <x v="1"/>
    <x v="5"/>
    <n v="4061175"/>
    <n v="2784662.0525000002"/>
    <n v="2644677.52"/>
    <n v="2619858.5350000001"/>
    <x v="4"/>
    <n v="0.6856789112756777"/>
  </r>
  <r>
    <x v="1"/>
    <x v="5"/>
    <n v="20233000"/>
    <n v="21373624.9025"/>
    <n v="21364007.760000002"/>
    <n v="19699935.5425"/>
    <x v="4"/>
    <n v="1.0563744824049819"/>
  </r>
  <r>
    <x v="1"/>
    <x v="5"/>
    <n v="3008450"/>
    <n v="2336537.6775000002"/>
    <n v="1997884.365"/>
    <n v="1996769.7975000001"/>
    <x v="4"/>
    <n v="0.77665830494108268"/>
  </r>
  <r>
    <x v="1"/>
    <x v="5"/>
    <n v="935000"/>
    <n v="533248.4325"/>
    <n v="522279.08500000002"/>
    <n v="495404.49"/>
    <x v="4"/>
    <n v="0.57031917914438501"/>
  </r>
  <r>
    <x v="1"/>
    <x v="5"/>
    <n v="12500"/>
    <n v="1746"/>
    <n v="1746"/>
    <n v="1746"/>
    <x v="4"/>
    <n v="0.13968"/>
  </r>
  <r>
    <x v="0"/>
    <x v="0"/>
    <n v="10000"/>
    <n v="0"/>
    <n v="0"/>
    <n v="0"/>
    <x v="5"/>
    <n v="0"/>
  </r>
  <r>
    <x v="0"/>
    <x v="0"/>
    <n v="350000"/>
    <n v="0"/>
    <n v="0"/>
    <n v="0"/>
    <x v="5"/>
    <n v="0"/>
  </r>
  <r>
    <x v="0"/>
    <x v="0"/>
    <n v="3696184"/>
    <n v="976215.9"/>
    <n v="204245.75"/>
    <n v="204245.75"/>
    <x v="5"/>
    <n v="0.26411453001257512"/>
  </r>
  <r>
    <x v="0"/>
    <x v="0"/>
    <n v="4471"/>
    <n v="3037.5"/>
    <n v="3037.5"/>
    <n v="3037.5"/>
    <x v="5"/>
    <n v="0.67937821516439278"/>
  </r>
  <r>
    <x v="0"/>
    <x v="0"/>
    <n v="25227"/>
    <n v="5486"/>
    <n v="2486.25"/>
    <n v="0"/>
    <x v="5"/>
    <n v="0.21746541404051214"/>
  </r>
  <r>
    <x v="0"/>
    <x v="0"/>
    <n v="4437"/>
    <n v="2100"/>
    <n v="1225"/>
    <n v="1225"/>
    <x v="5"/>
    <n v="0.47329276538201487"/>
  </r>
  <r>
    <x v="0"/>
    <x v="0"/>
    <n v="4568"/>
    <n v="0"/>
    <n v="0"/>
    <n v="0"/>
    <x v="5"/>
    <n v="0"/>
  </r>
  <r>
    <x v="0"/>
    <x v="0"/>
    <n v="57500"/>
    <n v="17256.692500000001"/>
    <n v="14009.42"/>
    <n v="13557.452499999999"/>
    <x v="5"/>
    <n v="0.30011639130434786"/>
  </r>
  <r>
    <x v="0"/>
    <x v="0"/>
    <n v="795044"/>
    <n v="628362.76500000001"/>
    <n v="626983.04"/>
    <n v="619387.58250000002"/>
    <x v="5"/>
    <n v="0.79034967247095755"/>
  </r>
  <r>
    <x v="0"/>
    <x v="0"/>
    <n v="38000"/>
    <n v="412.5"/>
    <n v="0"/>
    <n v="0"/>
    <x v="5"/>
    <n v="1.0855263157894738E-2"/>
  </r>
  <r>
    <x v="0"/>
    <x v="0"/>
    <n v="257500"/>
    <n v="74000"/>
    <n v="37449.6325"/>
    <n v="33641.517500000002"/>
    <x v="5"/>
    <n v="0.287378640776699"/>
  </r>
  <r>
    <x v="0"/>
    <x v="0"/>
    <n v="12500"/>
    <n v="0"/>
    <n v="0"/>
    <n v="0"/>
    <x v="5"/>
    <n v="0"/>
  </r>
  <r>
    <x v="0"/>
    <x v="0"/>
    <n v="12500"/>
    <n v="0"/>
    <n v="0"/>
    <n v="0"/>
    <x v="5"/>
    <n v="0"/>
  </r>
  <r>
    <x v="0"/>
    <x v="0"/>
    <n v="25000"/>
    <n v="0"/>
    <n v="0"/>
    <n v="0"/>
    <x v="5"/>
    <n v="0"/>
  </r>
  <r>
    <x v="0"/>
    <x v="0"/>
    <n v="6727382"/>
    <n v="6652868.0750000002"/>
    <n v="5953943.6299999999"/>
    <n v="5903818.8449999997"/>
    <x v="5"/>
    <n v="0.9889237856568871"/>
  </r>
  <r>
    <x v="0"/>
    <x v="0"/>
    <n v="174715"/>
    <n v="13615.5"/>
    <n v="0"/>
    <n v="0"/>
    <x v="5"/>
    <n v="7.792977134189967E-2"/>
  </r>
  <r>
    <x v="0"/>
    <x v="0"/>
    <n v="48000"/>
    <n v="0"/>
    <n v="0"/>
    <n v="0"/>
    <x v="5"/>
    <n v="0"/>
  </r>
  <r>
    <x v="0"/>
    <x v="0"/>
    <n v="347300"/>
    <n v="128154.94500000001"/>
    <n v="127222.9375"/>
    <n v="127222.9375"/>
    <x v="5"/>
    <n v="0.36900358479700551"/>
  </r>
  <r>
    <x v="0"/>
    <x v="0"/>
    <n v="858214"/>
    <n v="817612.30249999999"/>
    <n v="750024.55249999999"/>
    <n v="750024.55249999999"/>
    <x v="5"/>
    <n v="0.95269047405425689"/>
  </r>
  <r>
    <x v="0"/>
    <x v="0"/>
    <n v="281867"/>
    <n v="119830.83500000001"/>
    <n v="23684.317500000001"/>
    <n v="17994.837500000001"/>
    <x v="5"/>
    <n v="0.42513254478175877"/>
  </r>
  <r>
    <x v="0"/>
    <x v="0"/>
    <n v="118197"/>
    <n v="39538.4925"/>
    <n v="22800"/>
    <n v="22750"/>
    <x v="5"/>
    <n v="0.3345135028807838"/>
  </r>
  <r>
    <x v="0"/>
    <x v="0"/>
    <n v="90000"/>
    <n v="0"/>
    <n v="0"/>
    <n v="0"/>
    <x v="5"/>
    <n v="0"/>
  </r>
  <r>
    <x v="0"/>
    <x v="0"/>
    <n v="115000"/>
    <n v="0"/>
    <n v="0"/>
    <n v="0"/>
    <x v="5"/>
    <n v="0"/>
  </r>
  <r>
    <x v="0"/>
    <x v="0"/>
    <n v="408285"/>
    <n v="537847.32999999996"/>
    <n v="536710.6825"/>
    <n v="531754.59750000003"/>
    <x v="5"/>
    <n v="1.3173330639136875"/>
  </r>
  <r>
    <x v="0"/>
    <x v="0"/>
    <n v="1429538"/>
    <n v="978705.46750000003"/>
    <n v="977978.32"/>
    <n v="964006.31499999994"/>
    <x v="5"/>
    <n v="0.68463060618185734"/>
  </r>
  <r>
    <x v="0"/>
    <x v="0"/>
    <n v="1295"/>
    <n v="0"/>
    <n v="0"/>
    <n v="0"/>
    <x v="5"/>
    <n v="0"/>
  </r>
  <r>
    <x v="0"/>
    <x v="0"/>
    <n v="20250"/>
    <n v="24797.0625"/>
    <n v="0"/>
    <n v="0"/>
    <x v="5"/>
    <n v="1.2245462962962963"/>
  </r>
  <r>
    <x v="0"/>
    <x v="0"/>
    <n v="109865"/>
    <n v="12723.205"/>
    <n v="12099.372499999999"/>
    <n v="12099.372499999999"/>
    <x v="5"/>
    <n v="0.11580762754289355"/>
  </r>
  <r>
    <x v="0"/>
    <x v="0"/>
    <n v="2877500"/>
    <n v="1828683.2150000001"/>
    <n v="1828683.2150000001"/>
    <n v="1828683.2150000001"/>
    <x v="5"/>
    <n v="0.6355111086012164"/>
  </r>
  <r>
    <x v="0"/>
    <x v="0"/>
    <n v="66000"/>
    <n v="0"/>
    <n v="0"/>
    <n v="0"/>
    <x v="5"/>
    <n v="0"/>
  </r>
  <r>
    <x v="0"/>
    <x v="0"/>
    <n v="2304712"/>
    <n v="1483925.1775"/>
    <n v="1318716.8225"/>
    <n v="1300919.0725"/>
    <x v="5"/>
    <n v="0.64386577476925533"/>
  </r>
  <r>
    <x v="0"/>
    <x v="0"/>
    <n v="35750"/>
    <n v="0"/>
    <n v="0"/>
    <n v="0"/>
    <x v="5"/>
    <n v="0"/>
  </r>
  <r>
    <x v="0"/>
    <x v="0"/>
    <n v="58000"/>
    <n v="74999.740000000005"/>
    <n v="21195.915000000001"/>
    <n v="595"/>
    <x v="5"/>
    <n v="1.2930989655172416"/>
  </r>
  <r>
    <x v="0"/>
    <x v="0"/>
    <n v="12500"/>
    <n v="50207.75"/>
    <n v="50195.75"/>
    <n v="50195.75"/>
    <x v="5"/>
    <n v="4.0166199999999996"/>
  </r>
  <r>
    <x v="0"/>
    <x v="0"/>
    <n v="200000"/>
    <n v="750"/>
    <n v="750"/>
    <n v="750"/>
    <x v="5"/>
    <n v="3.7499999999999999E-3"/>
  </r>
  <r>
    <x v="0"/>
    <x v="0"/>
    <n v="1250"/>
    <n v="0"/>
    <n v="0"/>
    <n v="0"/>
    <x v="5"/>
    <n v="0"/>
  </r>
  <r>
    <x v="0"/>
    <x v="0"/>
    <n v="35660"/>
    <n v="15915.73"/>
    <n v="9363.0949999999993"/>
    <n v="9363.0949999999993"/>
    <x v="5"/>
    <n v="0.44631884464385863"/>
  </r>
  <r>
    <x v="0"/>
    <x v="0"/>
    <n v="63750"/>
    <n v="0"/>
    <n v="0"/>
    <n v="0"/>
    <x v="5"/>
    <n v="0"/>
  </r>
  <r>
    <x v="0"/>
    <x v="0"/>
    <n v="563840"/>
    <n v="814623.05249999999"/>
    <n v="65922.824999999997"/>
    <n v="65922.824999999997"/>
    <x v="5"/>
    <n v="1.4447769801716799"/>
  </r>
  <r>
    <x v="0"/>
    <x v="0"/>
    <n v="0"/>
    <n v="86546.012499999997"/>
    <n v="86546.012499999997"/>
    <n v="86546.012499999997"/>
    <x v="5"/>
    <n v="0"/>
  </r>
  <r>
    <x v="0"/>
    <x v="0"/>
    <n v="17175"/>
    <n v="11211.29"/>
    <n v="7850.04"/>
    <n v="6100.04"/>
    <x v="5"/>
    <n v="0.65276797671033482"/>
  </r>
  <r>
    <x v="0"/>
    <x v="0"/>
    <n v="2750"/>
    <n v="0"/>
    <n v="0"/>
    <n v="0"/>
    <x v="5"/>
    <n v="0"/>
  </r>
  <r>
    <x v="0"/>
    <x v="1"/>
    <n v="117410"/>
    <n v="107356.23"/>
    <n v="102041.72"/>
    <n v="95549.8"/>
    <x v="5"/>
    <n v="0.91437041137892849"/>
  </r>
  <r>
    <x v="0"/>
    <x v="1"/>
    <n v="4697417"/>
    <n v="288502.39"/>
    <n v="106121.2075"/>
    <n v="46553.995000000003"/>
    <x v="5"/>
    <n v="6.1417240581366314E-2"/>
  </r>
  <r>
    <x v="0"/>
    <x v="1"/>
    <n v="120750"/>
    <n v="0"/>
    <n v="0"/>
    <n v="0"/>
    <x v="5"/>
    <n v="0"/>
  </r>
  <r>
    <x v="0"/>
    <x v="1"/>
    <n v="2500"/>
    <n v="149625"/>
    <n v="149625"/>
    <n v="149625"/>
    <x v="5"/>
    <n v="59.85"/>
  </r>
  <r>
    <x v="0"/>
    <x v="1"/>
    <n v="1321753"/>
    <n v="1424676.13"/>
    <n v="1369086.9325000001"/>
    <n v="1353040.4750000001"/>
    <x v="5"/>
    <n v="1.0778686562466662"/>
  </r>
  <r>
    <x v="0"/>
    <x v="1"/>
    <n v="2500"/>
    <n v="0"/>
    <n v="0"/>
    <n v="0"/>
    <x v="5"/>
    <n v="0"/>
  </r>
  <r>
    <x v="0"/>
    <x v="1"/>
    <n v="1140000"/>
    <n v="0"/>
    <n v="0"/>
    <n v="0"/>
    <x v="5"/>
    <n v="0"/>
  </r>
  <r>
    <x v="0"/>
    <x v="1"/>
    <n v="770000"/>
    <n v="385995.4"/>
    <n v="385995.4"/>
    <n v="385995.4"/>
    <x v="5"/>
    <n v="0.50129272727272733"/>
  </r>
  <r>
    <x v="0"/>
    <x v="1"/>
    <n v="1006454"/>
    <n v="0"/>
    <n v="0"/>
    <n v="0"/>
    <x v="5"/>
    <n v="0"/>
  </r>
  <r>
    <x v="0"/>
    <x v="1"/>
    <n v="963365"/>
    <n v="33110.65"/>
    <n v="33110.65"/>
    <n v="33110.65"/>
    <x v="5"/>
    <n v="3.4369787152325443E-2"/>
  </r>
  <r>
    <x v="0"/>
    <x v="1"/>
    <n v="1951451"/>
    <n v="1048996.0874999999"/>
    <n v="942821.96750000003"/>
    <n v="939814.3125"/>
    <x v="5"/>
    <n v="0.53754672164456085"/>
  </r>
  <r>
    <x v="0"/>
    <x v="1"/>
    <n v="187500"/>
    <n v="15799.62"/>
    <n v="7397.2325000000001"/>
    <n v="1209.7325000000001"/>
    <x v="5"/>
    <n v="8.4264640000000002E-2"/>
  </r>
  <r>
    <x v="0"/>
    <x v="1"/>
    <n v="274046"/>
    <n v="11579.775"/>
    <n v="11325.275"/>
    <n v="9769.0249999999996"/>
    <x v="5"/>
    <n v="4.2254858673361408E-2"/>
  </r>
  <r>
    <x v="0"/>
    <x v="1"/>
    <n v="8812"/>
    <n v="0"/>
    <n v="0"/>
    <n v="0"/>
    <x v="5"/>
    <n v="0"/>
  </r>
  <r>
    <x v="0"/>
    <x v="1"/>
    <n v="38799"/>
    <n v="0"/>
    <n v="0"/>
    <n v="0"/>
    <x v="5"/>
    <n v="0"/>
  </r>
  <r>
    <x v="0"/>
    <x v="1"/>
    <n v="5000"/>
    <n v="0"/>
    <n v="0"/>
    <n v="0"/>
    <x v="5"/>
    <n v="0"/>
  </r>
  <r>
    <x v="0"/>
    <x v="1"/>
    <n v="7500"/>
    <n v="0"/>
    <n v="0"/>
    <n v="0"/>
    <x v="5"/>
    <n v="0"/>
  </r>
  <r>
    <x v="0"/>
    <x v="1"/>
    <n v="300000"/>
    <n v="214205"/>
    <n v="214205"/>
    <n v="214205"/>
    <x v="5"/>
    <n v="0.71401666666666663"/>
  </r>
  <r>
    <x v="0"/>
    <x v="1"/>
    <n v="50000"/>
    <n v="22502.255000000001"/>
    <n v="22502.255000000001"/>
    <n v="22502.255000000001"/>
    <x v="5"/>
    <n v="0.45004510000000003"/>
  </r>
  <r>
    <x v="0"/>
    <x v="1"/>
    <n v="1290077"/>
    <n v="1232163.6675"/>
    <n v="1232163.6675"/>
    <n v="1232163.6675"/>
    <x v="5"/>
    <n v="0.95510862336124125"/>
  </r>
  <r>
    <x v="0"/>
    <x v="1"/>
    <n v="130988"/>
    <n v="0"/>
    <n v="0"/>
    <n v="0"/>
    <x v="5"/>
    <n v="0"/>
  </r>
  <r>
    <x v="0"/>
    <x v="1"/>
    <n v="104386"/>
    <n v="3485.7150000000001"/>
    <n v="1743.7149999999999"/>
    <n v="1743.7149999999999"/>
    <x v="5"/>
    <n v="3.3392552641158778E-2"/>
  </r>
  <r>
    <x v="0"/>
    <x v="1"/>
    <n v="660985"/>
    <n v="751289.47250000003"/>
    <n v="751289.47250000003"/>
    <n v="751289.47250000003"/>
    <x v="5"/>
    <n v="1.1366210617487538"/>
  </r>
  <r>
    <x v="0"/>
    <x v="1"/>
    <n v="46265"/>
    <n v="64362.252500000002"/>
    <n v="59608.077499999999"/>
    <n v="50737.902499999997"/>
    <x v="5"/>
    <n v="1.3911650815951584"/>
  </r>
  <r>
    <x v="0"/>
    <x v="1"/>
    <n v="44545"/>
    <n v="85043.342499999999"/>
    <n v="83977.842499999999"/>
    <n v="47846.037499999999"/>
    <x v="5"/>
    <n v="1.9091557413851161"/>
  </r>
  <r>
    <x v="0"/>
    <x v="1"/>
    <n v="38537"/>
    <n v="20234.172500000001"/>
    <n v="20234.172500000001"/>
    <n v="20234.172500000001"/>
    <x v="5"/>
    <n v="0.52505832057503177"/>
  </r>
  <r>
    <x v="0"/>
    <x v="1"/>
    <n v="145000"/>
    <n v="440250"/>
    <n v="234800"/>
    <n v="0"/>
    <x v="5"/>
    <n v="3.0362068965517239"/>
  </r>
  <r>
    <x v="0"/>
    <x v="2"/>
    <n v="65500"/>
    <n v="5690.9"/>
    <n v="3059.4"/>
    <n v="3059.4"/>
    <x v="5"/>
    <n v="8.6883969465648844E-2"/>
  </r>
  <r>
    <x v="0"/>
    <x v="2"/>
    <n v="26500"/>
    <n v="478.85"/>
    <n v="478.85"/>
    <n v="478.85"/>
    <x v="5"/>
    <n v="1.806981132075472E-2"/>
  </r>
  <r>
    <x v="0"/>
    <x v="2"/>
    <n v="13250"/>
    <n v="3094"/>
    <n v="1380"/>
    <n v="1380"/>
    <x v="5"/>
    <n v="0.23350943396226415"/>
  </r>
  <r>
    <x v="0"/>
    <x v="2"/>
    <n v="8713868"/>
    <n v="9557480.6199999992"/>
    <n v="7159760.6299999999"/>
    <n v="6543688.4199999999"/>
    <x v="5"/>
    <n v="1.0968126462324193"/>
  </r>
  <r>
    <x v="0"/>
    <x v="2"/>
    <n v="8759860"/>
    <n v="8309278.4100000001"/>
    <n v="6889741.8200000003"/>
    <n v="6426532"/>
    <x v="5"/>
    <n v="0.94856292338005399"/>
  </r>
  <r>
    <x v="0"/>
    <x v="2"/>
    <n v="11596697"/>
    <n v="11006338.74"/>
    <n v="7810429.7599999998"/>
    <n v="7147201.9199999999"/>
    <x v="5"/>
    <n v="0.94909255109450563"/>
  </r>
  <r>
    <x v="0"/>
    <x v="2"/>
    <n v="256346"/>
    <n v="268510.07750000001"/>
    <n v="221292.3475"/>
    <n v="218364.4675"/>
    <x v="5"/>
    <n v="1.0474517936694936"/>
  </r>
  <r>
    <x v="0"/>
    <x v="2"/>
    <n v="1000"/>
    <n v="0"/>
    <n v="0"/>
    <n v="0"/>
    <x v="5"/>
    <n v="0"/>
  </r>
  <r>
    <x v="0"/>
    <x v="2"/>
    <n v="10168925"/>
    <n v="8916194.4000000004"/>
    <n v="7358396.79"/>
    <n v="6865523.2699999996"/>
    <x v="5"/>
    <n v="0.87680796151018914"/>
  </r>
  <r>
    <x v="0"/>
    <x v="2"/>
    <n v="3387281"/>
    <n v="3411672.32"/>
    <n v="2875214.07"/>
    <n v="2803728.72"/>
    <x v="5"/>
    <n v="1.0072008551991996"/>
  </r>
  <r>
    <x v="0"/>
    <x v="2"/>
    <n v="1000000"/>
    <n v="1003316.57"/>
    <n v="844325.33"/>
    <n v="805892.63"/>
    <x v="5"/>
    <n v="1.00331657"/>
  </r>
  <r>
    <x v="0"/>
    <x v="2"/>
    <n v="1000"/>
    <n v="0"/>
    <n v="0"/>
    <n v="0"/>
    <x v="5"/>
    <n v="0"/>
  </r>
  <r>
    <x v="0"/>
    <x v="2"/>
    <n v="1000"/>
    <n v="0"/>
    <n v="0"/>
    <n v="0"/>
    <x v="5"/>
    <n v="0"/>
  </r>
  <r>
    <x v="0"/>
    <x v="2"/>
    <n v="58780"/>
    <n v="40087.827499999999"/>
    <n v="34513.4"/>
    <n v="31977.866999999998"/>
    <x v="5"/>
    <n v="0.68199774583191564"/>
  </r>
  <r>
    <x v="0"/>
    <x v="2"/>
    <n v="17000"/>
    <n v="0"/>
    <n v="0"/>
    <n v="0"/>
    <x v="5"/>
    <n v="0"/>
  </r>
  <r>
    <x v="0"/>
    <x v="2"/>
    <n v="5000"/>
    <n v="0"/>
    <n v="0"/>
    <n v="0"/>
    <x v="5"/>
    <n v="0"/>
  </r>
  <r>
    <x v="0"/>
    <x v="2"/>
    <n v="20625"/>
    <n v="10054.577499999999"/>
    <n v="8863.3225000000002"/>
    <n v="7393.8975"/>
    <x v="5"/>
    <n v="0.48749466666666663"/>
  </r>
  <r>
    <x v="0"/>
    <x v="2"/>
    <n v="225000"/>
    <n v="3478"/>
    <n v="3478"/>
    <n v="3478"/>
    <x v="5"/>
    <n v="1.5457777777777779E-2"/>
  </r>
  <r>
    <x v="0"/>
    <x v="2"/>
    <n v="25000"/>
    <n v="0"/>
    <n v="0"/>
    <n v="0"/>
    <x v="5"/>
    <n v="0"/>
  </r>
  <r>
    <x v="0"/>
    <x v="2"/>
    <n v="5000"/>
    <n v="0"/>
    <n v="0"/>
    <n v="0"/>
    <x v="5"/>
    <n v="0"/>
  </r>
  <r>
    <x v="0"/>
    <x v="2"/>
    <n v="98359226"/>
    <n v="172847229.00999999"/>
    <n v="152062035.08000001"/>
    <n v="151889994.41"/>
    <x v="5"/>
    <n v="1.757305705211629"/>
  </r>
  <r>
    <x v="0"/>
    <x v="2"/>
    <n v="8000"/>
    <n v="0"/>
    <n v="0"/>
    <n v="0"/>
    <x v="5"/>
    <n v="0"/>
  </r>
  <r>
    <x v="0"/>
    <x v="2"/>
    <n v="5000"/>
    <n v="0"/>
    <n v="0"/>
    <n v="0"/>
    <x v="5"/>
    <n v="0"/>
  </r>
  <r>
    <x v="0"/>
    <x v="2"/>
    <n v="855205"/>
    <n v="1041994.85"/>
    <n v="971474.22"/>
    <n v="904311.72"/>
    <x v="5"/>
    <n v="1.2184152922398723"/>
  </r>
  <r>
    <x v="0"/>
    <x v="2"/>
    <n v="5000"/>
    <n v="0"/>
    <n v="0"/>
    <n v="0"/>
    <x v="5"/>
    <n v="0"/>
  </r>
  <r>
    <x v="0"/>
    <x v="2"/>
    <n v="29000"/>
    <n v="6561"/>
    <n v="6561"/>
    <n v="6561"/>
    <x v="5"/>
    <n v="0.22624137931034483"/>
  </r>
  <r>
    <x v="0"/>
    <x v="2"/>
    <n v="80000"/>
    <n v="0"/>
    <n v="0"/>
    <n v="0"/>
    <x v="5"/>
    <n v="0"/>
  </r>
  <r>
    <x v="0"/>
    <x v="2"/>
    <n v="23000"/>
    <n v="311859.63"/>
    <n v="295445.96999999997"/>
    <n v="295445.96999999997"/>
    <x v="5"/>
    <n v="13.559114347826087"/>
  </r>
  <r>
    <x v="0"/>
    <x v="2"/>
    <n v="28211"/>
    <n v="0"/>
    <n v="0"/>
    <n v="0"/>
    <x v="5"/>
    <n v="0"/>
  </r>
  <r>
    <x v="0"/>
    <x v="2"/>
    <n v="5000"/>
    <n v="0"/>
    <n v="0"/>
    <n v="0"/>
    <x v="5"/>
    <n v="0"/>
  </r>
  <r>
    <x v="0"/>
    <x v="2"/>
    <n v="5000"/>
    <n v="0"/>
    <n v="0"/>
    <n v="0"/>
    <x v="5"/>
    <n v="0"/>
  </r>
  <r>
    <x v="0"/>
    <x v="2"/>
    <n v="7880"/>
    <n v="0"/>
    <n v="0"/>
    <n v="0"/>
    <x v="5"/>
    <n v="0"/>
  </r>
  <r>
    <x v="0"/>
    <x v="2"/>
    <n v="20000"/>
    <n v="0"/>
    <n v="0"/>
    <n v="0"/>
    <x v="5"/>
    <n v="0"/>
  </r>
  <r>
    <x v="0"/>
    <x v="2"/>
    <n v="254400"/>
    <n v="0"/>
    <n v="0"/>
    <n v="0"/>
    <x v="5"/>
    <n v="0"/>
  </r>
  <r>
    <x v="0"/>
    <x v="2"/>
    <n v="107000"/>
    <n v="0"/>
    <n v="0"/>
    <n v="0"/>
    <x v="5"/>
    <n v="0"/>
  </r>
  <r>
    <x v="0"/>
    <x v="2"/>
    <n v="17286028"/>
    <n v="4234602.68"/>
    <n v="3645007.34"/>
    <n v="3645007.34"/>
    <x v="5"/>
    <n v="0.24497256859701949"/>
  </r>
  <r>
    <x v="0"/>
    <x v="2"/>
    <n v="299000"/>
    <n v="2003685.12"/>
    <n v="1429199.21"/>
    <n v="1429199.21"/>
    <x v="5"/>
    <n v="6.7012880267558534"/>
  </r>
  <r>
    <x v="0"/>
    <x v="2"/>
    <n v="26129618"/>
    <n v="48332800.609999999"/>
    <n v="48332800.609999999"/>
    <n v="48332800.609999999"/>
    <x v="5"/>
    <n v="1.8497323845300762"/>
  </r>
  <r>
    <x v="0"/>
    <x v="2"/>
    <n v="5558143"/>
    <n v="0"/>
    <n v="0"/>
    <n v="0"/>
    <x v="5"/>
    <n v="0"/>
  </r>
  <r>
    <x v="0"/>
    <x v="2"/>
    <n v="10000000"/>
    <n v="31288019.899999999"/>
    <n v="30358645.940000001"/>
    <n v="30358645.940000001"/>
    <x v="5"/>
    <n v="3.1288019899999999"/>
  </r>
  <r>
    <x v="0"/>
    <x v="2"/>
    <n v="238298665"/>
    <n v="96160699.069999993"/>
    <n v="96160699.069999993"/>
    <n v="96160699.069999993"/>
    <x v="5"/>
    <n v="0.40353016274765952"/>
  </r>
  <r>
    <x v="0"/>
    <x v="2"/>
    <n v="3097745"/>
    <n v="2042341"/>
    <n v="2042341"/>
    <n v="2042341"/>
    <x v="5"/>
    <n v="0.65929926446495757"/>
  </r>
  <r>
    <x v="0"/>
    <x v="2"/>
    <n v="540000"/>
    <n v="0"/>
    <n v="0"/>
    <n v="0"/>
    <x v="5"/>
    <n v="0"/>
  </r>
  <r>
    <x v="0"/>
    <x v="2"/>
    <n v="799271086"/>
    <n v="743757617.37"/>
    <n v="739497229.77999997"/>
    <n v="737670249.35000002"/>
    <x v="5"/>
    <n v="0.93054488070146457"/>
  </r>
  <r>
    <x v="0"/>
    <x v="2"/>
    <n v="5205175"/>
    <n v="5166260.95"/>
    <n v="5166260.95"/>
    <n v="5166260.95"/>
    <x v="5"/>
    <n v="0.99252396893476202"/>
  </r>
  <r>
    <x v="0"/>
    <x v="2"/>
    <n v="5972"/>
    <n v="0"/>
    <n v="0"/>
    <n v="0"/>
    <x v="5"/>
    <n v="0"/>
  </r>
  <r>
    <x v="0"/>
    <x v="2"/>
    <n v="12852548"/>
    <n v="10886351.6"/>
    <n v="10542239.16"/>
    <n v="10453789.199999999"/>
    <x v="5"/>
    <n v="0.84701894130253397"/>
  </r>
  <r>
    <x v="0"/>
    <x v="2"/>
    <n v="135000"/>
    <n v="0"/>
    <n v="0"/>
    <n v="0"/>
    <x v="5"/>
    <n v="0"/>
  </r>
  <r>
    <x v="0"/>
    <x v="2"/>
    <n v="9062403"/>
    <n v="1000"/>
    <n v="1000"/>
    <n v="1000"/>
    <x v="5"/>
    <n v="1.1034600866900313E-4"/>
  </r>
  <r>
    <x v="0"/>
    <x v="2"/>
    <n v="210000"/>
    <n v="6287.86"/>
    <n v="6287.86"/>
    <n v="6287.86"/>
    <x v="5"/>
    <n v="2.9942190476190473E-2"/>
  </r>
  <r>
    <x v="0"/>
    <x v="2"/>
    <n v="7258680"/>
    <n v="5341920"/>
    <n v="5341920"/>
    <n v="4896780"/>
    <x v="5"/>
    <n v="0.7359354593397146"/>
  </r>
  <r>
    <x v="0"/>
    <x v="2"/>
    <n v="5856568"/>
    <n v="0"/>
    <n v="0"/>
    <n v="0"/>
    <x v="5"/>
    <n v="0"/>
  </r>
  <r>
    <x v="0"/>
    <x v="2"/>
    <n v="35000"/>
    <n v="0"/>
    <n v="0"/>
    <n v="0"/>
    <x v="5"/>
    <n v="0"/>
  </r>
  <r>
    <x v="0"/>
    <x v="2"/>
    <n v="809000"/>
    <n v="0"/>
    <n v="0"/>
    <n v="0"/>
    <x v="5"/>
    <n v="0"/>
  </r>
  <r>
    <x v="0"/>
    <x v="2"/>
    <n v="3053594"/>
    <n v="2852082.63"/>
    <n v="2608570.58"/>
    <n v="2608570.58"/>
    <x v="5"/>
    <n v="0.93400846019477368"/>
  </r>
  <r>
    <x v="0"/>
    <x v="2"/>
    <n v="3900000"/>
    <n v="3441844.8"/>
    <n v="3119670.3"/>
    <n v="3119670.3"/>
    <x v="5"/>
    <n v="0.88252430769230761"/>
  </r>
  <r>
    <x v="0"/>
    <x v="2"/>
    <n v="25000"/>
    <n v="7784.26"/>
    <n v="7784.26"/>
    <n v="7784.26"/>
    <x v="5"/>
    <n v="0.31137039999999999"/>
  </r>
  <r>
    <x v="0"/>
    <x v="2"/>
    <n v="68000"/>
    <n v="0"/>
    <n v="0"/>
    <n v="0"/>
    <x v="5"/>
    <n v="0"/>
  </r>
  <r>
    <x v="0"/>
    <x v="2"/>
    <n v="563650"/>
    <n v="0"/>
    <n v="0"/>
    <n v="0"/>
    <x v="5"/>
    <n v="0"/>
  </r>
  <r>
    <x v="0"/>
    <x v="2"/>
    <n v="169600"/>
    <n v="0"/>
    <n v="0"/>
    <n v="0"/>
    <x v="5"/>
    <n v="0"/>
  </r>
  <r>
    <x v="0"/>
    <x v="2"/>
    <n v="21463802"/>
    <n v="3696118.41"/>
    <n v="2575673.84"/>
    <n v="2569225.5699999998"/>
    <x v="5"/>
    <n v="0.17220240896743272"/>
  </r>
  <r>
    <x v="0"/>
    <x v="2"/>
    <n v="33000"/>
    <n v="1033109.9"/>
    <n v="462411.06"/>
    <n v="437596.48"/>
    <x v="5"/>
    <n v="31.306360606060608"/>
  </r>
  <r>
    <x v="0"/>
    <x v="2"/>
    <n v="22811052"/>
    <n v="10609712.859999999"/>
    <n v="10609712.859999999"/>
    <n v="10609712.859999999"/>
    <x v="5"/>
    <n v="0.46511282601083015"/>
  </r>
  <r>
    <x v="0"/>
    <x v="2"/>
    <n v="4129326"/>
    <n v="0"/>
    <n v="0"/>
    <n v="0"/>
    <x v="5"/>
    <n v="0"/>
  </r>
  <r>
    <x v="0"/>
    <x v="2"/>
    <n v="1532855"/>
    <n v="3871138.72"/>
    <n v="3871138.72"/>
    <n v="3871138.72"/>
    <x v="5"/>
    <n v="2.5254435155314758"/>
  </r>
  <r>
    <x v="0"/>
    <x v="2"/>
    <n v="29139975"/>
    <n v="4605169.3499999996"/>
    <n v="4605169.3499999996"/>
    <n v="4605169.3499999996"/>
    <x v="5"/>
    <n v="0.15803614622181383"/>
  </r>
  <r>
    <x v="0"/>
    <x v="2"/>
    <n v="365532"/>
    <n v="66549"/>
    <n v="66549"/>
    <n v="66549"/>
    <x v="5"/>
    <n v="0.1820606677390762"/>
  </r>
  <r>
    <x v="0"/>
    <x v="2"/>
    <n v="318224835"/>
    <n v="326517175.5"/>
    <n v="322454637.51999998"/>
    <n v="322040974.16000003"/>
    <x v="5"/>
    <n v="1.026058118625468"/>
  </r>
  <r>
    <x v="0"/>
    <x v="2"/>
    <n v="105696040"/>
    <n v="161792146.06"/>
    <n v="161792146.06"/>
    <n v="161792146.06"/>
    <x v="5"/>
    <n v="1.5307304423136383"/>
  </r>
  <r>
    <x v="0"/>
    <x v="2"/>
    <n v="7969091"/>
    <n v="1828073.21"/>
    <n v="1828073.21"/>
    <n v="1828073.21"/>
    <x v="5"/>
    <n v="0.22939544924257985"/>
  </r>
  <r>
    <x v="0"/>
    <x v="2"/>
    <n v="50000"/>
    <n v="0"/>
    <n v="0"/>
    <n v="0"/>
    <x v="5"/>
    <n v="0"/>
  </r>
  <r>
    <x v="0"/>
    <x v="2"/>
    <n v="5250"/>
    <n v="0"/>
    <n v="0"/>
    <n v="0"/>
    <x v="5"/>
    <n v="0"/>
  </r>
  <r>
    <x v="0"/>
    <x v="2"/>
    <n v="345662"/>
    <n v="0"/>
    <n v="0"/>
    <n v="0"/>
    <x v="5"/>
    <n v="0"/>
  </r>
  <r>
    <x v="0"/>
    <x v="2"/>
    <n v="131419"/>
    <n v="0"/>
    <n v="0"/>
    <n v="0"/>
    <x v="5"/>
    <n v="0"/>
  </r>
  <r>
    <x v="0"/>
    <x v="2"/>
    <n v="125000"/>
    <n v="50000"/>
    <n v="50000"/>
    <n v="50000"/>
    <x v="5"/>
    <n v="0.4"/>
  </r>
  <r>
    <x v="0"/>
    <x v="2"/>
    <n v="591121"/>
    <n v="52261.125"/>
    <n v="52261.125"/>
    <n v="52261.125"/>
    <x v="5"/>
    <n v="8.8410198588783004E-2"/>
  </r>
  <r>
    <x v="0"/>
    <x v="2"/>
    <n v="3750"/>
    <n v="1683"/>
    <n v="1683"/>
    <n v="1683"/>
    <x v="5"/>
    <n v="0.44879999999999998"/>
  </r>
  <r>
    <x v="0"/>
    <x v="2"/>
    <n v="4870000"/>
    <n v="4504454.2249999996"/>
    <n v="4504454.2249999996"/>
    <n v="4504454.2249999996"/>
    <x v="5"/>
    <n v="0.92493926591375764"/>
  </r>
  <r>
    <x v="0"/>
    <x v="2"/>
    <n v="151207"/>
    <n v="98048.2"/>
    <n v="98048.2"/>
    <n v="98048.2"/>
    <x v="5"/>
    <n v="0.64843691098957057"/>
  </r>
  <r>
    <x v="0"/>
    <x v="2"/>
    <n v="3750"/>
    <n v="0"/>
    <n v="0"/>
    <n v="0"/>
    <x v="5"/>
    <n v="0"/>
  </r>
  <r>
    <x v="0"/>
    <x v="2"/>
    <n v="5000"/>
    <n v="0"/>
    <n v="0"/>
    <n v="0"/>
    <x v="5"/>
    <n v="0"/>
  </r>
  <r>
    <x v="0"/>
    <x v="2"/>
    <n v="57000"/>
    <n v="0"/>
    <n v="0"/>
    <n v="0"/>
    <x v="5"/>
    <n v="0"/>
  </r>
  <r>
    <x v="0"/>
    <x v="2"/>
    <n v="1087988"/>
    <n v="62250"/>
    <n v="62250"/>
    <n v="62250"/>
    <x v="5"/>
    <n v="5.7215704584977038E-2"/>
  </r>
  <r>
    <x v="0"/>
    <x v="2"/>
    <n v="375516"/>
    <n v="0"/>
    <n v="0"/>
    <n v="0"/>
    <x v="5"/>
    <n v="0"/>
  </r>
  <r>
    <x v="0"/>
    <x v="2"/>
    <n v="254122"/>
    <n v="153334.6"/>
    <n v="153334.6"/>
    <n v="153334.6"/>
    <x v="5"/>
    <n v="0.60338971045403389"/>
  </r>
  <r>
    <x v="0"/>
    <x v="2"/>
    <n v="15541440"/>
    <n v="742305.5"/>
    <n v="742305.5"/>
    <n v="742305.5"/>
    <x v="5"/>
    <n v="4.7762980779129861E-2"/>
  </r>
  <r>
    <x v="0"/>
    <x v="2"/>
    <n v="117347"/>
    <n v="2964"/>
    <n v="2964"/>
    <n v="2964"/>
    <x v="5"/>
    <n v="2.5258421604301771E-2"/>
  </r>
  <r>
    <x v="0"/>
    <x v="2"/>
    <n v="21000"/>
    <n v="477494.4"/>
    <n v="79108.429999999993"/>
    <n v="79108.429999999993"/>
    <x v="5"/>
    <n v="22.737828571428572"/>
  </r>
  <r>
    <x v="0"/>
    <x v="2"/>
    <n v="2435168"/>
    <n v="6859729.4000000004"/>
    <n v="6276888.6299999999"/>
    <n v="6276888.6299999999"/>
    <x v="5"/>
    <n v="2.8169429788827713"/>
  </r>
  <r>
    <x v="0"/>
    <x v="2"/>
    <n v="454740"/>
    <n v="360000"/>
    <n v="330000"/>
    <n v="330000"/>
    <x v="5"/>
    <n v="0.79166116901965955"/>
  </r>
  <r>
    <x v="0"/>
    <x v="2"/>
    <n v="431605"/>
    <n v="0"/>
    <n v="0"/>
    <n v="0"/>
    <x v="5"/>
    <n v="0"/>
  </r>
  <r>
    <x v="0"/>
    <x v="2"/>
    <n v="435000"/>
    <n v="0"/>
    <n v="0"/>
    <n v="0"/>
    <x v="5"/>
    <n v="0"/>
  </r>
  <r>
    <x v="0"/>
    <x v="2"/>
    <n v="14000"/>
    <n v="540"/>
    <n v="540"/>
    <n v="540"/>
    <x v="5"/>
    <n v="3.8571428571428569E-2"/>
  </r>
  <r>
    <x v="0"/>
    <x v="2"/>
    <n v="65274"/>
    <n v="0"/>
    <n v="0"/>
    <n v="0"/>
    <x v="5"/>
    <n v="0"/>
  </r>
  <r>
    <x v="0"/>
    <x v="2"/>
    <n v="28087"/>
    <n v="1008"/>
    <n v="504"/>
    <n v="504"/>
    <x v="5"/>
    <n v="3.5888489336703813E-2"/>
  </r>
  <r>
    <x v="0"/>
    <x v="2"/>
    <n v="3250"/>
    <n v="0"/>
    <n v="0"/>
    <n v="0"/>
    <x v="5"/>
    <n v="0"/>
  </r>
  <r>
    <x v="0"/>
    <x v="2"/>
    <n v="1000"/>
    <n v="0"/>
    <n v="0"/>
    <n v="0"/>
    <x v="5"/>
    <n v="0"/>
  </r>
  <r>
    <x v="0"/>
    <x v="2"/>
    <n v="15000"/>
    <n v="5862.5"/>
    <n v="4224.1949999999997"/>
    <n v="4224.1949999999997"/>
    <x v="5"/>
    <n v="0.39083333333333331"/>
  </r>
  <r>
    <x v="0"/>
    <x v="2"/>
    <n v="6250"/>
    <n v="0"/>
    <n v="0"/>
    <n v="0"/>
    <x v="5"/>
    <n v="0"/>
  </r>
  <r>
    <x v="0"/>
    <x v="2"/>
    <n v="427250"/>
    <n v="31042.932499999999"/>
    <n v="28805.967499999999"/>
    <n v="28805.967499999999"/>
    <x v="5"/>
    <n v="7.2657536571094208E-2"/>
  </r>
  <r>
    <x v="0"/>
    <x v="2"/>
    <n v="13000"/>
    <n v="0"/>
    <n v="0"/>
    <n v="0"/>
    <x v="5"/>
    <n v="0"/>
  </r>
  <r>
    <x v="0"/>
    <x v="2"/>
    <n v="14000"/>
    <n v="0"/>
    <n v="0"/>
    <n v="0"/>
    <x v="5"/>
    <n v="0"/>
  </r>
  <r>
    <x v="0"/>
    <x v="2"/>
    <n v="1700850"/>
    <n v="110500"/>
    <n v="55250"/>
    <n v="55250"/>
    <x v="5"/>
    <n v="6.4967516241879061E-2"/>
  </r>
  <r>
    <x v="0"/>
    <x v="2"/>
    <n v="104125"/>
    <n v="0"/>
    <n v="0"/>
    <n v="0"/>
    <x v="5"/>
    <n v="0"/>
  </r>
  <r>
    <x v="2"/>
    <x v="6"/>
    <n v="9750"/>
    <n v="0"/>
    <n v="0"/>
    <n v="0"/>
    <x v="5"/>
    <n v="0"/>
  </r>
  <r>
    <x v="2"/>
    <x v="6"/>
    <n v="6000"/>
    <n v="0"/>
    <n v="0"/>
    <n v="0"/>
    <x v="5"/>
    <n v="0"/>
  </r>
  <r>
    <x v="2"/>
    <x v="6"/>
    <n v="3250"/>
    <n v="74"/>
    <n v="0"/>
    <n v="0"/>
    <x v="5"/>
    <n v="2.2769230769230771E-2"/>
  </r>
  <r>
    <x v="2"/>
    <x v="6"/>
    <n v="6250"/>
    <n v="695"/>
    <n v="622.5"/>
    <n v="622.5"/>
    <x v="5"/>
    <n v="0.11119999999999999"/>
  </r>
  <r>
    <x v="2"/>
    <x v="6"/>
    <n v="2425"/>
    <n v="0"/>
    <n v="0"/>
    <n v="0"/>
    <x v="5"/>
    <n v="0"/>
  </r>
  <r>
    <x v="2"/>
    <x v="6"/>
    <n v="94500"/>
    <n v="13048.655000000001"/>
    <n v="1959.5"/>
    <n v="0"/>
    <x v="5"/>
    <n v="0.13808100529100531"/>
  </r>
  <r>
    <x v="2"/>
    <x v="6"/>
    <n v="7121175"/>
    <n v="10019317.342499999"/>
    <n v="9805368.0875000004"/>
    <n v="9766342.6524999999"/>
    <x v="5"/>
    <n v="1.4069753014776352"/>
  </r>
  <r>
    <x v="2"/>
    <x v="6"/>
    <n v="250137"/>
    <n v="254957.625"/>
    <n v="247672.08"/>
    <n v="247672.08"/>
    <x v="5"/>
    <n v="1.0192719389774403"/>
  </r>
  <r>
    <x v="2"/>
    <x v="6"/>
    <n v="4375"/>
    <n v="0"/>
    <n v="0"/>
    <n v="0"/>
    <x v="5"/>
    <n v="0"/>
  </r>
  <r>
    <x v="2"/>
    <x v="6"/>
    <n v="505000"/>
    <n v="503118.88250000001"/>
    <n v="499185.5675"/>
    <n v="495817.1225"/>
    <x v="5"/>
    <n v="0.99627501485148517"/>
  </r>
  <r>
    <x v="2"/>
    <x v="6"/>
    <n v="3260820"/>
    <n v="3260819.1"/>
    <n v="3150061.49"/>
    <n v="3150061.49"/>
    <x v="5"/>
    <n v="0.99999972399580472"/>
  </r>
  <r>
    <x v="2"/>
    <x v="6"/>
    <n v="800000"/>
    <n v="0"/>
    <n v="0"/>
    <n v="0"/>
    <x v="5"/>
    <n v="0"/>
  </r>
  <r>
    <x v="2"/>
    <x v="6"/>
    <n v="24771350"/>
    <n v="24629487.140000001"/>
    <n v="24049169.039999999"/>
    <n v="23874296.960000001"/>
    <x v="5"/>
    <n v="0.99427310744065223"/>
  </r>
  <r>
    <x v="2"/>
    <x v="6"/>
    <n v="22500"/>
    <n v="0"/>
    <n v="0"/>
    <n v="0"/>
    <x v="5"/>
    <n v="0"/>
  </r>
  <r>
    <x v="2"/>
    <x v="6"/>
    <n v="537651"/>
    <n v="721774.36"/>
    <n v="712007.83"/>
    <n v="712007.83"/>
    <x v="5"/>
    <n v="1.3424588813189224"/>
  </r>
  <r>
    <x v="2"/>
    <x v="6"/>
    <n v="5510400"/>
    <n v="607911.23"/>
    <n v="529172.59"/>
    <n v="498926.59"/>
    <x v="5"/>
    <n v="0.1103207081155633"/>
  </r>
  <r>
    <x v="2"/>
    <x v="6"/>
    <n v="4922391"/>
    <n v="1586205.88"/>
    <n v="1545039.32"/>
    <n v="1530719.96"/>
    <x v="5"/>
    <n v="0.32224296688337029"/>
  </r>
  <r>
    <x v="2"/>
    <x v="6"/>
    <n v="500000"/>
    <n v="314820"/>
    <n v="311958"/>
    <n v="311958"/>
    <x v="5"/>
    <n v="0.62963999999999998"/>
  </r>
  <r>
    <x v="2"/>
    <x v="6"/>
    <n v="900000"/>
    <n v="261479.9"/>
    <n v="261479.9"/>
    <n v="261479.9"/>
    <x v="5"/>
    <n v="0.29053322222222222"/>
  </r>
  <r>
    <x v="2"/>
    <x v="6"/>
    <n v="800000"/>
    <n v="1863.86"/>
    <n v="1863.86"/>
    <n v="1863.86"/>
    <x v="5"/>
    <n v="2.3298249999999998E-3"/>
  </r>
  <r>
    <x v="2"/>
    <x v="6"/>
    <n v="2000000"/>
    <n v="382613.79"/>
    <n v="365791.79"/>
    <n v="365791.79"/>
    <x v="5"/>
    <n v="0.19130689499999998"/>
  </r>
  <r>
    <x v="2"/>
    <x v="6"/>
    <n v="20500"/>
    <n v="0"/>
    <n v="0"/>
    <n v="0"/>
    <x v="5"/>
    <n v="0"/>
  </r>
  <r>
    <x v="2"/>
    <x v="6"/>
    <n v="950000"/>
    <n v="8455.5300000000007"/>
    <n v="543.03"/>
    <n v="543.03"/>
    <x v="5"/>
    <n v="8.9005578947368436E-3"/>
  </r>
  <r>
    <x v="2"/>
    <x v="6"/>
    <n v="300000"/>
    <n v="102903.46"/>
    <n v="6544.51"/>
    <n v="6544.51"/>
    <x v="5"/>
    <n v="0.34301153333333334"/>
  </r>
  <r>
    <x v="2"/>
    <x v="6"/>
    <n v="318098"/>
    <n v="0"/>
    <n v="0"/>
    <n v="0"/>
    <x v="5"/>
    <n v="0"/>
  </r>
  <r>
    <x v="2"/>
    <x v="6"/>
    <n v="650000"/>
    <n v="0"/>
    <n v="0"/>
    <n v="0"/>
    <x v="5"/>
    <n v="0"/>
  </r>
  <r>
    <x v="2"/>
    <x v="6"/>
    <n v="80000"/>
    <n v="0"/>
    <n v="0"/>
    <n v="0"/>
    <x v="5"/>
    <n v="0"/>
  </r>
  <r>
    <x v="2"/>
    <x v="6"/>
    <n v="4755475"/>
    <n v="1220495.8400000001"/>
    <n v="357382.23"/>
    <n v="357382.23"/>
    <x v="5"/>
    <n v="0.25665066896577104"/>
  </r>
  <r>
    <x v="2"/>
    <x v="6"/>
    <n v="7500"/>
    <n v="0"/>
    <n v="0"/>
    <n v="0"/>
    <x v="5"/>
    <n v="0"/>
  </r>
  <r>
    <x v="2"/>
    <x v="6"/>
    <n v="6381535"/>
    <n v="6485484.4474999998"/>
    <n v="6107757.3925000001"/>
    <n v="6045936.6200000001"/>
    <x v="5"/>
    <n v="1.0162890977640959"/>
  </r>
  <r>
    <x v="2"/>
    <x v="6"/>
    <n v="1401085"/>
    <n v="1610977.8774999999"/>
    <n v="1512502.7925"/>
    <n v="1450234.7825"/>
    <x v="5"/>
    <n v="1.1498073832065863"/>
  </r>
  <r>
    <x v="2"/>
    <x v="6"/>
    <n v="0"/>
    <n v="1427183.58"/>
    <n v="1386500.34"/>
    <n v="1297011.5275000001"/>
    <x v="5"/>
    <n v="0"/>
  </r>
  <r>
    <x v="2"/>
    <x v="6"/>
    <n v="17500"/>
    <n v="189490.70250000001"/>
    <n v="26688.102500000001"/>
    <n v="3343.58"/>
    <x v="5"/>
    <n v="10.828040142857144"/>
  </r>
  <r>
    <x v="2"/>
    <x v="6"/>
    <n v="2407500"/>
    <n v="235121.315"/>
    <n v="235121.315"/>
    <n v="235121.315"/>
    <x v="5"/>
    <n v="9.7662020768431987E-2"/>
  </r>
  <r>
    <x v="2"/>
    <x v="6"/>
    <n v="125"/>
    <n v="0"/>
    <n v="0"/>
    <n v="0"/>
    <x v="5"/>
    <n v="0"/>
  </r>
  <r>
    <x v="2"/>
    <x v="6"/>
    <n v="72422"/>
    <n v="2212.94"/>
    <n v="1726.2974999999999"/>
    <n v="1596.0050000000001"/>
    <x v="5"/>
    <n v="3.0556184584794678E-2"/>
  </r>
  <r>
    <x v="2"/>
    <x v="6"/>
    <n v="1980276"/>
    <n v="4746258.835"/>
    <n v="4685898.2625000002"/>
    <n v="4629037.7175000003"/>
    <x v="5"/>
    <n v="2.3967663270170418"/>
  </r>
  <r>
    <x v="2"/>
    <x v="6"/>
    <n v="297125"/>
    <n v="177776.65"/>
    <n v="136326.9425"/>
    <n v="120276.06"/>
    <x v="5"/>
    <n v="0.59832275978123683"/>
  </r>
  <r>
    <x v="2"/>
    <x v="6"/>
    <n v="254628"/>
    <n v="216623.36249999999"/>
    <n v="216623.36249999999"/>
    <n v="216623.36249999999"/>
    <x v="5"/>
    <n v="0.85074446840096141"/>
  </r>
  <r>
    <x v="2"/>
    <x v="6"/>
    <n v="367840"/>
    <n v="269086.10499999998"/>
    <n v="261382.315"/>
    <n v="261382.315"/>
    <x v="5"/>
    <n v="0.73153029849934748"/>
  </r>
  <r>
    <x v="2"/>
    <x v="6"/>
    <n v="935496"/>
    <n v="1041293.775"/>
    <n v="1006766.3625"/>
    <n v="1003161.3625"/>
    <x v="5"/>
    <n v="1.11309270697042"/>
  </r>
  <r>
    <x v="2"/>
    <x v="6"/>
    <n v="1134501"/>
    <n v="1039200.515"/>
    <n v="1028272.99"/>
    <n v="1027270.49"/>
    <x v="5"/>
    <n v="0.91599788365105017"/>
  </r>
  <r>
    <x v="2"/>
    <x v="6"/>
    <n v="20250"/>
    <n v="0"/>
    <n v="0"/>
    <n v="0"/>
    <x v="5"/>
    <n v="0"/>
  </r>
  <r>
    <x v="2"/>
    <x v="6"/>
    <n v="315635"/>
    <n v="420224.58"/>
    <n v="374386.9"/>
    <n v="371456.9"/>
    <x v="5"/>
    <n v="1.3313624281210892"/>
  </r>
  <r>
    <x v="2"/>
    <x v="6"/>
    <n v="25125"/>
    <n v="0"/>
    <n v="0"/>
    <n v="0"/>
    <x v="5"/>
    <n v="0"/>
  </r>
  <r>
    <x v="2"/>
    <x v="6"/>
    <n v="260000"/>
    <n v="463445.40500000003"/>
    <n v="445015.34"/>
    <n v="443010.34"/>
    <x v="5"/>
    <n v="1.782482326923077"/>
  </r>
  <r>
    <x v="2"/>
    <x v="6"/>
    <n v="250"/>
    <n v="0"/>
    <n v="0"/>
    <n v="0"/>
    <x v="5"/>
    <n v="0"/>
  </r>
  <r>
    <x v="2"/>
    <x v="6"/>
    <n v="7500"/>
    <n v="0"/>
    <n v="0"/>
    <n v="0"/>
    <x v="5"/>
    <n v="0"/>
  </r>
  <r>
    <x v="2"/>
    <x v="6"/>
    <n v="50000"/>
    <n v="0"/>
    <n v="0"/>
    <n v="0"/>
    <x v="5"/>
    <n v="0"/>
  </r>
  <r>
    <x v="2"/>
    <x v="6"/>
    <n v="12631"/>
    <n v="0"/>
    <n v="0"/>
    <n v="0"/>
    <x v="5"/>
    <n v="0"/>
  </r>
  <r>
    <x v="2"/>
    <x v="6"/>
    <n v="449760"/>
    <n v="0"/>
    <n v="0"/>
    <n v="0"/>
    <x v="5"/>
    <n v="0"/>
  </r>
  <r>
    <x v="2"/>
    <x v="6"/>
    <n v="137495"/>
    <n v="0"/>
    <n v="0"/>
    <n v="0"/>
    <x v="5"/>
    <n v="0"/>
  </r>
  <r>
    <x v="2"/>
    <x v="6"/>
    <n v="253526"/>
    <n v="53152.14"/>
    <n v="49142.14"/>
    <n v="45132.14"/>
    <x v="5"/>
    <n v="0.20965163336304757"/>
  </r>
  <r>
    <x v="2"/>
    <x v="6"/>
    <n v="992833"/>
    <n v="4437923.4749999996"/>
    <n v="4326797.4574999996"/>
    <n v="4243054.2249999996"/>
    <x v="5"/>
    <n v="4.4699596759978766"/>
  </r>
  <r>
    <x v="2"/>
    <x v="6"/>
    <n v="4863000"/>
    <n v="959545.97250000003"/>
    <n v="959545.97250000003"/>
    <n v="959545.97250000003"/>
    <x v="5"/>
    <n v="0.19731564312152994"/>
  </r>
  <r>
    <x v="2"/>
    <x v="6"/>
    <n v="470863"/>
    <n v="343577.5025"/>
    <n v="343577.5025"/>
    <n v="343577.5025"/>
    <x v="5"/>
    <n v="0.72967615314858036"/>
  </r>
  <r>
    <x v="2"/>
    <x v="6"/>
    <n v="1057208"/>
    <n v="1225259.96"/>
    <n v="1225259.96"/>
    <n v="1225259.96"/>
    <x v="5"/>
    <n v="1.1589582750035943"/>
  </r>
  <r>
    <x v="2"/>
    <x v="6"/>
    <n v="585000"/>
    <n v="233820"/>
    <n v="233820"/>
    <n v="233820"/>
    <x v="5"/>
    <n v="0.39969230769230768"/>
  </r>
  <r>
    <x v="2"/>
    <x v="6"/>
    <n v="116695"/>
    <n v="97856.18"/>
    <n v="78511.767500000002"/>
    <n v="78511.767500000002"/>
    <x v="5"/>
    <n v="0.83856360598140445"/>
  </r>
  <r>
    <x v="2"/>
    <x v="6"/>
    <n v="250"/>
    <n v="124.97499999999999"/>
    <n v="124.97499999999999"/>
    <n v="124.97499999999999"/>
    <x v="5"/>
    <n v="0.49989999999999996"/>
  </r>
  <r>
    <x v="2"/>
    <x v="6"/>
    <n v="9000"/>
    <n v="653.85"/>
    <n v="653.85"/>
    <n v="653.85"/>
    <x v="5"/>
    <n v="7.2650000000000006E-2"/>
  </r>
  <r>
    <x v="2"/>
    <x v="6"/>
    <n v="55382"/>
    <n v="60016.205000000002"/>
    <n v="48293.02"/>
    <n v="39938.375"/>
    <x v="5"/>
    <n v="1.0836770972518146"/>
  </r>
  <r>
    <x v="2"/>
    <x v="6"/>
    <n v="1125"/>
    <n v="619.16250000000002"/>
    <n v="493.76249999999999"/>
    <n v="282.14999999999998"/>
    <x v="5"/>
    <n v="0.55036666666666667"/>
  </r>
  <r>
    <x v="2"/>
    <x v="6"/>
    <n v="12500"/>
    <n v="3325"/>
    <n v="0"/>
    <n v="0"/>
    <x v="5"/>
    <n v="0.26600000000000001"/>
  </r>
  <r>
    <x v="2"/>
    <x v="6"/>
    <n v="16250"/>
    <n v="40342.625"/>
    <n v="40342.625"/>
    <n v="40342.625"/>
    <x v="5"/>
    <n v="2.482623076923077"/>
  </r>
  <r>
    <x v="2"/>
    <x v="6"/>
    <n v="5000"/>
    <n v="0"/>
    <n v="0"/>
    <n v="0"/>
    <x v="5"/>
    <n v="0"/>
  </r>
  <r>
    <x v="2"/>
    <x v="6"/>
    <n v="3750"/>
    <n v="0"/>
    <n v="0"/>
    <n v="0"/>
    <x v="5"/>
    <n v="0"/>
  </r>
  <r>
    <x v="2"/>
    <x v="6"/>
    <n v="2500"/>
    <n v="0"/>
    <n v="0"/>
    <n v="0"/>
    <x v="5"/>
    <n v="0"/>
  </r>
  <r>
    <x v="2"/>
    <x v="6"/>
    <n v="37625"/>
    <n v="17425"/>
    <n v="17421.57"/>
    <n v="17421.57"/>
    <x v="5"/>
    <n v="0.46312292358803986"/>
  </r>
  <r>
    <x v="2"/>
    <x v="6"/>
    <n v="250"/>
    <n v="0"/>
    <n v="0"/>
    <n v="0"/>
    <x v="5"/>
    <n v="0"/>
  </r>
  <r>
    <x v="2"/>
    <x v="6"/>
    <n v="2500"/>
    <n v="0"/>
    <n v="0"/>
    <n v="0"/>
    <x v="5"/>
    <n v="0"/>
  </r>
  <r>
    <x v="2"/>
    <x v="6"/>
    <n v="9102"/>
    <n v="0"/>
    <n v="0"/>
    <n v="0"/>
    <x v="5"/>
    <n v="0"/>
  </r>
  <r>
    <x v="2"/>
    <x v="6"/>
    <n v="70250"/>
    <n v="1201.75"/>
    <n v="1201.75"/>
    <n v="1201.75"/>
    <x v="5"/>
    <n v="1.71067615658363E-2"/>
  </r>
  <r>
    <x v="2"/>
    <x v="6"/>
    <n v="33403"/>
    <n v="67895.09"/>
    <n v="18435.25"/>
    <n v="18435.25"/>
    <x v="5"/>
    <n v="2.0326045564769633"/>
  </r>
  <r>
    <x v="2"/>
    <x v="6"/>
    <n v="55000"/>
    <n v="0"/>
    <n v="0"/>
    <n v="0"/>
    <x v="5"/>
    <n v="0"/>
  </r>
  <r>
    <x v="2"/>
    <x v="6"/>
    <n v="20750"/>
    <n v="0"/>
    <n v="0"/>
    <n v="0"/>
    <x v="5"/>
    <n v="0"/>
  </r>
  <r>
    <x v="2"/>
    <x v="6"/>
    <n v="3003500"/>
    <n v="1412068.84"/>
    <n v="1402441.35"/>
    <n v="1402441.35"/>
    <x v="5"/>
    <n v="0.47014111536540704"/>
  </r>
  <r>
    <x v="2"/>
    <x v="6"/>
    <n v="1036"/>
    <n v="405"/>
    <n v="405"/>
    <n v="405"/>
    <x v="5"/>
    <n v="0.39092664092664092"/>
  </r>
  <r>
    <x v="2"/>
    <x v="6"/>
    <n v="2500"/>
    <n v="0"/>
    <n v="0"/>
    <n v="0"/>
    <x v="5"/>
    <n v="0"/>
  </r>
  <r>
    <x v="2"/>
    <x v="6"/>
    <n v="3760272"/>
    <n v="2825582.9249999998"/>
    <n v="2794316.165"/>
    <n v="2771984.87"/>
    <x v="5"/>
    <n v="0.75143046167936778"/>
  </r>
  <r>
    <x v="2"/>
    <x v="6"/>
    <n v="2809900"/>
    <n v="2509418.0649999999"/>
    <n v="2166619.6949999998"/>
    <n v="2106781.31"/>
    <x v="5"/>
    <n v="0.89306312146339728"/>
  </r>
  <r>
    <x v="2"/>
    <x v="6"/>
    <n v="7500"/>
    <n v="4812.5"/>
    <n v="3359.5050000000001"/>
    <n v="3334.3274999999999"/>
    <x v="5"/>
    <n v="0.64166666666666672"/>
  </r>
  <r>
    <x v="2"/>
    <x v="6"/>
    <n v="250000"/>
    <n v="11290.9125"/>
    <n v="10867.1625"/>
    <n v="8409.6625000000004"/>
    <x v="5"/>
    <n v="4.516365E-2"/>
  </r>
  <r>
    <x v="2"/>
    <x v="6"/>
    <n v="2550000"/>
    <n v="2235835.7755"/>
    <n v="2235835.7755"/>
    <n v="2235835.7755"/>
    <x v="5"/>
    <n v="0.87679834333333329"/>
  </r>
  <r>
    <x v="2"/>
    <x v="6"/>
    <n v="46317"/>
    <n v="29386.45"/>
    <n v="23151.7425"/>
    <n v="20307.625"/>
    <x v="5"/>
    <n v="0.63446358788349855"/>
  </r>
  <r>
    <x v="2"/>
    <x v="6"/>
    <n v="152500"/>
    <n v="31420"/>
    <n v="31420"/>
    <n v="31420"/>
    <x v="5"/>
    <n v="0.2060327868852459"/>
  </r>
  <r>
    <x v="2"/>
    <x v="6"/>
    <n v="316780"/>
    <n v="442713.92499999999"/>
    <n v="439930.67249999999"/>
    <n v="439780.16499999998"/>
    <x v="5"/>
    <n v="1.3975438001136435"/>
  </r>
  <r>
    <x v="2"/>
    <x v="6"/>
    <n v="154115"/>
    <n v="124509.4825"/>
    <n v="121625.2225"/>
    <n v="121493.875"/>
    <x v="5"/>
    <n v="0.80789983129481235"/>
  </r>
  <r>
    <x v="2"/>
    <x v="6"/>
    <n v="710911"/>
    <n v="246653.965"/>
    <n v="222909.595"/>
    <n v="212393.1925"/>
    <x v="5"/>
    <n v="0.3469547735229867"/>
  </r>
  <r>
    <x v="2"/>
    <x v="6"/>
    <n v="81471"/>
    <n v="91534.625"/>
    <n v="82072.057499999995"/>
    <n v="81676.802500000005"/>
    <x v="5"/>
    <n v="1.1235240146800702"/>
  </r>
  <r>
    <x v="2"/>
    <x v="6"/>
    <n v="91821"/>
    <n v="67291.002500000002"/>
    <n v="60306.577499999999"/>
    <n v="59304.077499999999"/>
    <x v="5"/>
    <n v="0.73284981104540359"/>
  </r>
  <r>
    <x v="2"/>
    <x v="6"/>
    <n v="2451751"/>
    <n v="2072731.95"/>
    <n v="2034488.5049999999"/>
    <n v="2024255.1274999999"/>
    <x v="5"/>
    <n v="0.8454088322998542"/>
  </r>
  <r>
    <x v="2"/>
    <x v="6"/>
    <n v="8367786"/>
    <n v="7665244.5"/>
    <n v="7331863.2699999996"/>
    <n v="7280575.0575000001"/>
    <x v="5"/>
    <n v="0.91604212870644641"/>
  </r>
  <r>
    <x v="2"/>
    <x v="7"/>
    <n v="1550"/>
    <n v="607.5"/>
    <n v="607.5"/>
    <n v="607.5"/>
    <x v="5"/>
    <n v="0.39193548387096772"/>
  </r>
  <r>
    <x v="2"/>
    <x v="7"/>
    <n v="13000"/>
    <n v="1012.5"/>
    <n v="1012.5"/>
    <n v="1012.5"/>
    <x v="5"/>
    <n v="7.7884615384615385E-2"/>
  </r>
  <r>
    <x v="2"/>
    <x v="7"/>
    <n v="50625"/>
    <n v="63129.987500000003"/>
    <n v="48379.99"/>
    <n v="28362.49"/>
    <x v="5"/>
    <n v="1.2470120987654321"/>
  </r>
  <r>
    <x v="2"/>
    <x v="7"/>
    <n v="8500"/>
    <n v="32010"/>
    <n v="29342.5"/>
    <n v="26675"/>
    <x v="5"/>
    <n v="3.7658823529411767"/>
  </r>
  <r>
    <x v="2"/>
    <x v="7"/>
    <n v="8500"/>
    <n v="0"/>
    <n v="0"/>
    <n v="0"/>
    <x v="5"/>
    <n v="0"/>
  </r>
  <r>
    <x v="2"/>
    <x v="7"/>
    <n v="1500"/>
    <n v="7.5"/>
    <n v="7.5"/>
    <n v="7.5"/>
    <x v="5"/>
    <n v="5.0000000000000001E-3"/>
  </r>
  <r>
    <x v="2"/>
    <x v="7"/>
    <n v="8500"/>
    <n v="3783.84"/>
    <n v="3201.09"/>
    <n v="2961.09"/>
    <x v="5"/>
    <n v="0.44515764705882355"/>
  </r>
  <r>
    <x v="2"/>
    <x v="7"/>
    <n v="1500"/>
    <n v="0"/>
    <n v="0"/>
    <n v="0"/>
    <x v="5"/>
    <n v="0"/>
  </r>
  <r>
    <x v="2"/>
    <x v="7"/>
    <n v="1500"/>
    <n v="0"/>
    <n v="0"/>
    <n v="0"/>
    <x v="5"/>
    <n v="0"/>
  </r>
  <r>
    <x v="2"/>
    <x v="7"/>
    <n v="1250"/>
    <n v="0"/>
    <n v="0"/>
    <n v="0"/>
    <x v="5"/>
    <n v="0"/>
  </r>
  <r>
    <x v="2"/>
    <x v="7"/>
    <n v="2000"/>
    <n v="0"/>
    <n v="0"/>
    <n v="0"/>
    <x v="5"/>
    <n v="0"/>
  </r>
  <r>
    <x v="2"/>
    <x v="7"/>
    <n v="1250"/>
    <n v="4743.2250000000004"/>
    <n v="2243.2249999999999"/>
    <n v="1635.1075000000001"/>
    <x v="5"/>
    <n v="3.7945800000000003"/>
  </r>
  <r>
    <x v="2"/>
    <x v="7"/>
    <n v="1250"/>
    <n v="0"/>
    <n v="0"/>
    <n v="0"/>
    <x v="5"/>
    <n v="0"/>
  </r>
  <r>
    <x v="2"/>
    <x v="7"/>
    <n v="1250"/>
    <n v="0"/>
    <n v="0"/>
    <n v="0"/>
    <x v="5"/>
    <n v="0"/>
  </r>
  <r>
    <x v="2"/>
    <x v="7"/>
    <n v="8750"/>
    <n v="0"/>
    <n v="0"/>
    <n v="0"/>
    <x v="5"/>
    <n v="0"/>
  </r>
  <r>
    <x v="2"/>
    <x v="7"/>
    <n v="25000"/>
    <n v="0"/>
    <n v="0"/>
    <n v="0"/>
    <x v="5"/>
    <n v="0"/>
  </r>
  <r>
    <x v="2"/>
    <x v="7"/>
    <n v="25000"/>
    <n v="0"/>
    <n v="0"/>
    <n v="0"/>
    <x v="5"/>
    <n v="0"/>
  </r>
  <r>
    <x v="2"/>
    <x v="7"/>
    <n v="12500"/>
    <n v="0"/>
    <n v="0"/>
    <n v="0"/>
    <x v="5"/>
    <n v="0"/>
  </r>
  <r>
    <x v="2"/>
    <x v="7"/>
    <n v="2375"/>
    <n v="28.975000000000001"/>
    <n v="28.975000000000001"/>
    <n v="28.975000000000001"/>
    <x v="5"/>
    <n v="1.2200000000000001E-2"/>
  </r>
  <r>
    <x v="2"/>
    <x v="7"/>
    <n v="29050"/>
    <n v="48358.947500000002"/>
    <n v="42357.0075"/>
    <n v="42357.0075"/>
    <x v="5"/>
    <n v="1.6646797762478487"/>
  </r>
  <r>
    <x v="2"/>
    <x v="7"/>
    <n v="28350"/>
    <n v="2562.3924999999999"/>
    <n v="2397.5"/>
    <n v="2397.5"/>
    <x v="5"/>
    <n v="9.0384215167548493E-2"/>
  </r>
  <r>
    <x v="2"/>
    <x v="7"/>
    <n v="2000"/>
    <n v="426"/>
    <n v="276"/>
    <n v="0"/>
    <x v="5"/>
    <n v="0.21299999999999999"/>
  </r>
  <r>
    <x v="2"/>
    <x v="7"/>
    <n v="5500"/>
    <n v="201257.465"/>
    <n v="180520.54"/>
    <n v="180520.54"/>
    <x v="5"/>
    <n v="36.592266363636362"/>
  </r>
  <r>
    <x v="2"/>
    <x v="7"/>
    <n v="880000"/>
    <n v="295824.47499999998"/>
    <n v="264030.92"/>
    <n v="263398.40500000003"/>
    <x v="5"/>
    <n v="0.33616417613636362"/>
  </r>
  <r>
    <x v="2"/>
    <x v="7"/>
    <n v="40000"/>
    <n v="0"/>
    <n v="0"/>
    <n v="0"/>
    <x v="5"/>
    <n v="0"/>
  </r>
  <r>
    <x v="2"/>
    <x v="7"/>
    <n v="69000"/>
    <n v="0"/>
    <n v="0"/>
    <n v="0"/>
    <x v="5"/>
    <n v="0"/>
  </r>
  <r>
    <x v="2"/>
    <x v="7"/>
    <n v="17250"/>
    <n v="0"/>
    <n v="0"/>
    <n v="0"/>
    <x v="5"/>
    <n v="0"/>
  </r>
  <r>
    <x v="2"/>
    <x v="7"/>
    <n v="30000"/>
    <n v="0"/>
    <n v="0"/>
    <n v="0"/>
    <x v="5"/>
    <n v="0"/>
  </r>
  <r>
    <x v="2"/>
    <x v="7"/>
    <n v="117750"/>
    <n v="121902.8075"/>
    <n v="81268.535000000003"/>
    <n v="81268.535000000003"/>
    <x v="5"/>
    <n v="1.0352680042462845"/>
  </r>
  <r>
    <x v="2"/>
    <x v="7"/>
    <n v="1252000"/>
    <n v="2048387.0375000001"/>
    <n v="2048387.0375000001"/>
    <n v="2048387.0375000001"/>
    <x v="5"/>
    <n v="1.6360918829872204"/>
  </r>
  <r>
    <x v="2"/>
    <x v="7"/>
    <n v="19562"/>
    <n v="0"/>
    <n v="0"/>
    <n v="0"/>
    <x v="5"/>
    <n v="0"/>
  </r>
  <r>
    <x v="1"/>
    <x v="3"/>
    <n v="502519"/>
    <n v="0"/>
    <n v="0"/>
    <n v="0"/>
    <x v="5"/>
    <n v="0"/>
  </r>
  <r>
    <x v="1"/>
    <x v="3"/>
    <n v="1105992"/>
    <n v="0"/>
    <n v="0"/>
    <n v="0"/>
    <x v="5"/>
    <n v="0"/>
  </r>
  <r>
    <x v="1"/>
    <x v="3"/>
    <n v="224643"/>
    <n v="8530.5774999999994"/>
    <n v="8530.5774999999994"/>
    <n v="0"/>
    <x v="5"/>
    <n v="3.7973929746308588E-2"/>
  </r>
  <r>
    <x v="1"/>
    <x v="3"/>
    <n v="1224433"/>
    <n v="50237.5"/>
    <n v="35037.5"/>
    <n v="29312.5"/>
    <x v="5"/>
    <n v="4.1029194737482573E-2"/>
  </r>
  <r>
    <x v="1"/>
    <x v="3"/>
    <n v="106500"/>
    <n v="0"/>
    <n v="0"/>
    <n v="0"/>
    <x v="5"/>
    <n v="0"/>
  </r>
  <r>
    <x v="1"/>
    <x v="3"/>
    <n v="365999"/>
    <n v="76934.5"/>
    <n v="68676.3"/>
    <n v="68676.3"/>
    <x v="5"/>
    <n v="0.21020412624078208"/>
  </r>
  <r>
    <x v="1"/>
    <x v="3"/>
    <n v="503302"/>
    <n v="696305.505"/>
    <n v="638467.69999999995"/>
    <n v="612677.58499999996"/>
    <x v="5"/>
    <n v="1.383474544110693"/>
  </r>
  <r>
    <x v="1"/>
    <x v="3"/>
    <n v="165195"/>
    <n v="21892.27"/>
    <n v="21892.27"/>
    <n v="21892.27"/>
    <x v="5"/>
    <n v="0.13252380519991525"/>
  </r>
  <r>
    <x v="1"/>
    <x v="3"/>
    <n v="528180"/>
    <n v="74165.279999999999"/>
    <n v="11665.28"/>
    <n v="11665.28"/>
    <x v="5"/>
    <n v="0.14041667613313644"/>
  </r>
  <r>
    <x v="1"/>
    <x v="3"/>
    <n v="1934875"/>
    <n v="667467.5"/>
    <n v="598073.75"/>
    <n v="598073.75"/>
    <x v="5"/>
    <n v="0.34496672911686799"/>
  </r>
  <r>
    <x v="1"/>
    <x v="3"/>
    <n v="308750"/>
    <n v="199250"/>
    <n v="153562.5"/>
    <n v="153562.5"/>
    <x v="5"/>
    <n v="0.64534412955465592"/>
  </r>
  <r>
    <x v="1"/>
    <x v="3"/>
    <n v="8250"/>
    <n v="0"/>
    <n v="0"/>
    <n v="0"/>
    <x v="5"/>
    <n v="0"/>
  </r>
  <r>
    <x v="1"/>
    <x v="3"/>
    <n v="31000"/>
    <n v="10125"/>
    <n v="10125"/>
    <n v="10125"/>
    <x v="5"/>
    <n v="0.32661290322580644"/>
  </r>
  <r>
    <x v="1"/>
    <x v="3"/>
    <n v="1500"/>
    <n v="0"/>
    <n v="0"/>
    <n v="0"/>
    <x v="5"/>
    <n v="0"/>
  </r>
  <r>
    <x v="1"/>
    <x v="3"/>
    <n v="1098641"/>
    <n v="642518.90249999997"/>
    <n v="614007.67500000005"/>
    <n v="578137.31499999994"/>
    <x v="5"/>
    <n v="0.58483062483559234"/>
  </r>
  <r>
    <x v="1"/>
    <x v="3"/>
    <n v="1392930"/>
    <n v="491703.31"/>
    <n v="420822.11"/>
    <n v="380802.65250000003"/>
    <x v="5"/>
    <n v="0.35299929644705763"/>
  </r>
  <r>
    <x v="1"/>
    <x v="3"/>
    <n v="599276"/>
    <n v="0"/>
    <n v="0"/>
    <n v="0"/>
    <x v="5"/>
    <n v="0"/>
  </r>
  <r>
    <x v="1"/>
    <x v="3"/>
    <n v="6500"/>
    <n v="0"/>
    <n v="0"/>
    <n v="0"/>
    <x v="5"/>
    <n v="0"/>
  </r>
  <r>
    <x v="1"/>
    <x v="3"/>
    <n v="151750"/>
    <n v="0"/>
    <n v="0"/>
    <n v="0"/>
    <x v="5"/>
    <n v="0"/>
  </r>
  <r>
    <x v="1"/>
    <x v="3"/>
    <n v="1920319"/>
    <n v="4454995.3875000002"/>
    <n v="4272453.0149999997"/>
    <n v="4264214.1425000001"/>
    <x v="5"/>
    <n v="2.3199246518416992"/>
  </r>
  <r>
    <x v="1"/>
    <x v="3"/>
    <n v="248471"/>
    <n v="4808025.9074999997"/>
    <n v="4446275.085"/>
    <n v="3535148.5150000001"/>
    <x v="5"/>
    <n v="19.350450988244098"/>
  </r>
  <r>
    <x v="1"/>
    <x v="3"/>
    <n v="373123"/>
    <n v="133216.8775"/>
    <n v="133216.8775"/>
    <n v="113702.56"/>
    <x v="5"/>
    <n v="0.35703207119368147"/>
  </r>
  <r>
    <x v="1"/>
    <x v="3"/>
    <n v="6324557"/>
    <n v="3317702.2875000001"/>
    <n v="2403122.3574999999"/>
    <n v="2303953.15"/>
    <x v="5"/>
    <n v="0.52457465202701159"/>
  </r>
  <r>
    <x v="1"/>
    <x v="3"/>
    <n v="269008"/>
    <n v="37776.842499999999"/>
    <n v="24746.924999999999"/>
    <n v="24746.924999999999"/>
    <x v="5"/>
    <n v="0.1404301823737584"/>
  </r>
  <r>
    <x v="1"/>
    <x v="3"/>
    <n v="492783"/>
    <n v="220544.25"/>
    <n v="155108.57750000001"/>
    <n v="155108.57750000001"/>
    <x v="5"/>
    <n v="0.44754841380485932"/>
  </r>
  <r>
    <x v="1"/>
    <x v="3"/>
    <n v="1431414"/>
    <n v="970720.72"/>
    <n v="739659.10250000004"/>
    <n v="701816.12250000006"/>
    <x v="5"/>
    <n v="0.6781551109602113"/>
  </r>
  <r>
    <x v="1"/>
    <x v="3"/>
    <n v="2000714"/>
    <n v="118211.825"/>
    <n v="118211.825"/>
    <n v="118211.825"/>
    <x v="5"/>
    <n v="5.908481921953862E-2"/>
  </r>
  <r>
    <x v="1"/>
    <x v="3"/>
    <n v="860718"/>
    <n v="597240.97750000004"/>
    <n v="453956.065"/>
    <n v="453956.065"/>
    <x v="5"/>
    <n v="0.69388693799827594"/>
  </r>
  <r>
    <x v="1"/>
    <x v="3"/>
    <n v="771425"/>
    <n v="2780.5475000000001"/>
    <n v="2780.5475000000001"/>
    <n v="2780.5475000000001"/>
    <x v="5"/>
    <n v="3.6044301131023756E-3"/>
  </r>
  <r>
    <x v="1"/>
    <x v="3"/>
    <n v="8593614"/>
    <n v="3123814.4224999999"/>
    <n v="2132704.0924999998"/>
    <n v="2132704.0924999998"/>
    <x v="5"/>
    <n v="0.36350415814580456"/>
  </r>
  <r>
    <x v="1"/>
    <x v="3"/>
    <n v="219999"/>
    <n v="66195.212499999994"/>
    <n v="47524.364999999998"/>
    <n v="40853.245000000003"/>
    <x v="5"/>
    <n v="0.30088869722135098"/>
  </r>
  <r>
    <x v="1"/>
    <x v="3"/>
    <n v="7892304"/>
    <n v="4635858.5225"/>
    <n v="3815474.415"/>
    <n v="3648098.9525000001"/>
    <x v="5"/>
    <n v="0.58738975621060718"/>
  </r>
  <r>
    <x v="1"/>
    <x v="3"/>
    <n v="9784995"/>
    <n v="4161018.1025"/>
    <n v="3190078.1749999998"/>
    <n v="2620794.5150000001"/>
    <x v="5"/>
    <n v="0.42524478576636981"/>
  </r>
  <r>
    <x v="1"/>
    <x v="3"/>
    <n v="1532120"/>
    <n v="1088131.9325000001"/>
    <n v="1045766.015"/>
    <n v="855371.51"/>
    <x v="5"/>
    <n v="0.71021325516278111"/>
  </r>
  <r>
    <x v="1"/>
    <x v="3"/>
    <n v="169416"/>
    <n v="0"/>
    <n v="0"/>
    <n v="0"/>
    <x v="5"/>
    <n v="0"/>
  </r>
  <r>
    <x v="1"/>
    <x v="3"/>
    <n v="328500"/>
    <n v="0"/>
    <n v="0"/>
    <n v="0"/>
    <x v="5"/>
    <n v="0"/>
  </r>
  <r>
    <x v="1"/>
    <x v="3"/>
    <n v="2553100"/>
    <n v="45500"/>
    <n v="31789.5"/>
    <n v="31789.5"/>
    <x v="5"/>
    <n v="1.782147193607771E-2"/>
  </r>
  <r>
    <x v="1"/>
    <x v="3"/>
    <n v="18750"/>
    <n v="0"/>
    <n v="0"/>
    <n v="0"/>
    <x v="5"/>
    <n v="0"/>
  </r>
  <r>
    <x v="1"/>
    <x v="3"/>
    <n v="9750"/>
    <n v="1177.04"/>
    <n v="1177.04"/>
    <n v="1177.04"/>
    <x v="5"/>
    <n v="0.12072205128205128"/>
  </r>
  <r>
    <x v="1"/>
    <x v="3"/>
    <n v="111000"/>
    <n v="0"/>
    <n v="0"/>
    <n v="0"/>
    <x v="5"/>
    <n v="0"/>
  </r>
  <r>
    <x v="1"/>
    <x v="3"/>
    <n v="215048"/>
    <n v="23317.327499999999"/>
    <n v="23317.327499999999"/>
    <n v="23317.327499999999"/>
    <x v="5"/>
    <n v="0.10842847875823072"/>
  </r>
  <r>
    <x v="1"/>
    <x v="4"/>
    <n v="9616750"/>
    <n v="11391911.824999999"/>
    <n v="10201267.6175"/>
    <n v="10201267.6175"/>
    <x v="5"/>
    <n v="1.1845906179322536"/>
  </r>
  <r>
    <x v="1"/>
    <x v="4"/>
    <n v="363750"/>
    <n v="0"/>
    <n v="0"/>
    <n v="0"/>
    <x v="5"/>
    <n v="0"/>
  </r>
  <r>
    <x v="1"/>
    <x v="4"/>
    <n v="27163998"/>
    <n v="25290534.077500001"/>
    <n v="22370909.112500001"/>
    <n v="22370909.112500001"/>
    <x v="5"/>
    <n v="0.931031362817064"/>
  </r>
  <r>
    <x v="1"/>
    <x v="4"/>
    <n v="1600063"/>
    <n v="1278042.83"/>
    <n v="1073309.6399999999"/>
    <n v="1071005.7075"/>
    <x v="5"/>
    <n v="0.79874531815309779"/>
  </r>
  <r>
    <x v="1"/>
    <x v="4"/>
    <n v="8824996"/>
    <n v="5649888.6150000002"/>
    <n v="4288524.1475"/>
    <n v="4288524.1475"/>
    <x v="5"/>
    <n v="0.64021429754755699"/>
  </r>
  <r>
    <x v="1"/>
    <x v="4"/>
    <n v="27963920"/>
    <n v="26739019.094999999"/>
    <n v="25757165.032499999"/>
    <n v="25259105.232500002"/>
    <x v="5"/>
    <n v="0.95619709593647806"/>
  </r>
  <r>
    <x v="1"/>
    <x v="4"/>
    <n v="151582152"/>
    <n v="25294381.462499999"/>
    <n v="15479335.529999999"/>
    <n v="13871760.237500001"/>
    <x v="5"/>
    <n v="0.16686912759029834"/>
  </r>
  <r>
    <x v="1"/>
    <x v="4"/>
    <n v="3126954"/>
    <n v="205410.2525"/>
    <n v="164763.22"/>
    <n v="155260.17499999999"/>
    <x v="5"/>
    <n v="6.5690206027974832E-2"/>
  </r>
  <r>
    <x v="1"/>
    <x v="4"/>
    <n v="11053515"/>
    <n v="3165380.1974999998"/>
    <n v="1569814.5325"/>
    <n v="1529045.3525"/>
    <x v="5"/>
    <n v="0.28636865264126388"/>
  </r>
  <r>
    <x v="1"/>
    <x v="4"/>
    <n v="23809809"/>
    <n v="26917567.675000001"/>
    <n v="23570875.2775"/>
    <n v="23449663.802499998"/>
    <x v="5"/>
    <n v="1.1305243009299235"/>
  </r>
  <r>
    <x v="1"/>
    <x v="4"/>
    <n v="440000"/>
    <n v="1926074.7475000001"/>
    <n v="0"/>
    <n v="0"/>
    <x v="5"/>
    <n v="4.3774426079545457"/>
  </r>
  <r>
    <x v="1"/>
    <x v="4"/>
    <n v="473223"/>
    <n v="15225.35"/>
    <n v="12041.254999999999"/>
    <n v="12041.254999999999"/>
    <x v="5"/>
    <n v="3.2173732045991006E-2"/>
  </r>
  <r>
    <x v="1"/>
    <x v="4"/>
    <n v="931695"/>
    <n v="784293.75"/>
    <n v="578276.33250000002"/>
    <n v="578276.33250000002"/>
    <x v="5"/>
    <n v="0.84179237840709675"/>
  </r>
  <r>
    <x v="1"/>
    <x v="4"/>
    <n v="2037499"/>
    <n v="0"/>
    <n v="0"/>
    <n v="0"/>
    <x v="5"/>
    <n v="0"/>
  </r>
  <r>
    <x v="1"/>
    <x v="5"/>
    <n v="0"/>
    <n v="8452117.7825000007"/>
    <n v="7251080.4424999999"/>
    <n v="7095704.5274999999"/>
    <x v="5"/>
    <n v="0"/>
  </r>
  <r>
    <x v="1"/>
    <x v="5"/>
    <n v="135500"/>
    <n v="0"/>
    <n v="0"/>
    <n v="0"/>
    <x v="5"/>
    <n v="0"/>
  </r>
  <r>
    <x v="1"/>
    <x v="5"/>
    <n v="25000"/>
    <n v="0"/>
    <n v="0"/>
    <n v="0"/>
    <x v="5"/>
    <n v="0"/>
  </r>
  <r>
    <x v="1"/>
    <x v="5"/>
    <n v="2038262"/>
    <n v="1924331.78"/>
    <n v="518610.65"/>
    <n v="490527.0675"/>
    <x v="5"/>
    <n v="0.94410423193877924"/>
  </r>
  <r>
    <x v="1"/>
    <x v="5"/>
    <n v="975000"/>
    <n v="0"/>
    <n v="0"/>
    <n v="0"/>
    <x v="5"/>
    <n v="0"/>
  </r>
  <r>
    <x v="1"/>
    <x v="5"/>
    <n v="9100000"/>
    <n v="0"/>
    <n v="0"/>
    <n v="0"/>
    <x v="5"/>
    <n v="0"/>
  </r>
  <r>
    <x v="1"/>
    <x v="5"/>
    <n v="2700000"/>
    <n v="0"/>
    <n v="0"/>
    <n v="0"/>
    <x v="5"/>
    <n v="0"/>
  </r>
  <r>
    <x v="1"/>
    <x v="5"/>
    <n v="27593500"/>
    <n v="16621947.532500001"/>
    <n v="10580761.872500001"/>
    <n v="10431815.067500001"/>
    <x v="5"/>
    <n v="0.6023863421639154"/>
  </r>
  <r>
    <x v="1"/>
    <x v="5"/>
    <n v="546050"/>
    <n v="97874.402499999997"/>
    <n v="97798.927500000005"/>
    <n v="97798.927500000005"/>
    <x v="5"/>
    <n v="0.17924073344931782"/>
  </r>
  <r>
    <x v="1"/>
    <x v="5"/>
    <n v="85689000"/>
    <n v="63874764.1325"/>
    <n v="63848494.134999998"/>
    <n v="63570323.5625"/>
    <x v="5"/>
    <n v="0.74542548206304193"/>
  </r>
  <r>
    <x v="1"/>
    <x v="5"/>
    <n v="5605850"/>
    <n v="3764212.9224999999"/>
    <n v="2770435.3875000002"/>
    <n v="2725673.91"/>
    <x v="5"/>
    <n v="0.671479422835074"/>
  </r>
  <r>
    <x v="1"/>
    <x v="5"/>
    <n v="300000"/>
    <n v="0"/>
    <n v="0"/>
    <n v="0"/>
    <x v="5"/>
    <n v="0"/>
  </r>
  <r>
    <x v="1"/>
    <x v="5"/>
    <n v="6624"/>
    <n v="12215.032499999999"/>
    <n v="8607.1224999999995"/>
    <n v="8607.1224999999995"/>
    <x v="5"/>
    <n v="1.8440568387681158"/>
  </r>
  <r>
    <x v="1"/>
    <x v="5"/>
    <n v="480128"/>
    <n v="36295.364999999998"/>
    <n v="31623.787499999999"/>
    <n v="25462.8825"/>
    <x v="5"/>
    <n v="7.559518503399093E-2"/>
  </r>
  <r>
    <x v="1"/>
    <x v="5"/>
    <n v="241027"/>
    <n v="0"/>
    <n v="0"/>
    <n v="0"/>
    <x v="5"/>
    <n v="0"/>
  </r>
  <r>
    <x v="1"/>
    <x v="5"/>
    <n v="4249143"/>
    <n v="3687496.7450000001"/>
    <n v="3664917.335"/>
    <n v="3609973.0375000001"/>
    <x v="5"/>
    <n v="0.86782128655119395"/>
  </r>
  <r>
    <x v="1"/>
    <x v="5"/>
    <n v="39226100"/>
    <n v="33034997.039999999"/>
    <n v="25182272.274999999"/>
    <n v="24285083.9575"/>
    <x v="5"/>
    <n v="0.84216878659871863"/>
  </r>
  <r>
    <x v="1"/>
    <x v="5"/>
    <n v="25000"/>
    <n v="0"/>
    <n v="0"/>
    <n v="0"/>
    <x v="5"/>
    <n v="0"/>
  </r>
  <r>
    <x v="1"/>
    <x v="5"/>
    <n v="160564789"/>
    <n v="172261140.08750001"/>
    <n v="170996868.62"/>
    <n v="170996868.62"/>
    <x v="5"/>
    <n v="1.0728450562563876"/>
  </r>
  <r>
    <x v="1"/>
    <x v="5"/>
    <n v="93750"/>
    <n v="0"/>
    <n v="0"/>
    <n v="0"/>
    <x v="5"/>
    <n v="0"/>
  </r>
  <r>
    <x v="1"/>
    <x v="5"/>
    <n v="7714000"/>
    <n v="1571502.3474999999"/>
    <n v="856098.32499999995"/>
    <n v="846872.1"/>
    <x v="5"/>
    <n v="0.2037208124837957"/>
  </r>
  <r>
    <x v="1"/>
    <x v="5"/>
    <n v="16182071"/>
    <n v="14055500.3025"/>
    <n v="13872660.602499999"/>
    <n v="13672128.7325"/>
    <x v="5"/>
    <n v="0.86858476288356412"/>
  </r>
  <r>
    <x v="1"/>
    <x v="5"/>
    <n v="11980178"/>
    <n v="10685156.68"/>
    <n v="9540788.2324999999"/>
    <n v="9326445.9774999991"/>
    <x v="5"/>
    <n v="0.89190299843625021"/>
  </r>
  <r>
    <x v="1"/>
    <x v="5"/>
    <n v="38444925"/>
    <n v="35405033.045000002"/>
    <n v="33912447.865000002"/>
    <n v="33394070.899999999"/>
    <x v="5"/>
    <n v="0.92092865430222592"/>
  </r>
  <r>
    <x v="1"/>
    <x v="5"/>
    <n v="1918284"/>
    <n v="1314202.165"/>
    <n v="976671.06"/>
    <n v="945546.29249999998"/>
    <x v="5"/>
    <n v="0.68509259577831016"/>
  </r>
  <r>
    <x v="1"/>
    <x v="5"/>
    <n v="475425"/>
    <n v="279335.92499999999"/>
    <n v="223630.42"/>
    <n v="210659.33249999999"/>
    <x v="5"/>
    <n v="0.58754992901088499"/>
  </r>
  <r>
    <x v="1"/>
    <x v="5"/>
    <n v="1141024"/>
    <n v="639366.98"/>
    <n v="462590.63250000001"/>
    <n v="429149.20500000002"/>
    <x v="5"/>
    <n v="0.56034490072075605"/>
  </r>
  <r>
    <x v="1"/>
    <x v="5"/>
    <n v="953375"/>
    <n v="2306634.2000000002"/>
    <n v="1780677.15"/>
    <n v="1744193.2775000001"/>
    <x v="5"/>
    <n v="2.4194406188540714"/>
  </r>
  <r>
    <x v="1"/>
    <x v="5"/>
    <n v="1914750"/>
    <n v="2110056.2400000002"/>
    <n v="1587776.615"/>
    <n v="1587776.615"/>
    <x v="5"/>
    <n v="1.1020009087348219"/>
  </r>
  <r>
    <x v="1"/>
    <x v="5"/>
    <n v="1872860"/>
    <n v="1435120.6850000001"/>
    <n v="1305632.7324999999"/>
    <n v="1226895.2849999999"/>
    <x v="5"/>
    <n v="0.76627227075168458"/>
  </r>
  <r>
    <x v="1"/>
    <x v="5"/>
    <n v="28750"/>
    <n v="68.75"/>
    <n v="0"/>
    <n v="0"/>
    <x v="5"/>
    <n v="2.3913043478260869E-3"/>
  </r>
  <r>
    <x v="1"/>
    <x v="5"/>
    <n v="4789250"/>
    <n v="2729225.4575"/>
    <n v="2084677.0625"/>
    <n v="2041390.8025"/>
    <x v="5"/>
    <n v="0.5698648969045258"/>
  </r>
  <r>
    <x v="1"/>
    <x v="5"/>
    <n v="88843000"/>
    <n v="88231491.560000002"/>
    <n v="73219563.775000006"/>
    <n v="73104721.209999993"/>
    <x v="5"/>
    <n v="0.99311697668921584"/>
  </r>
  <r>
    <x v="1"/>
    <x v="5"/>
    <n v="87500"/>
    <n v="0"/>
    <n v="0"/>
    <n v="0"/>
    <x v="5"/>
    <n v="0"/>
  </r>
  <r>
    <x v="1"/>
    <x v="5"/>
    <n v="5527750"/>
    <n v="5506442.4500000002"/>
    <n v="4548305.3274999997"/>
    <n v="4275764.9474999998"/>
    <x v="5"/>
    <n v="0.99614534846908787"/>
  </r>
  <r>
    <x v="1"/>
    <x v="5"/>
    <n v="21275000"/>
    <n v="17155379.322500002"/>
    <n v="12632635.640000001"/>
    <n v="12101298.484999999"/>
    <x v="5"/>
    <n v="0.80636330540540546"/>
  </r>
  <r>
    <x v="1"/>
    <x v="5"/>
    <n v="3294000"/>
    <n v="2382572.3325"/>
    <n v="2374886.415"/>
    <n v="2374886.415"/>
    <x v="5"/>
    <n v="0.72330671903460841"/>
  </r>
  <r>
    <x v="1"/>
    <x v="5"/>
    <n v="852250"/>
    <n v="0"/>
    <n v="0"/>
    <n v="0"/>
    <x v="5"/>
    <n v="0"/>
  </r>
  <r>
    <x v="1"/>
    <x v="5"/>
    <n v="4792400"/>
    <n v="4069998.1"/>
    <n v="3788980.7825000002"/>
    <n v="3262873.5175000001"/>
    <x v="5"/>
    <n v="0.84926093397879976"/>
  </r>
  <r>
    <x v="1"/>
    <x v="5"/>
    <n v="50000"/>
    <n v="0"/>
    <n v="0"/>
    <n v="0"/>
    <x v="5"/>
    <n v="0"/>
  </r>
  <r>
    <x v="1"/>
    <x v="5"/>
    <n v="2492381"/>
    <n v="696711.5675"/>
    <n v="491640.16249999998"/>
    <n v="490758.10499999998"/>
    <x v="5"/>
    <n v="0.27953654256712757"/>
  </r>
  <r>
    <x v="1"/>
    <x v="5"/>
    <n v="31762500"/>
    <n v="24651722.954999998"/>
    <n v="22358451.375"/>
    <n v="22358451.375"/>
    <x v="5"/>
    <n v="0.77612665737898456"/>
  </r>
  <r>
    <x v="1"/>
    <x v="5"/>
    <n v="251209102"/>
    <n v="278352348.21749997"/>
    <n v="240209724.7525"/>
    <n v="239012630.88"/>
    <x v="5"/>
    <n v="1.108050409007473"/>
  </r>
  <r>
    <x v="1"/>
    <x v="5"/>
    <n v="4675000"/>
    <n v="9876764.4550000001"/>
    <n v="7482393.9225000003"/>
    <n v="7449876.3049999997"/>
    <x v="5"/>
    <n v="2.1126768887700536"/>
  </r>
  <r>
    <x v="1"/>
    <x v="5"/>
    <n v="75746250"/>
    <n v="69899477.435000002"/>
    <n v="62520996.789999999"/>
    <n v="62479344.482500002"/>
    <x v="5"/>
    <n v="0.92281106239582822"/>
  </r>
  <r>
    <x v="1"/>
    <x v="5"/>
    <n v="50000"/>
    <n v="0"/>
    <n v="0"/>
    <n v="0"/>
    <x v="5"/>
    <n v="0"/>
  </r>
  <r>
    <x v="1"/>
    <x v="5"/>
    <n v="7006800"/>
    <n v="3738676.1349999998"/>
    <n v="2984379.4125000001"/>
    <n v="2680714.3774999999"/>
    <x v="5"/>
    <n v="0.5335782575498087"/>
  </r>
  <r>
    <x v="1"/>
    <x v="5"/>
    <n v="112500"/>
    <n v="0"/>
    <n v="0"/>
    <n v="0"/>
    <x v="5"/>
    <n v="0"/>
  </r>
  <r>
    <x v="1"/>
    <x v="5"/>
    <n v="155250"/>
    <n v="64202.13"/>
    <n v="41240.872499999998"/>
    <n v="39579.682500000003"/>
    <x v="5"/>
    <n v="0.41354028985507246"/>
  </r>
  <r>
    <x v="1"/>
    <x v="5"/>
    <n v="1154250"/>
    <n v="422409.15"/>
    <n v="372818.76250000001"/>
    <n v="352014.60749999998"/>
    <x v="5"/>
    <n v="0.36595984405458093"/>
  </r>
  <r>
    <x v="1"/>
    <x v="5"/>
    <n v="3074500"/>
    <n v="2961938.2749999999"/>
    <n v="2589759.8250000002"/>
    <n v="2386076.5874999999"/>
    <x v="5"/>
    <n v="0.96338860790372416"/>
  </r>
  <r>
    <x v="1"/>
    <x v="5"/>
    <n v="10202250"/>
    <n v="1932795.7825"/>
    <n v="1744611.37"/>
    <n v="1744611.37"/>
    <x v="5"/>
    <n v="0.18944799259967163"/>
  </r>
  <r>
    <x v="1"/>
    <x v="5"/>
    <n v="3138675"/>
    <n v="2100728.7549999999"/>
    <n v="1875753.625"/>
    <n v="1732430.7424999999"/>
    <x v="5"/>
    <n v="0.66930432586999289"/>
  </r>
  <r>
    <x v="1"/>
    <x v="5"/>
    <n v="879500"/>
    <n v="751314.78249999997"/>
    <n v="692685.16"/>
    <n v="652938.21750000003"/>
    <x v="5"/>
    <n v="0.85425216884593513"/>
  </r>
  <r>
    <x v="0"/>
    <x v="0"/>
    <n v="180000"/>
    <n v="0"/>
    <n v="0"/>
    <n v="0"/>
    <x v="6"/>
    <n v="0"/>
  </r>
  <r>
    <x v="0"/>
    <x v="0"/>
    <n v="2800000"/>
    <n v="748676.02"/>
    <n v="28011.72"/>
    <n v="28011.72"/>
    <x v="6"/>
    <n v="0.26738429285714288"/>
  </r>
  <r>
    <x v="0"/>
    <x v="0"/>
    <n v="2500"/>
    <n v="973.01250000000005"/>
    <n v="973.01250000000005"/>
    <n v="973.01250000000005"/>
    <x v="6"/>
    <n v="0.38920500000000002"/>
  </r>
  <r>
    <x v="0"/>
    <x v="0"/>
    <n v="8250"/>
    <n v="0"/>
    <n v="0"/>
    <n v="0"/>
    <x v="6"/>
    <n v="0"/>
  </r>
  <r>
    <x v="0"/>
    <x v="0"/>
    <n v="3011736"/>
    <n v="2528363.41"/>
    <n v="2238706.4700000002"/>
    <n v="2236285.2450000001"/>
    <x v="6"/>
    <n v="0.83950366499586959"/>
  </r>
  <r>
    <x v="0"/>
    <x v="0"/>
    <n v="117500"/>
    <n v="13766.7675"/>
    <n v="6471.5275000000001"/>
    <n v="5665.33"/>
    <x v="6"/>
    <n v="0.11716397872340426"/>
  </r>
  <r>
    <x v="0"/>
    <x v="0"/>
    <n v="106250"/>
    <n v="117214.69500000001"/>
    <n v="51305.595000000001"/>
    <n v="51305.595000000001"/>
    <x v="6"/>
    <n v="1.1031971294117648"/>
  </r>
  <r>
    <x v="0"/>
    <x v="0"/>
    <n v="1250"/>
    <n v="0"/>
    <n v="0"/>
    <n v="0"/>
    <x v="6"/>
    <n v="0"/>
  </r>
  <r>
    <x v="0"/>
    <x v="0"/>
    <n v="1907265"/>
    <n v="1581261.8825000001"/>
    <n v="1572559.11"/>
    <n v="1546783.0375000001"/>
    <x v="6"/>
    <n v="0.82907298277900554"/>
  </r>
  <r>
    <x v="0"/>
    <x v="0"/>
    <n v="2866214"/>
    <n v="3039333.8824999998"/>
    <n v="2679434.7025000001"/>
    <n v="2679299.9624999999"/>
    <x v="6"/>
    <n v="1.0604001942981229"/>
  </r>
  <r>
    <x v="0"/>
    <x v="0"/>
    <n v="1712410"/>
    <n v="1505188.1125"/>
    <n v="1505095.1924999999"/>
    <n v="1505095.1924999999"/>
    <x v="6"/>
    <n v="0.87898815850176071"/>
  </r>
  <r>
    <x v="0"/>
    <x v="0"/>
    <n v="171350"/>
    <n v="60181.56"/>
    <n v="7535.25"/>
    <n v="7535.25"/>
    <x v="6"/>
    <n v="0.35122007586810622"/>
  </r>
  <r>
    <x v="0"/>
    <x v="0"/>
    <n v="750"/>
    <n v="0"/>
    <n v="0"/>
    <n v="0"/>
    <x v="6"/>
    <n v="0"/>
  </r>
  <r>
    <x v="0"/>
    <x v="0"/>
    <n v="15000"/>
    <n v="0"/>
    <n v="0"/>
    <n v="0"/>
    <x v="6"/>
    <n v="0"/>
  </r>
  <r>
    <x v="0"/>
    <x v="0"/>
    <n v="39500"/>
    <n v="0"/>
    <n v="0"/>
    <n v="0"/>
    <x v="6"/>
    <n v="0"/>
  </r>
  <r>
    <x v="0"/>
    <x v="0"/>
    <n v="495050"/>
    <n v="0"/>
    <n v="0"/>
    <n v="0"/>
    <x v="6"/>
    <n v="0"/>
  </r>
  <r>
    <x v="0"/>
    <x v="0"/>
    <n v="20000"/>
    <n v="0"/>
    <n v="0"/>
    <n v="0"/>
    <x v="6"/>
    <n v="0"/>
  </r>
  <r>
    <x v="0"/>
    <x v="0"/>
    <n v="3002500"/>
    <n v="396596.54499999998"/>
    <n v="390971.54499999998"/>
    <n v="381127.03749999998"/>
    <x v="6"/>
    <n v="0.1320887743547044"/>
  </r>
  <r>
    <x v="0"/>
    <x v="0"/>
    <n v="2197422"/>
    <n v="1685462.79"/>
    <n v="1460811.4375"/>
    <n v="1458786.4375"/>
    <x v="6"/>
    <n v="0.7670182559380947"/>
  </r>
  <r>
    <x v="0"/>
    <x v="0"/>
    <n v="103050"/>
    <n v="0"/>
    <n v="0"/>
    <n v="0"/>
    <x v="6"/>
    <n v="0"/>
  </r>
  <r>
    <x v="0"/>
    <x v="0"/>
    <n v="3437400"/>
    <n v="1913661.4145"/>
    <n v="297765.31900000002"/>
    <n v="297765.31900000002"/>
    <x v="6"/>
    <n v="0.55671769782393665"/>
  </r>
  <r>
    <x v="0"/>
    <x v="0"/>
    <n v="45000"/>
    <n v="0"/>
    <n v="0"/>
    <n v="0"/>
    <x v="6"/>
    <n v="0"/>
  </r>
  <r>
    <x v="0"/>
    <x v="0"/>
    <n v="4736682"/>
    <n v="109236.19"/>
    <n v="90875.4375"/>
    <n v="90875.4375"/>
    <x v="6"/>
    <n v="2.3061752931693536E-2"/>
  </r>
  <r>
    <x v="0"/>
    <x v="0"/>
    <n v="26250"/>
    <n v="0"/>
    <n v="0"/>
    <n v="0"/>
    <x v="6"/>
    <n v="0"/>
  </r>
  <r>
    <x v="0"/>
    <x v="0"/>
    <n v="75000"/>
    <n v="0"/>
    <n v="0"/>
    <n v="0"/>
    <x v="6"/>
    <n v="0"/>
  </r>
  <r>
    <x v="0"/>
    <x v="0"/>
    <n v="125000"/>
    <n v="0"/>
    <n v="0"/>
    <n v="0"/>
    <x v="6"/>
    <n v="0"/>
  </r>
  <r>
    <x v="0"/>
    <x v="0"/>
    <n v="50000"/>
    <n v="62315"/>
    <n v="57933.767500000002"/>
    <n v="57933.767500000002"/>
    <x v="6"/>
    <n v="1.2463"/>
  </r>
  <r>
    <x v="0"/>
    <x v="0"/>
    <n v="34000"/>
    <n v="71500"/>
    <n v="50000"/>
    <n v="50000"/>
    <x v="6"/>
    <n v="2.1029411764705883"/>
  </r>
  <r>
    <x v="0"/>
    <x v="0"/>
    <n v="226250"/>
    <n v="0"/>
    <n v="0"/>
    <n v="0"/>
    <x v="6"/>
    <n v="0"/>
  </r>
  <r>
    <x v="0"/>
    <x v="0"/>
    <n v="400000"/>
    <n v="0"/>
    <n v="0"/>
    <n v="0"/>
    <x v="6"/>
    <n v="0"/>
  </r>
  <r>
    <x v="0"/>
    <x v="0"/>
    <n v="375000"/>
    <n v="238535.47500000001"/>
    <n v="208728.14"/>
    <n v="207748.185"/>
    <x v="6"/>
    <n v="0.63609460000000007"/>
  </r>
  <r>
    <x v="0"/>
    <x v="0"/>
    <n v="50000"/>
    <n v="0"/>
    <n v="0"/>
    <n v="0"/>
    <x v="6"/>
    <n v="0"/>
  </r>
  <r>
    <x v="0"/>
    <x v="0"/>
    <n v="62500"/>
    <n v="0"/>
    <n v="0"/>
    <n v="0"/>
    <x v="6"/>
    <n v="0"/>
  </r>
  <r>
    <x v="0"/>
    <x v="0"/>
    <n v="15000"/>
    <n v="0"/>
    <n v="0"/>
    <n v="0"/>
    <x v="6"/>
    <n v="0"/>
  </r>
  <r>
    <x v="0"/>
    <x v="1"/>
    <n v="1139111"/>
    <n v="0"/>
    <n v="0"/>
    <n v="0"/>
    <x v="6"/>
    <n v="0"/>
  </r>
  <r>
    <x v="0"/>
    <x v="1"/>
    <n v="48750"/>
    <n v="72567.17"/>
    <n v="53026.324999999997"/>
    <n v="49877.25"/>
    <x v="6"/>
    <n v="1.4885573333333333"/>
  </r>
  <r>
    <x v="0"/>
    <x v="1"/>
    <n v="1250"/>
    <n v="0"/>
    <n v="0"/>
    <n v="0"/>
    <x v="6"/>
    <n v="0"/>
  </r>
  <r>
    <x v="0"/>
    <x v="1"/>
    <n v="429375"/>
    <n v="0"/>
    <n v="0"/>
    <n v="0"/>
    <x v="6"/>
    <n v="0"/>
  </r>
  <r>
    <x v="0"/>
    <x v="1"/>
    <n v="1250"/>
    <n v="112000"/>
    <n v="112000"/>
    <n v="112000"/>
    <x v="6"/>
    <n v="89.6"/>
  </r>
  <r>
    <x v="0"/>
    <x v="1"/>
    <n v="2179200"/>
    <n v="1475581.5874999999"/>
    <n v="1421334.0325"/>
    <n v="1323549.2024999999"/>
    <x v="6"/>
    <n v="0.67712077253120406"/>
  </r>
  <r>
    <x v="0"/>
    <x v="1"/>
    <n v="1250"/>
    <n v="912.5"/>
    <n v="912.5"/>
    <n v="912.5"/>
    <x v="6"/>
    <n v="0.73"/>
  </r>
  <r>
    <x v="0"/>
    <x v="1"/>
    <n v="4363500"/>
    <n v="743222.73"/>
    <n v="695258.12"/>
    <n v="694919.07"/>
    <x v="6"/>
    <n v="0.17032719834994844"/>
  </r>
  <r>
    <x v="0"/>
    <x v="1"/>
    <n v="810000"/>
    <n v="204380"/>
    <n v="204380"/>
    <n v="204380"/>
    <x v="6"/>
    <n v="0.25232098765432098"/>
  </r>
  <r>
    <x v="0"/>
    <x v="1"/>
    <n v="100000"/>
    <n v="0"/>
    <n v="0"/>
    <n v="0"/>
    <x v="6"/>
    <n v="0"/>
  </r>
  <r>
    <x v="0"/>
    <x v="1"/>
    <n v="1744722"/>
    <n v="1160846.5974999999"/>
    <n v="979032.61"/>
    <n v="979024.54249999998"/>
    <x v="6"/>
    <n v="0.66534760122242964"/>
  </r>
  <r>
    <x v="0"/>
    <x v="1"/>
    <n v="1029250"/>
    <n v="262254.60499999998"/>
    <n v="262254.60499999998"/>
    <n v="262254.60499999998"/>
    <x v="6"/>
    <n v="0.25480165654602865"/>
  </r>
  <r>
    <x v="0"/>
    <x v="1"/>
    <n v="2434600"/>
    <n v="2320143.4350000001"/>
    <n v="2320143.4350000001"/>
    <n v="2044022.7849999999"/>
    <x v="6"/>
    <n v="0.95298752772529371"/>
  </r>
  <r>
    <x v="0"/>
    <x v="1"/>
    <n v="5334136"/>
    <n v="66941"/>
    <n v="60841.047500000001"/>
    <n v="46255.447500000002"/>
    <x v="6"/>
    <n v="1.2549548792906668E-2"/>
  </r>
  <r>
    <x v="0"/>
    <x v="1"/>
    <n v="100000"/>
    <n v="0"/>
    <n v="0"/>
    <n v="0"/>
    <x v="6"/>
    <n v="0"/>
  </r>
  <r>
    <x v="0"/>
    <x v="1"/>
    <n v="112000"/>
    <n v="165799"/>
    <n v="165799"/>
    <n v="165799"/>
    <x v="6"/>
    <n v="1.4803482142857143"/>
  </r>
  <r>
    <x v="0"/>
    <x v="1"/>
    <n v="7500"/>
    <n v="0"/>
    <n v="0"/>
    <n v="0"/>
    <x v="6"/>
    <n v="0"/>
  </r>
  <r>
    <x v="0"/>
    <x v="1"/>
    <n v="159800"/>
    <n v="0"/>
    <n v="0"/>
    <n v="0"/>
    <x v="6"/>
    <n v="0"/>
  </r>
  <r>
    <x v="0"/>
    <x v="1"/>
    <n v="16590"/>
    <n v="0"/>
    <n v="0"/>
    <n v="0"/>
    <x v="6"/>
    <n v="0"/>
  </r>
  <r>
    <x v="0"/>
    <x v="1"/>
    <n v="340000"/>
    <n v="50354.09"/>
    <n v="50354.09"/>
    <n v="44106.49"/>
    <x v="6"/>
    <n v="0.14810026470588233"/>
  </r>
  <r>
    <x v="0"/>
    <x v="1"/>
    <n v="2500"/>
    <n v="0"/>
    <n v="0"/>
    <n v="0"/>
    <x v="6"/>
    <n v="0"/>
  </r>
  <r>
    <x v="0"/>
    <x v="1"/>
    <n v="3975"/>
    <n v="0"/>
    <n v="0"/>
    <n v="0"/>
    <x v="6"/>
    <n v="0"/>
  </r>
  <r>
    <x v="0"/>
    <x v="1"/>
    <n v="2399720"/>
    <n v="2222256.9575"/>
    <n v="2202791.5920000002"/>
    <n v="1940568.9040000001"/>
    <x v="6"/>
    <n v="0.92604843794276004"/>
  </r>
  <r>
    <x v="0"/>
    <x v="1"/>
    <n v="79712"/>
    <n v="16495.73"/>
    <n v="16495.73"/>
    <n v="16495.73"/>
    <x v="6"/>
    <n v="0.20694161481332798"/>
  </r>
  <r>
    <x v="0"/>
    <x v="1"/>
    <n v="65750"/>
    <n v="22400.247500000001"/>
    <n v="16418.13"/>
    <n v="16293.13"/>
    <x v="6"/>
    <n v="0.34068817490494296"/>
  </r>
  <r>
    <x v="0"/>
    <x v="1"/>
    <n v="25000"/>
    <n v="8160"/>
    <n v="8160"/>
    <n v="8160"/>
    <x v="6"/>
    <n v="0.32640000000000002"/>
  </r>
  <r>
    <x v="0"/>
    <x v="1"/>
    <n v="100000"/>
    <n v="28820"/>
    <n v="24890"/>
    <n v="24890"/>
    <x v="6"/>
    <n v="0.28820000000000001"/>
  </r>
  <r>
    <x v="0"/>
    <x v="2"/>
    <n v="5000"/>
    <n v="0"/>
    <n v="0"/>
    <n v="0"/>
    <x v="6"/>
    <n v="0"/>
  </r>
  <r>
    <x v="0"/>
    <x v="2"/>
    <n v="7526935"/>
    <n v="8318062.3499999996"/>
    <n v="6745751.6299999999"/>
    <n v="6409726.7000000002"/>
    <x v="6"/>
    <n v="1.1051061753555729"/>
  </r>
  <r>
    <x v="0"/>
    <x v="2"/>
    <n v="7143190"/>
    <n v="7889867.5800000001"/>
    <n v="6564256.9299999997"/>
    <n v="6347784.3600000003"/>
    <x v="6"/>
    <n v="1.1045299901024612"/>
  </r>
  <r>
    <x v="0"/>
    <x v="2"/>
    <n v="10927520"/>
    <n v="10300564.130000001"/>
    <n v="8799790.0800000001"/>
    <n v="8151044.2000000002"/>
    <x v="6"/>
    <n v="0.94262596911284546"/>
  </r>
  <r>
    <x v="0"/>
    <x v="2"/>
    <n v="1125996"/>
    <n v="1083207.6599999999"/>
    <n v="764191.63"/>
    <n v="702280.35"/>
    <x v="6"/>
    <n v="0.96199956305350987"/>
  </r>
  <r>
    <x v="0"/>
    <x v="2"/>
    <n v="8661048"/>
    <n v="10022860.16"/>
    <n v="7496792.2999999998"/>
    <n v="7312300.0800000001"/>
    <x v="6"/>
    <n v="1.1572341083896545"/>
  </r>
  <r>
    <x v="0"/>
    <x v="2"/>
    <n v="3443253"/>
    <n v="3224984.82"/>
    <n v="2718743.26"/>
    <n v="2640886.5099999998"/>
    <x v="6"/>
    <n v="0.93660989186678989"/>
  </r>
  <r>
    <x v="0"/>
    <x v="2"/>
    <n v="34000"/>
    <n v="28937.4"/>
    <n v="26313.730500000001"/>
    <n v="26313.730500000001"/>
    <x v="6"/>
    <n v="0.85110000000000008"/>
  </r>
  <r>
    <x v="0"/>
    <x v="2"/>
    <n v="500"/>
    <n v="0"/>
    <n v="0"/>
    <n v="0"/>
    <x v="6"/>
    <n v="0"/>
  </r>
  <r>
    <x v="0"/>
    <x v="2"/>
    <n v="850"/>
    <n v="0"/>
    <n v="0"/>
    <n v="0"/>
    <x v="6"/>
    <n v="0"/>
  </r>
  <r>
    <x v="0"/>
    <x v="2"/>
    <n v="72500"/>
    <n v="55641.1"/>
    <n v="46151.6"/>
    <n v="46151.6"/>
    <x v="6"/>
    <n v="0.7674634482758621"/>
  </r>
  <r>
    <x v="0"/>
    <x v="2"/>
    <n v="99086850"/>
    <n v="82344006.599999994"/>
    <n v="78575563.310000002"/>
    <n v="71185496.650000006"/>
    <x v="6"/>
    <n v="0.83102860369463749"/>
  </r>
  <r>
    <x v="0"/>
    <x v="2"/>
    <n v="69000"/>
    <n v="512"/>
    <n v="512"/>
    <n v="512"/>
    <x v="6"/>
    <n v="7.4202898550724634E-3"/>
  </r>
  <r>
    <x v="0"/>
    <x v="2"/>
    <n v="28000"/>
    <n v="320"/>
    <n v="320"/>
    <n v="320"/>
    <x v="6"/>
    <n v="1.1428571428571429E-2"/>
  </r>
  <r>
    <x v="0"/>
    <x v="2"/>
    <n v="8000"/>
    <n v="247002.59"/>
    <n v="247002.59"/>
    <n v="247002.59"/>
    <x v="6"/>
    <n v="30.87532375"/>
  </r>
  <r>
    <x v="0"/>
    <x v="2"/>
    <n v="2000000"/>
    <n v="783562.5"/>
    <n v="617895"/>
    <n v="513909.54"/>
    <x v="6"/>
    <n v="0.39178125000000003"/>
  </r>
  <r>
    <x v="0"/>
    <x v="2"/>
    <n v="1120883"/>
    <n v="687111.34"/>
    <n v="635877.67000000004"/>
    <n v="635877.67000000004"/>
    <x v="6"/>
    <n v="0.61300897595913217"/>
  </r>
  <r>
    <x v="0"/>
    <x v="2"/>
    <n v="14219100"/>
    <n v="14734759.869999999"/>
    <n v="14648616.140000001"/>
    <n v="13291960.66"/>
    <x v="6"/>
    <n v="1.036265295975132"/>
  </r>
  <r>
    <x v="0"/>
    <x v="2"/>
    <n v="31602433"/>
    <n v="29118797.300000001"/>
    <n v="29118797.300000001"/>
    <n v="28313550.300000001"/>
    <x v="6"/>
    <n v="0.92140998447809386"/>
  </r>
  <r>
    <x v="0"/>
    <x v="2"/>
    <n v="7481326"/>
    <n v="1551784.03"/>
    <n v="1551784.03"/>
    <n v="1551784.03"/>
    <x v="6"/>
    <n v="0.20742098793716515"/>
  </r>
  <r>
    <x v="0"/>
    <x v="2"/>
    <n v="3388900"/>
    <n v="12080691.77"/>
    <n v="12080691.77"/>
    <n v="9378147.7699999996"/>
    <x v="6"/>
    <n v="3.5647826049750657"/>
  </r>
  <r>
    <x v="0"/>
    <x v="2"/>
    <n v="203452461"/>
    <n v="253519914"/>
    <n v="253519914"/>
    <n v="205885224"/>
    <x v="6"/>
    <n v="1.2460891982034072"/>
  </r>
  <r>
    <x v="0"/>
    <x v="2"/>
    <n v="540000"/>
    <n v="540000"/>
    <n v="540000"/>
    <n v="540000"/>
    <x v="6"/>
    <n v="1"/>
  </r>
  <r>
    <x v="0"/>
    <x v="2"/>
    <n v="686386416"/>
    <n v="699899273.40999997"/>
    <n v="697386818.50999999"/>
    <n v="617782128.38999999"/>
    <x v="6"/>
    <n v="1.0196869534346962"/>
  </r>
  <r>
    <x v="0"/>
    <x v="2"/>
    <n v="6715500"/>
    <n v="4449184.76"/>
    <n v="4449184.76"/>
    <n v="3916785.57"/>
    <x v="6"/>
    <n v="0.66252472042290222"/>
  </r>
  <r>
    <x v="0"/>
    <x v="2"/>
    <n v="2686100"/>
    <n v="2387600.3199999998"/>
    <n v="2387600.3199999998"/>
    <n v="2184423.17"/>
    <x v="6"/>
    <n v="0.88887246193365843"/>
  </r>
  <r>
    <x v="0"/>
    <x v="2"/>
    <n v="99000"/>
    <n v="0"/>
    <n v="0"/>
    <n v="0"/>
    <x v="6"/>
    <n v="0"/>
  </r>
  <r>
    <x v="0"/>
    <x v="2"/>
    <n v="21887237"/>
    <n v="12939834.6"/>
    <n v="7786866.6799999997"/>
    <n v="7786866.6799999997"/>
    <x v="6"/>
    <n v="0.591204572783673"/>
  </r>
  <r>
    <x v="0"/>
    <x v="2"/>
    <n v="10210247"/>
    <n v="5483086.5499999998"/>
    <n v="4147512.58"/>
    <n v="4024393.55"/>
    <x v="6"/>
    <n v="0.53701801239480296"/>
  </r>
  <r>
    <x v="0"/>
    <x v="2"/>
    <n v="222000"/>
    <n v="343196.01"/>
    <n v="343196.01"/>
    <n v="248853.01"/>
    <x v="6"/>
    <n v="1.5459279729729729"/>
  </r>
  <r>
    <x v="0"/>
    <x v="2"/>
    <n v="13092000"/>
    <n v="11867053.630000001"/>
    <n v="10843022.23"/>
    <n v="10624189.35"/>
    <x v="6"/>
    <n v="0.90643550488848157"/>
  </r>
  <r>
    <x v="0"/>
    <x v="2"/>
    <n v="15104326"/>
    <n v="14467262.199999999"/>
    <n v="13256067.050000001"/>
    <n v="13256067.050000001"/>
    <x v="6"/>
    <n v="0.95782242782630611"/>
  </r>
  <r>
    <x v="0"/>
    <x v="2"/>
    <n v="8081088"/>
    <n v="872680.71"/>
    <n v="254300"/>
    <n v="0"/>
    <x v="6"/>
    <n v="0.10799049707168143"/>
  </r>
  <r>
    <x v="0"/>
    <x v="2"/>
    <n v="12103259"/>
    <n v="25587442"/>
    <n v="25587442"/>
    <n v="25281577"/>
    <x v="6"/>
    <n v="2.1140952201386418"/>
  </r>
  <r>
    <x v="0"/>
    <x v="2"/>
    <n v="6000"/>
    <n v="0"/>
    <n v="0"/>
    <n v="0"/>
    <x v="6"/>
    <n v="0"/>
  </r>
  <r>
    <x v="0"/>
    <x v="2"/>
    <n v="6202288"/>
    <n v="5082997.24"/>
    <n v="5082997.24"/>
    <n v="5082997.24"/>
    <x v="6"/>
    <n v="0.81953582935845615"/>
  </r>
  <r>
    <x v="0"/>
    <x v="2"/>
    <n v="4959000"/>
    <n v="9863639"/>
    <n v="9863639"/>
    <n v="9863639"/>
    <x v="6"/>
    <n v="1.9890379108691267"/>
  </r>
  <r>
    <x v="0"/>
    <x v="2"/>
    <n v="815259"/>
    <n v="1729650"/>
    <n v="1729650"/>
    <n v="886250"/>
    <x v="6"/>
    <n v="2.1215957137547701"/>
  </r>
  <r>
    <x v="0"/>
    <x v="2"/>
    <n v="15000000"/>
    <n v="9762505.4800000004"/>
    <n v="9762505.4800000004"/>
    <n v="9762505.4800000004"/>
    <x v="6"/>
    <n v="0.65083369866666674"/>
  </r>
  <r>
    <x v="0"/>
    <x v="2"/>
    <n v="2755000"/>
    <n v="2796928.08"/>
    <n v="2563850.7400000002"/>
    <n v="2563850.7400000002"/>
    <x v="6"/>
    <n v="1.0152189038112522"/>
  </r>
  <r>
    <x v="0"/>
    <x v="2"/>
    <n v="3800000"/>
    <n v="3364774.2"/>
    <n v="3058120.5"/>
    <n v="3058120.5"/>
    <x v="6"/>
    <n v="0.88546689473684215"/>
  </r>
  <r>
    <x v="0"/>
    <x v="2"/>
    <n v="93000"/>
    <n v="1512"/>
    <n v="1512"/>
    <n v="1512"/>
    <x v="6"/>
    <n v="1.6258064516129031E-2"/>
  </r>
  <r>
    <x v="0"/>
    <x v="2"/>
    <n v="8000"/>
    <n v="6564"/>
    <n v="6564"/>
    <n v="6327"/>
    <x v="6"/>
    <n v="0.82050000000000001"/>
  </r>
  <r>
    <x v="0"/>
    <x v="2"/>
    <n v="42000"/>
    <n v="0"/>
    <n v="0"/>
    <n v="0"/>
    <x v="6"/>
    <n v="0"/>
  </r>
  <r>
    <x v="0"/>
    <x v="2"/>
    <n v="20000"/>
    <n v="0"/>
    <n v="0"/>
    <n v="0"/>
    <x v="6"/>
    <n v="0"/>
  </r>
  <r>
    <x v="0"/>
    <x v="2"/>
    <n v="10000"/>
    <n v="0"/>
    <n v="0"/>
    <n v="0"/>
    <x v="6"/>
    <n v="0"/>
  </r>
  <r>
    <x v="0"/>
    <x v="2"/>
    <n v="3000"/>
    <n v="0"/>
    <n v="0"/>
    <n v="0"/>
    <x v="6"/>
    <n v="0"/>
  </r>
  <r>
    <x v="0"/>
    <x v="2"/>
    <n v="5000"/>
    <n v="0"/>
    <n v="0"/>
    <n v="0"/>
    <x v="6"/>
    <n v="0"/>
  </r>
  <r>
    <x v="0"/>
    <x v="2"/>
    <n v="100000"/>
    <n v="0"/>
    <n v="0"/>
    <n v="0"/>
    <x v="6"/>
    <n v="0"/>
  </r>
  <r>
    <x v="0"/>
    <x v="2"/>
    <n v="6161351"/>
    <n v="4538039.3099999996"/>
    <n v="3312621.5"/>
    <n v="3226900.35"/>
    <x v="6"/>
    <n v="0.73653315806874164"/>
  </r>
  <r>
    <x v="0"/>
    <x v="2"/>
    <n v="8000"/>
    <n v="0"/>
    <n v="0"/>
    <n v="0"/>
    <x v="6"/>
    <n v="0"/>
  </r>
  <r>
    <x v="0"/>
    <x v="2"/>
    <n v="8000"/>
    <n v="0"/>
    <n v="0"/>
    <n v="0"/>
    <x v="6"/>
    <n v="0"/>
  </r>
  <r>
    <x v="0"/>
    <x v="2"/>
    <n v="17000"/>
    <n v="0"/>
    <n v="0"/>
    <n v="0"/>
    <x v="6"/>
    <n v="0"/>
  </r>
  <r>
    <x v="0"/>
    <x v="2"/>
    <n v="1000"/>
    <n v="0"/>
    <n v="0"/>
    <n v="0"/>
    <x v="6"/>
    <n v="0"/>
  </r>
  <r>
    <x v="0"/>
    <x v="2"/>
    <n v="5000"/>
    <n v="0"/>
    <n v="0"/>
    <n v="0"/>
    <x v="6"/>
    <n v="0"/>
  </r>
  <r>
    <x v="0"/>
    <x v="2"/>
    <n v="1420001"/>
    <n v="0"/>
    <n v="0"/>
    <n v="0"/>
    <x v="6"/>
    <n v="0"/>
  </r>
  <r>
    <x v="0"/>
    <x v="2"/>
    <n v="2134000"/>
    <n v="0"/>
    <n v="0"/>
    <n v="0"/>
    <x v="6"/>
    <n v="0"/>
  </r>
  <r>
    <x v="0"/>
    <x v="2"/>
    <n v="69000"/>
    <n v="74443.73"/>
    <n v="0"/>
    <n v="0"/>
    <x v="6"/>
    <n v="1.0788946376811595"/>
  </r>
  <r>
    <x v="0"/>
    <x v="2"/>
    <n v="11562915"/>
    <n v="27576870.800000001"/>
    <n v="27539026.800000001"/>
    <n v="26407173.800000001"/>
    <x v="6"/>
    <n v="2.3849410637369557"/>
  </r>
  <r>
    <x v="0"/>
    <x v="2"/>
    <n v="3949326"/>
    <n v="1693787.73"/>
    <n v="1693787.73"/>
    <n v="1693787.73"/>
    <x v="6"/>
    <n v="0.42888020133055615"/>
  </r>
  <r>
    <x v="0"/>
    <x v="2"/>
    <n v="611100"/>
    <n v="1704812"/>
    <n v="1704812"/>
    <n v="1557820"/>
    <x v="6"/>
    <n v="2.7897430862379315"/>
  </r>
  <r>
    <x v="0"/>
    <x v="2"/>
    <n v="7961449"/>
    <n v="33096359"/>
    <n v="33096359"/>
    <n v="29604604"/>
    <x v="6"/>
    <n v="4.1570773109266916"/>
  </r>
  <r>
    <x v="0"/>
    <x v="2"/>
    <n v="306447200"/>
    <n v="271145274.51999998"/>
    <n v="270302965.69"/>
    <n v="241451997.22"/>
    <x v="6"/>
    <n v="0.88480258432774062"/>
  </r>
  <r>
    <x v="0"/>
    <x v="2"/>
    <n v="10382514"/>
    <n v="6023321.0099999998"/>
    <n v="4236051.82"/>
    <n v="4236051.82"/>
    <x v="6"/>
    <n v="0.58014089940066538"/>
  </r>
  <r>
    <x v="0"/>
    <x v="2"/>
    <n v="5714368"/>
    <n v="1728000.92"/>
    <n v="1442059.04"/>
    <n v="1385602.11"/>
    <x v="6"/>
    <n v="0.30239580650038639"/>
  </r>
  <r>
    <x v="0"/>
    <x v="2"/>
    <n v="99713250"/>
    <n v="104216584"/>
    <n v="104138866"/>
    <n v="101913220"/>
    <x v="6"/>
    <n v="1.0451628444564789"/>
  </r>
  <r>
    <x v="0"/>
    <x v="2"/>
    <n v="180000"/>
    <n v="0"/>
    <n v="0"/>
    <n v="0"/>
    <x v="6"/>
    <n v="0"/>
  </r>
  <r>
    <x v="0"/>
    <x v="2"/>
    <n v="56047677"/>
    <n v="51896326.920000002"/>
    <n v="47551580.920000002"/>
    <n v="47551580.920000002"/>
    <x v="6"/>
    <n v="0.92593180837807076"/>
  </r>
  <r>
    <x v="0"/>
    <x v="2"/>
    <n v="16611982"/>
    <n v="1634164.11"/>
    <n v="181620.65"/>
    <n v="81939.58"/>
    <x v="6"/>
    <n v="9.8372615019688803E-2"/>
  </r>
  <r>
    <x v="0"/>
    <x v="2"/>
    <n v="1170000"/>
    <n v="0"/>
    <n v="0"/>
    <n v="0"/>
    <x v="6"/>
    <n v="0"/>
  </r>
  <r>
    <x v="0"/>
    <x v="2"/>
    <n v="7338558"/>
    <n v="1512261.4"/>
    <n v="1512261.4"/>
    <n v="1512261.4"/>
    <x v="6"/>
    <n v="0.20607064766674868"/>
  </r>
  <r>
    <x v="0"/>
    <x v="2"/>
    <n v="10000"/>
    <n v="0"/>
    <n v="0"/>
    <n v="0"/>
    <x v="6"/>
    <n v="0"/>
  </r>
  <r>
    <x v="0"/>
    <x v="2"/>
    <n v="13000"/>
    <n v="0"/>
    <n v="0"/>
    <n v="0"/>
    <x v="6"/>
    <n v="0"/>
  </r>
  <r>
    <x v="0"/>
    <x v="2"/>
    <n v="1305434"/>
    <n v="1290914.5"/>
    <n v="1290914.5"/>
    <n v="1254848.5"/>
    <x v="6"/>
    <n v="0.98887764528884647"/>
  </r>
  <r>
    <x v="0"/>
    <x v="2"/>
    <n v="469348"/>
    <n v="241"/>
    <n v="241"/>
    <n v="241"/>
    <x v="6"/>
    <n v="5.1347827198581857E-4"/>
  </r>
  <r>
    <x v="0"/>
    <x v="2"/>
    <n v="46952000"/>
    <n v="24920627.359999999"/>
    <n v="24920627.359999999"/>
    <n v="22862122.260000002"/>
    <x v="6"/>
    <n v="0.53076817515760777"/>
  </r>
  <r>
    <x v="0"/>
    <x v="2"/>
    <n v="1196695"/>
    <n v="499012.2"/>
    <n v="144588.9"/>
    <n v="144588.9"/>
    <x v="6"/>
    <n v="0.41699196537129346"/>
  </r>
  <r>
    <x v="0"/>
    <x v="2"/>
    <n v="45000"/>
    <n v="0"/>
    <n v="0"/>
    <n v="0"/>
    <x v="6"/>
    <n v="0"/>
  </r>
  <r>
    <x v="0"/>
    <x v="2"/>
    <n v="500000"/>
    <n v="348000"/>
    <n v="309000"/>
    <n v="309000"/>
    <x v="6"/>
    <n v="0.69599999999999995"/>
  </r>
  <r>
    <x v="0"/>
    <x v="2"/>
    <n v="300000"/>
    <n v="0"/>
    <n v="0"/>
    <n v="0"/>
    <x v="6"/>
    <n v="0"/>
  </r>
  <r>
    <x v="0"/>
    <x v="2"/>
    <n v="1960000"/>
    <n v="2056619.19"/>
    <n v="1882862.81"/>
    <n v="1882862.81"/>
    <x v="6"/>
    <n v="1.0492955051020407"/>
  </r>
  <r>
    <x v="0"/>
    <x v="2"/>
    <n v="53000"/>
    <n v="0"/>
    <n v="0"/>
    <n v="0"/>
    <x v="6"/>
    <n v="0"/>
  </r>
  <r>
    <x v="0"/>
    <x v="2"/>
    <n v="7243790"/>
    <n v="5744957.3099999996"/>
    <n v="5343081.99"/>
    <n v="5343081.99"/>
    <x v="6"/>
    <n v="0.79308722505760099"/>
  </r>
  <r>
    <x v="0"/>
    <x v="2"/>
    <n v="11000"/>
    <n v="0"/>
    <n v="0"/>
    <n v="0"/>
    <x v="6"/>
    <n v="0"/>
  </r>
  <r>
    <x v="0"/>
    <x v="2"/>
    <n v="3804500"/>
    <n v="3718276.71"/>
    <n v="3717229.335"/>
    <n v="3315614.5350000001"/>
    <x v="6"/>
    <n v="0.97733649888290186"/>
  </r>
  <r>
    <x v="0"/>
    <x v="2"/>
    <n v="56375"/>
    <n v="0"/>
    <n v="0"/>
    <n v="0"/>
    <x v="6"/>
    <n v="0"/>
  </r>
  <r>
    <x v="0"/>
    <x v="2"/>
    <n v="1500"/>
    <n v="0"/>
    <n v="0"/>
    <n v="0"/>
    <x v="6"/>
    <n v="0"/>
  </r>
  <r>
    <x v="0"/>
    <x v="2"/>
    <n v="30500"/>
    <n v="28002.66"/>
    <n v="25993.634999999998"/>
    <n v="25975.522499999999"/>
    <x v="6"/>
    <n v="0.91812000000000005"/>
  </r>
  <r>
    <x v="0"/>
    <x v="2"/>
    <n v="45359"/>
    <n v="0"/>
    <n v="0"/>
    <n v="0"/>
    <x v="6"/>
    <n v="0"/>
  </r>
  <r>
    <x v="0"/>
    <x v="2"/>
    <n v="57000"/>
    <n v="0"/>
    <n v="0"/>
    <n v="0"/>
    <x v="6"/>
    <n v="0"/>
  </r>
  <r>
    <x v="0"/>
    <x v="2"/>
    <n v="1816"/>
    <n v="0"/>
    <n v="0"/>
    <n v="0"/>
    <x v="6"/>
    <n v="0"/>
  </r>
  <r>
    <x v="0"/>
    <x v="2"/>
    <n v="1000"/>
    <n v="0"/>
    <n v="0"/>
    <n v="0"/>
    <x v="6"/>
    <n v="0"/>
  </r>
  <r>
    <x v="0"/>
    <x v="2"/>
    <n v="10210"/>
    <n v="0"/>
    <n v="0"/>
    <n v="0"/>
    <x v="6"/>
    <n v="0"/>
  </r>
  <r>
    <x v="0"/>
    <x v="2"/>
    <n v="36252"/>
    <n v="22428.737499999999"/>
    <n v="6732"/>
    <n v="0"/>
    <x v="6"/>
    <n v="0.61868965850159985"/>
  </r>
  <r>
    <x v="0"/>
    <x v="2"/>
    <n v="250"/>
    <n v="0"/>
    <n v="0"/>
    <n v="0"/>
    <x v="6"/>
    <n v="0"/>
  </r>
  <r>
    <x v="2"/>
    <x v="6"/>
    <n v="250"/>
    <n v="0"/>
    <n v="0"/>
    <n v="0"/>
    <x v="6"/>
    <n v="0"/>
  </r>
  <r>
    <x v="2"/>
    <x v="6"/>
    <n v="317350"/>
    <n v="190937.25"/>
    <n v="55667.105000000003"/>
    <n v="55667.105000000003"/>
    <x v="6"/>
    <n v="0.60166141484165747"/>
  </r>
  <r>
    <x v="2"/>
    <x v="6"/>
    <n v="13000"/>
    <n v="0"/>
    <n v="0"/>
    <n v="0"/>
    <x v="6"/>
    <n v="0"/>
  </r>
  <r>
    <x v="2"/>
    <x v="6"/>
    <n v="250"/>
    <n v="0"/>
    <n v="0"/>
    <n v="0"/>
    <x v="6"/>
    <n v="0"/>
  </r>
  <r>
    <x v="2"/>
    <x v="6"/>
    <n v="1250"/>
    <n v="0"/>
    <n v="0"/>
    <n v="0"/>
    <x v="6"/>
    <n v="0"/>
  </r>
  <r>
    <x v="2"/>
    <x v="6"/>
    <n v="1500"/>
    <n v="0"/>
    <n v="0"/>
    <n v="0"/>
    <x v="6"/>
    <n v="0"/>
  </r>
  <r>
    <x v="2"/>
    <x v="6"/>
    <n v="1713625"/>
    <n v="1906986.38"/>
    <n v="1865091.355"/>
    <n v="1615156.46"/>
    <x v="6"/>
    <n v="1.1128376278357284"/>
  </r>
  <r>
    <x v="2"/>
    <x v="6"/>
    <n v="500"/>
    <n v="0"/>
    <n v="0"/>
    <n v="0"/>
    <x v="6"/>
    <n v="0"/>
  </r>
  <r>
    <x v="2"/>
    <x v="6"/>
    <n v="327492"/>
    <n v="282242.15999999997"/>
    <n v="282242.15999999997"/>
    <n v="258721.98"/>
    <x v="6"/>
    <n v="0.86182917445311635"/>
  </r>
  <r>
    <x v="2"/>
    <x v="6"/>
    <n v="288487"/>
    <n v="254206.4975"/>
    <n v="212201.4975"/>
    <n v="191291.33"/>
    <x v="6"/>
    <n v="0.88117141326992199"/>
  </r>
  <r>
    <x v="2"/>
    <x v="6"/>
    <n v="682500"/>
    <n v="583684.86"/>
    <n v="466527.11"/>
    <n v="448433"/>
    <x v="6"/>
    <n v="0.85521591208791203"/>
  </r>
  <r>
    <x v="2"/>
    <x v="6"/>
    <n v="2004539"/>
    <n v="1702273.9"/>
    <n v="1702273.9"/>
    <n v="1685944.6"/>
    <x v="6"/>
    <n v="0.84920966865698289"/>
  </r>
  <r>
    <x v="2"/>
    <x v="6"/>
    <n v="21729942"/>
    <n v="21502836.710000001"/>
    <n v="20899121.010000002"/>
    <n v="20827112.489999998"/>
    <x v="6"/>
    <n v="0.98954873924651987"/>
  </r>
  <r>
    <x v="2"/>
    <x v="6"/>
    <n v="608424"/>
    <n v="605423.04"/>
    <n v="605423.04"/>
    <n v="605423.04"/>
    <x v="6"/>
    <n v="0.99506765019131405"/>
  </r>
  <r>
    <x v="2"/>
    <x v="6"/>
    <n v="6014020"/>
    <n v="3363581.36"/>
    <n v="3270310.58"/>
    <n v="3237977.45"/>
    <x v="6"/>
    <n v="0.55929001898896247"/>
  </r>
  <r>
    <x v="2"/>
    <x v="6"/>
    <n v="1000000"/>
    <n v="573664.93999999994"/>
    <n v="490034.31"/>
    <n v="490034.31"/>
    <x v="6"/>
    <n v="0.5736649399999999"/>
  </r>
  <r>
    <x v="2"/>
    <x v="6"/>
    <n v="4269110"/>
    <n v="1705935.41"/>
    <n v="1630243.66"/>
    <n v="1600015.66"/>
    <x v="6"/>
    <n v="0.39959977840814592"/>
  </r>
  <r>
    <x v="2"/>
    <x v="6"/>
    <n v="2600000"/>
    <n v="541737.16"/>
    <n v="541737.16"/>
    <n v="541737.16"/>
    <x v="6"/>
    <n v="0.20836044615384616"/>
  </r>
  <r>
    <x v="2"/>
    <x v="6"/>
    <n v="955195"/>
    <n v="672602.98"/>
    <n v="672602.98"/>
    <n v="672602.98"/>
    <x v="6"/>
    <n v="0.70415253429927915"/>
  </r>
  <r>
    <x v="2"/>
    <x v="6"/>
    <n v="17000"/>
    <n v="0"/>
    <n v="0"/>
    <n v="0"/>
    <x v="6"/>
    <n v="0"/>
  </r>
  <r>
    <x v="2"/>
    <x v="6"/>
    <n v="762000"/>
    <n v="12000"/>
    <n v="12000"/>
    <n v="12000"/>
    <x v="6"/>
    <n v="1.5748031496062992E-2"/>
  </r>
  <r>
    <x v="2"/>
    <x v="6"/>
    <n v="406500"/>
    <n v="26368.5"/>
    <n v="23012.799999999999"/>
    <n v="12790.55"/>
    <x v="6"/>
    <n v="6.4867158671586711E-2"/>
  </r>
  <r>
    <x v="2"/>
    <x v="6"/>
    <n v="15000"/>
    <n v="0"/>
    <n v="0"/>
    <n v="0"/>
    <x v="6"/>
    <n v="0"/>
  </r>
  <r>
    <x v="2"/>
    <x v="6"/>
    <n v="477000"/>
    <n v="12000"/>
    <n v="12000"/>
    <n v="12000"/>
    <x v="6"/>
    <n v="2.5157232704402517E-2"/>
  </r>
  <r>
    <x v="2"/>
    <x v="6"/>
    <n v="700000"/>
    <n v="1072.56"/>
    <n v="1071.18"/>
    <n v="1071.18"/>
    <x v="6"/>
    <n v="1.5322285714285714E-3"/>
  </r>
  <r>
    <x v="2"/>
    <x v="6"/>
    <n v="307500"/>
    <n v="0"/>
    <n v="0"/>
    <n v="0"/>
    <x v="6"/>
    <n v="0"/>
  </r>
  <r>
    <x v="2"/>
    <x v="6"/>
    <n v="222695"/>
    <n v="8390"/>
    <n v="8390"/>
    <n v="0"/>
    <x v="6"/>
    <n v="3.7674846763510628E-2"/>
  </r>
  <r>
    <x v="2"/>
    <x v="6"/>
    <n v="600000"/>
    <n v="0"/>
    <n v="0"/>
    <n v="0"/>
    <x v="6"/>
    <n v="0"/>
  </r>
  <r>
    <x v="2"/>
    <x v="6"/>
    <n v="400000"/>
    <n v="0"/>
    <n v="0"/>
    <n v="0"/>
    <x v="6"/>
    <n v="0"/>
  </r>
  <r>
    <x v="2"/>
    <x v="6"/>
    <n v="3914500"/>
    <n v="1845366"/>
    <n v="1845366"/>
    <n v="1845366"/>
    <x v="6"/>
    <n v="0.47141806105505174"/>
  </r>
  <r>
    <x v="2"/>
    <x v="6"/>
    <n v="36419107"/>
    <n v="25847676.48"/>
    <n v="24182172.52"/>
    <n v="23164182.73"/>
    <x v="6"/>
    <n v="0.70972845325394718"/>
  </r>
  <r>
    <x v="2"/>
    <x v="6"/>
    <n v="588081"/>
    <n v="711831.8175"/>
    <n v="682749.005"/>
    <n v="633123.94999999995"/>
    <x v="6"/>
    <n v="1.2104315859549961"/>
  </r>
  <r>
    <x v="2"/>
    <x v="6"/>
    <n v="1427000"/>
    <n v="1328544.5725"/>
    <n v="1327240.9824999999"/>
    <n v="1053633.47"/>
    <x v="6"/>
    <n v="0.93100530658724601"/>
  </r>
  <r>
    <x v="2"/>
    <x v="6"/>
    <n v="546521"/>
    <n v="446153.13500000001"/>
    <n v="325579.85249999998"/>
    <n v="322934.80249999999"/>
    <x v="6"/>
    <n v="0.81635131129453398"/>
  </r>
  <r>
    <x v="2"/>
    <x v="6"/>
    <n v="293951"/>
    <n v="672788.70750000002"/>
    <n v="609181.27500000002"/>
    <n v="557792.33750000002"/>
    <x v="6"/>
    <n v="2.2887784273569407"/>
  </r>
  <r>
    <x v="2"/>
    <x v="6"/>
    <n v="12500"/>
    <n v="0"/>
    <n v="0"/>
    <n v="0"/>
    <x v="6"/>
    <n v="0"/>
  </r>
  <r>
    <x v="2"/>
    <x v="6"/>
    <n v="103762"/>
    <n v="90000"/>
    <n v="90000"/>
    <n v="90000"/>
    <x v="6"/>
    <n v="0.86736955725602827"/>
  </r>
  <r>
    <x v="2"/>
    <x v="6"/>
    <n v="481777"/>
    <n v="415186.22749999998"/>
    <n v="415186.22749999998"/>
    <n v="415186.22749999998"/>
    <x v="6"/>
    <n v="0.86178092250148919"/>
  </r>
  <r>
    <x v="2"/>
    <x v="6"/>
    <n v="334173"/>
    <n v="331828.47999999998"/>
    <n v="321511.3"/>
    <n v="320508.79999999999"/>
    <x v="6"/>
    <n v="0.99298411301930434"/>
  </r>
  <r>
    <x v="2"/>
    <x v="6"/>
    <n v="482683"/>
    <n v="457554.14250000002"/>
    <n v="455549.14250000002"/>
    <n v="453544.14250000002"/>
    <x v="6"/>
    <n v="0.94793921165651163"/>
  </r>
  <r>
    <x v="2"/>
    <x v="6"/>
    <n v="856706"/>
    <n v="843897.57"/>
    <n v="831093.48"/>
    <n v="828490.98"/>
    <x v="6"/>
    <n v="0.98504921174825433"/>
  </r>
  <r>
    <x v="2"/>
    <x v="6"/>
    <n v="84166"/>
    <n v="81714.539999999994"/>
    <n v="81714.539999999994"/>
    <n v="74904.994999999995"/>
    <x v="6"/>
    <n v="0.97087351186940085"/>
  </r>
  <r>
    <x v="2"/>
    <x v="6"/>
    <n v="250"/>
    <n v="0"/>
    <n v="0"/>
    <n v="0"/>
    <x v="6"/>
    <n v="0"/>
  </r>
  <r>
    <x v="2"/>
    <x v="6"/>
    <n v="191982"/>
    <n v="0"/>
    <n v="0"/>
    <n v="0"/>
    <x v="6"/>
    <n v="0"/>
  </r>
  <r>
    <x v="2"/>
    <x v="6"/>
    <n v="409401"/>
    <n v="417900"/>
    <n v="417900"/>
    <n v="417900"/>
    <x v="6"/>
    <n v="1.0207595975583841"/>
  </r>
  <r>
    <x v="2"/>
    <x v="6"/>
    <n v="13628798"/>
    <n v="8977816.8399999999"/>
    <n v="8890078.9350000005"/>
    <n v="8146224.5650000004"/>
    <x v="6"/>
    <n v="0.65873871195390821"/>
  </r>
  <r>
    <x v="2"/>
    <x v="6"/>
    <n v="1000"/>
    <n v="0"/>
    <n v="0"/>
    <n v="0"/>
    <x v="6"/>
    <n v="0"/>
  </r>
  <r>
    <x v="2"/>
    <x v="6"/>
    <n v="1000"/>
    <n v="0"/>
    <n v="0"/>
    <n v="0"/>
    <x v="6"/>
    <n v="0"/>
  </r>
  <r>
    <x v="2"/>
    <x v="6"/>
    <n v="39533"/>
    <n v="1015.6"/>
    <n v="1015.6"/>
    <n v="1015.6"/>
    <x v="6"/>
    <n v="2.5689929931955582E-2"/>
  </r>
  <r>
    <x v="2"/>
    <x v="6"/>
    <n v="258239"/>
    <n v="57243.8"/>
    <n v="51388.6"/>
    <n v="40100"/>
    <x v="6"/>
    <n v="0.22166984847370072"/>
  </r>
  <r>
    <x v="2"/>
    <x v="6"/>
    <n v="964550"/>
    <n v="865408.37250000006"/>
    <n v="865408.37250000006"/>
    <n v="783801.14500000002"/>
    <x v="6"/>
    <n v="0.89721463117515943"/>
  </r>
  <r>
    <x v="2"/>
    <x v="6"/>
    <n v="38769"/>
    <n v="18389.6675"/>
    <n v="17258.4175"/>
    <n v="16255.9175"/>
    <x v="6"/>
    <n v="0.4743394851556656"/>
  </r>
  <r>
    <x v="2"/>
    <x v="6"/>
    <n v="86250"/>
    <n v="114179.735"/>
    <n v="114178.69749999999"/>
    <n v="114178.69749999999"/>
    <x v="6"/>
    <n v="1.3238230144927536"/>
  </r>
  <r>
    <x v="2"/>
    <x v="6"/>
    <n v="56750"/>
    <n v="0"/>
    <n v="0"/>
    <n v="0"/>
    <x v="6"/>
    <n v="0"/>
  </r>
  <r>
    <x v="2"/>
    <x v="6"/>
    <n v="162841"/>
    <n v="3361.7350000000001"/>
    <n v="1875.9849999999999"/>
    <n v="1813.4849999999999"/>
    <x v="6"/>
    <n v="2.0644278775001381E-2"/>
  </r>
  <r>
    <x v="2"/>
    <x v="6"/>
    <n v="13250"/>
    <n v="0"/>
    <n v="0"/>
    <n v="0"/>
    <x v="6"/>
    <n v="0"/>
  </r>
  <r>
    <x v="2"/>
    <x v="6"/>
    <n v="500"/>
    <n v="0"/>
    <n v="0"/>
    <n v="0"/>
    <x v="6"/>
    <n v="0"/>
  </r>
  <r>
    <x v="2"/>
    <x v="6"/>
    <n v="125"/>
    <n v="0"/>
    <n v="0"/>
    <n v="0"/>
    <x v="6"/>
    <n v="0"/>
  </r>
  <r>
    <x v="2"/>
    <x v="6"/>
    <n v="750"/>
    <n v="0"/>
    <n v="0"/>
    <n v="0"/>
    <x v="6"/>
    <n v="0"/>
  </r>
  <r>
    <x v="2"/>
    <x v="6"/>
    <n v="76904"/>
    <n v="0"/>
    <n v="0"/>
    <n v="0"/>
    <x v="6"/>
    <n v="0"/>
  </r>
  <r>
    <x v="2"/>
    <x v="6"/>
    <n v="375"/>
    <n v="0"/>
    <n v="0"/>
    <n v="0"/>
    <x v="6"/>
    <n v="0"/>
  </r>
  <r>
    <x v="2"/>
    <x v="6"/>
    <n v="112500"/>
    <n v="4947.5024999999996"/>
    <n v="4947.5024999999996"/>
    <n v="4947.5024999999996"/>
    <x v="6"/>
    <n v="4.3977799999999997E-2"/>
  </r>
  <r>
    <x v="2"/>
    <x v="6"/>
    <n v="125"/>
    <n v="0"/>
    <n v="0"/>
    <n v="0"/>
    <x v="6"/>
    <n v="0"/>
  </r>
  <r>
    <x v="2"/>
    <x v="6"/>
    <n v="37500"/>
    <n v="0"/>
    <n v="0"/>
    <n v="0"/>
    <x v="6"/>
    <n v="0"/>
  </r>
  <r>
    <x v="2"/>
    <x v="6"/>
    <n v="166844"/>
    <n v="0"/>
    <n v="0"/>
    <n v="0"/>
    <x v="6"/>
    <n v="0"/>
  </r>
  <r>
    <x v="2"/>
    <x v="6"/>
    <n v="58151"/>
    <n v="0"/>
    <n v="0"/>
    <n v="0"/>
    <x v="6"/>
    <n v="0"/>
  </r>
  <r>
    <x v="2"/>
    <x v="6"/>
    <n v="3598679"/>
    <n v="2818399.1625000001"/>
    <n v="2714746.8450000002"/>
    <n v="2610529.5575000001"/>
    <x v="6"/>
    <n v="0.78317603834629324"/>
  </r>
  <r>
    <x v="2"/>
    <x v="6"/>
    <n v="577000"/>
    <n v="612069.05500000005"/>
    <n v="612069.05500000005"/>
    <n v="552855.17000000004"/>
    <x v="6"/>
    <n v="1.0607782582322358"/>
  </r>
  <r>
    <x v="2"/>
    <x v="6"/>
    <n v="250"/>
    <n v="0"/>
    <n v="0"/>
    <n v="0"/>
    <x v="6"/>
    <n v="0"/>
  </r>
  <r>
    <x v="2"/>
    <x v="6"/>
    <n v="4096200"/>
    <n v="2344026.4775"/>
    <n v="2344026.4775"/>
    <n v="2224352.4550000001"/>
    <x v="6"/>
    <n v="0.57224414762462772"/>
  </r>
  <r>
    <x v="2"/>
    <x v="6"/>
    <n v="660854"/>
    <n v="0"/>
    <n v="0"/>
    <n v="0"/>
    <x v="6"/>
    <n v="0"/>
  </r>
  <r>
    <x v="2"/>
    <x v="6"/>
    <n v="3240300"/>
    <n v="508244.74249999999"/>
    <n v="119261.6375"/>
    <n v="61486.667500000003"/>
    <x v="6"/>
    <n v="0.15685113801191247"/>
  </r>
  <r>
    <x v="2"/>
    <x v="6"/>
    <n v="559471"/>
    <n v="616650.86750000005"/>
    <n v="614976.61750000005"/>
    <n v="613974.11750000005"/>
    <x v="6"/>
    <n v="1.1022034520109176"/>
  </r>
  <r>
    <x v="2"/>
    <x v="6"/>
    <n v="248014"/>
    <n v="248013.3"/>
    <n v="231999.6"/>
    <n v="214863.8"/>
    <x v="6"/>
    <n v="0.999997177578685"/>
  </r>
  <r>
    <x v="2"/>
    <x v="6"/>
    <n v="401559"/>
    <n v="383522.07250000001"/>
    <n v="383522.07250000001"/>
    <n v="383522.07250000001"/>
    <x v="6"/>
    <n v="0.95508274624650424"/>
  </r>
  <r>
    <x v="2"/>
    <x v="6"/>
    <n v="500"/>
    <n v="0"/>
    <n v="0"/>
    <n v="0"/>
    <x v="6"/>
    <n v="0"/>
  </r>
  <r>
    <x v="2"/>
    <x v="6"/>
    <n v="1000"/>
    <n v="0"/>
    <n v="0"/>
    <n v="0"/>
    <x v="6"/>
    <n v="0"/>
  </r>
  <r>
    <x v="2"/>
    <x v="6"/>
    <n v="1000000"/>
    <n v="1381715.04"/>
    <n v="1028874.82"/>
    <n v="1027983.85"/>
    <x v="6"/>
    <n v="1.38171504"/>
  </r>
  <r>
    <x v="2"/>
    <x v="6"/>
    <n v="17000"/>
    <n v="5646.482"/>
    <n v="2023.357"/>
    <n v="2023.357"/>
    <x v="6"/>
    <n v="0.332146"/>
  </r>
  <r>
    <x v="2"/>
    <x v="6"/>
    <n v="3825000"/>
    <n v="2964814.62"/>
    <n v="2964814.62"/>
    <n v="2964814.62"/>
    <x v="6"/>
    <n v="0.77511493333333337"/>
  </r>
  <r>
    <x v="2"/>
    <x v="6"/>
    <n v="122000"/>
    <n v="118399.49"/>
    <n v="85861.93"/>
    <n v="85861.93"/>
    <x v="6"/>
    <n v="0.97048762295081969"/>
  </r>
  <r>
    <x v="2"/>
    <x v="6"/>
    <n v="143100"/>
    <n v="111660"/>
    <n v="111660"/>
    <n v="111660"/>
    <x v="6"/>
    <n v="0.78029350104821804"/>
  </r>
  <r>
    <x v="2"/>
    <x v="6"/>
    <n v="382464"/>
    <n v="303183.84000000003"/>
    <n v="300281.09000000003"/>
    <n v="266518.755"/>
    <x v="6"/>
    <n v="0.79271209839357437"/>
  </r>
  <r>
    <x v="2"/>
    <x v="6"/>
    <n v="145463"/>
    <n v="51563.667500000003"/>
    <n v="48311.02"/>
    <n v="48156.52"/>
    <x v="6"/>
    <n v="0.35447960993517252"/>
  </r>
  <r>
    <x v="2"/>
    <x v="6"/>
    <n v="691669"/>
    <n v="282877.85249999998"/>
    <n v="259615.07250000001"/>
    <n v="249390.76"/>
    <x v="6"/>
    <n v="0.40897864802383799"/>
  </r>
  <r>
    <x v="2"/>
    <x v="6"/>
    <n v="288891"/>
    <n v="291732.42700000003"/>
    <n v="264755.66249999998"/>
    <n v="263425.897"/>
    <x v="6"/>
    <n v="1.0098356369703454"/>
  </r>
  <r>
    <x v="2"/>
    <x v="6"/>
    <n v="2125"/>
    <n v="0"/>
    <n v="0"/>
    <n v="0"/>
    <x v="6"/>
    <n v="0"/>
  </r>
  <r>
    <x v="2"/>
    <x v="6"/>
    <n v="500"/>
    <n v="0"/>
    <n v="0"/>
    <n v="0"/>
    <x v="6"/>
    <n v="0"/>
  </r>
  <r>
    <x v="2"/>
    <x v="6"/>
    <n v="2849163"/>
    <n v="2734478.35"/>
    <n v="2665091.4874999998"/>
    <n v="2410860.6274999999"/>
    <x v="6"/>
    <n v="0.95974795053845641"/>
  </r>
  <r>
    <x v="2"/>
    <x v="6"/>
    <n v="10023496"/>
    <n v="6844079.3799999999"/>
    <n v="6647909.2675000001"/>
    <n v="6097458.3375000004"/>
    <x v="6"/>
    <n v="0.6828036226083195"/>
  </r>
  <r>
    <x v="2"/>
    <x v="6"/>
    <n v="8511808"/>
    <n v="7988337.0250000004"/>
    <n v="7856224.6875"/>
    <n v="7237465.0449999999"/>
    <x v="6"/>
    <n v="0.93850061291326126"/>
  </r>
  <r>
    <x v="2"/>
    <x v="7"/>
    <n v="2500"/>
    <n v="0"/>
    <n v="0"/>
    <n v="0"/>
    <x v="6"/>
    <n v="0"/>
  </r>
  <r>
    <x v="2"/>
    <x v="7"/>
    <n v="2500"/>
    <n v="0"/>
    <n v="0"/>
    <n v="0"/>
    <x v="6"/>
    <n v="0"/>
  </r>
  <r>
    <x v="2"/>
    <x v="7"/>
    <n v="1250"/>
    <n v="0"/>
    <n v="0"/>
    <n v="0"/>
    <x v="6"/>
    <n v="0"/>
  </r>
  <r>
    <x v="2"/>
    <x v="7"/>
    <n v="100000"/>
    <n v="0"/>
    <n v="0"/>
    <n v="0"/>
    <x v="6"/>
    <n v="0"/>
  </r>
  <r>
    <x v="2"/>
    <x v="7"/>
    <n v="6250"/>
    <n v="0"/>
    <n v="0"/>
    <n v="0"/>
    <x v="6"/>
    <n v="0"/>
  </r>
  <r>
    <x v="2"/>
    <x v="7"/>
    <n v="17500"/>
    <n v="7538.5"/>
    <n v="7538.5"/>
    <n v="7538.5"/>
    <x v="6"/>
    <n v="0.43077142857142858"/>
  </r>
  <r>
    <x v="2"/>
    <x v="7"/>
    <n v="1375"/>
    <n v="0"/>
    <n v="0"/>
    <n v="0"/>
    <x v="6"/>
    <n v="0"/>
  </r>
  <r>
    <x v="2"/>
    <x v="7"/>
    <n v="7000"/>
    <n v="32010"/>
    <n v="29342.5"/>
    <n v="26675"/>
    <x v="6"/>
    <n v="4.572857142857143"/>
  </r>
  <r>
    <x v="2"/>
    <x v="7"/>
    <n v="7500"/>
    <n v="0"/>
    <n v="0"/>
    <n v="0"/>
    <x v="6"/>
    <n v="0"/>
  </r>
  <r>
    <x v="2"/>
    <x v="7"/>
    <n v="7500"/>
    <n v="0"/>
    <n v="0"/>
    <n v="0"/>
    <x v="6"/>
    <n v="0"/>
  </r>
  <r>
    <x v="2"/>
    <x v="7"/>
    <n v="1862275"/>
    <n v="1414656.5874999999"/>
    <n v="1405885.2475000001"/>
    <n v="1181986.0575000001"/>
    <x v="6"/>
    <n v="0.75963892953511158"/>
  </r>
  <r>
    <x v="2"/>
    <x v="7"/>
    <n v="10000"/>
    <n v="3780"/>
    <n v="2625"/>
    <n v="2625"/>
    <x v="6"/>
    <n v="0.378"/>
  </r>
  <r>
    <x v="2"/>
    <x v="7"/>
    <n v="500"/>
    <n v="0"/>
    <n v="0"/>
    <n v="0"/>
    <x v="6"/>
    <n v="0"/>
  </r>
  <r>
    <x v="2"/>
    <x v="7"/>
    <n v="17500"/>
    <n v="4017.16"/>
    <n v="2430.0774999999999"/>
    <n v="2430.0774999999999"/>
    <x v="6"/>
    <n v="0.22955199999999998"/>
  </r>
  <r>
    <x v="2"/>
    <x v="7"/>
    <n v="9500"/>
    <n v="0"/>
    <n v="0"/>
    <n v="0"/>
    <x v="6"/>
    <n v="0"/>
  </r>
  <r>
    <x v="2"/>
    <x v="7"/>
    <n v="17500"/>
    <n v="0"/>
    <n v="0"/>
    <n v="0"/>
    <x v="6"/>
    <n v="0"/>
  </r>
  <r>
    <x v="2"/>
    <x v="7"/>
    <n v="87000"/>
    <n v="575"/>
    <n v="575"/>
    <n v="575"/>
    <x v="6"/>
    <n v="6.6091954022988505E-3"/>
  </r>
  <r>
    <x v="2"/>
    <x v="7"/>
    <n v="3250"/>
    <n v="0"/>
    <n v="0"/>
    <n v="0"/>
    <x v="6"/>
    <n v="0"/>
  </r>
  <r>
    <x v="2"/>
    <x v="7"/>
    <n v="5000"/>
    <n v="0"/>
    <n v="0"/>
    <n v="0"/>
    <x v="6"/>
    <n v="0"/>
  </r>
  <r>
    <x v="2"/>
    <x v="7"/>
    <n v="8750"/>
    <n v="0"/>
    <n v="0"/>
    <n v="0"/>
    <x v="6"/>
    <n v="0"/>
  </r>
  <r>
    <x v="2"/>
    <x v="7"/>
    <n v="2000"/>
    <n v="0"/>
    <n v="0"/>
    <n v="0"/>
    <x v="6"/>
    <n v="0"/>
  </r>
  <r>
    <x v="2"/>
    <x v="7"/>
    <n v="122575"/>
    <n v="963.20749999999998"/>
    <n v="582.9325"/>
    <n v="582.9325"/>
    <x v="6"/>
    <n v="7.8581072812563737E-3"/>
  </r>
  <r>
    <x v="2"/>
    <x v="7"/>
    <n v="208625"/>
    <n v="9795.4125000000004"/>
    <n v="9795.4125000000004"/>
    <n v="9795.4125000000004"/>
    <x v="6"/>
    <n v="4.6952246854403835E-2"/>
  </r>
  <r>
    <x v="2"/>
    <x v="7"/>
    <n v="2500"/>
    <n v="0"/>
    <n v="0"/>
    <n v="0"/>
    <x v="6"/>
    <n v="0"/>
  </r>
  <r>
    <x v="2"/>
    <x v="7"/>
    <n v="5625"/>
    <n v="547.75"/>
    <n v="547.75"/>
    <n v="547.75"/>
    <x v="6"/>
    <n v="9.7377777777777771E-2"/>
  </r>
  <r>
    <x v="2"/>
    <x v="7"/>
    <n v="139472"/>
    <n v="129711.03"/>
    <n v="113234.2375"/>
    <n v="113222.7825"/>
    <x v="6"/>
    <n v="0.93001484168865434"/>
  </r>
  <r>
    <x v="2"/>
    <x v="7"/>
    <n v="501469"/>
    <n v="0"/>
    <n v="0"/>
    <n v="0"/>
    <x v="6"/>
    <n v="0"/>
  </r>
  <r>
    <x v="1"/>
    <x v="3"/>
    <n v="15250"/>
    <n v="335.25"/>
    <n v="0"/>
    <n v="0"/>
    <x v="6"/>
    <n v="2.198360655737705E-2"/>
  </r>
  <r>
    <x v="1"/>
    <x v="3"/>
    <n v="175120"/>
    <n v="161481.83499999999"/>
    <n v="108504.14"/>
    <n v="100275.26"/>
    <x v="6"/>
    <n v="0.92212103129282774"/>
  </r>
  <r>
    <x v="1"/>
    <x v="3"/>
    <n v="1146036"/>
    <n v="476722.34"/>
    <n v="435188.36499999999"/>
    <n v="406845.79249999998"/>
    <x v="6"/>
    <n v="0.41597501300133682"/>
  </r>
  <r>
    <x v="1"/>
    <x v="3"/>
    <n v="93125"/>
    <n v="0"/>
    <n v="0"/>
    <n v="0"/>
    <x v="6"/>
    <n v="0"/>
  </r>
  <r>
    <x v="1"/>
    <x v="3"/>
    <n v="164785"/>
    <n v="0"/>
    <n v="0"/>
    <n v="0"/>
    <x v="6"/>
    <n v="0"/>
  </r>
  <r>
    <x v="1"/>
    <x v="3"/>
    <n v="1289500"/>
    <n v="552418.75"/>
    <n v="527990"/>
    <n v="527990"/>
    <x v="6"/>
    <n v="0.42839763474214809"/>
  </r>
  <r>
    <x v="1"/>
    <x v="3"/>
    <n v="431000"/>
    <n v="181812.5"/>
    <n v="170125"/>
    <n v="170125"/>
    <x v="6"/>
    <n v="0.42183874709976799"/>
  </r>
  <r>
    <x v="1"/>
    <x v="3"/>
    <n v="970275"/>
    <n v="695278.75"/>
    <n v="666162.5"/>
    <n v="666162.5"/>
    <x v="6"/>
    <n v="0.71657906263688131"/>
  </r>
  <r>
    <x v="1"/>
    <x v="3"/>
    <n v="80750"/>
    <n v="58375"/>
    <n v="50250"/>
    <n v="50250"/>
    <x v="6"/>
    <n v="0.72291021671826627"/>
  </r>
  <r>
    <x v="1"/>
    <x v="3"/>
    <n v="1250"/>
    <n v="0"/>
    <n v="0"/>
    <n v="0"/>
    <x v="6"/>
    <n v="0"/>
  </r>
  <r>
    <x v="1"/>
    <x v="3"/>
    <n v="1089174"/>
    <n v="0"/>
    <n v="0"/>
    <n v="0"/>
    <x v="6"/>
    <n v="0"/>
  </r>
  <r>
    <x v="1"/>
    <x v="3"/>
    <n v="437384"/>
    <n v="3654.9074999999998"/>
    <n v="3654.9074999999998"/>
    <n v="3654.9074999999998"/>
    <x v="6"/>
    <n v="8.3562898962925014E-3"/>
  </r>
  <r>
    <x v="1"/>
    <x v="3"/>
    <n v="251000"/>
    <n v="0"/>
    <n v="0"/>
    <n v="0"/>
    <x v="6"/>
    <n v="0"/>
  </r>
  <r>
    <x v="1"/>
    <x v="3"/>
    <n v="6089360"/>
    <n v="4052857.2349999999"/>
    <n v="3295871.1575000002"/>
    <n v="2229138.5649999999"/>
    <x v="6"/>
    <n v="0.66556374315198963"/>
  </r>
  <r>
    <x v="1"/>
    <x v="3"/>
    <n v="326166"/>
    <n v="188312.51250000001"/>
    <n v="124662.5"/>
    <n v="115997.8125"/>
    <x v="6"/>
    <n v="0.57735175493460389"/>
  </r>
  <r>
    <x v="1"/>
    <x v="3"/>
    <n v="4560138"/>
    <n v="2728388.9849999999"/>
    <n v="1714008.2124999999"/>
    <n v="1410123.43"/>
    <x v="6"/>
    <n v="0.5983128109280903"/>
  </r>
  <r>
    <x v="1"/>
    <x v="3"/>
    <n v="186142"/>
    <n v="82067.904999999999"/>
    <n v="69669.904999999999"/>
    <n v="66175.442500000005"/>
    <x v="6"/>
    <n v="0.4408887032480579"/>
  </r>
  <r>
    <x v="1"/>
    <x v="3"/>
    <n v="84165"/>
    <n v="0"/>
    <n v="0"/>
    <n v="0"/>
    <x v="6"/>
    <n v="0"/>
  </r>
  <r>
    <x v="1"/>
    <x v="3"/>
    <n v="464775"/>
    <n v="229475"/>
    <n v="38178.767500000002"/>
    <n v="32113.467499999999"/>
    <x v="6"/>
    <n v="0.49373352697541822"/>
  </r>
  <r>
    <x v="1"/>
    <x v="3"/>
    <n v="1139104"/>
    <n v="406167.99249999999"/>
    <n v="239493.71249999999"/>
    <n v="217147.92249999999"/>
    <x v="6"/>
    <n v="0.35656796262676632"/>
  </r>
  <r>
    <x v="1"/>
    <x v="3"/>
    <n v="1076790"/>
    <n v="812262.58750000002"/>
    <n v="581180.51"/>
    <n v="437414.09749999997"/>
    <x v="6"/>
    <n v="0.75433704575636851"/>
  </r>
  <r>
    <x v="1"/>
    <x v="3"/>
    <n v="2703649"/>
    <n v="3207120.8725000001"/>
    <n v="2891546.5674999999"/>
    <n v="2827295.8975"/>
    <x v="6"/>
    <n v="1.1862193918293389"/>
  </r>
  <r>
    <x v="1"/>
    <x v="3"/>
    <n v="667393"/>
    <n v="412500"/>
    <n v="351779.88500000001"/>
    <n v="324258.88"/>
    <x v="6"/>
    <n v="0.61807660553826604"/>
  </r>
  <r>
    <x v="1"/>
    <x v="3"/>
    <n v="411223"/>
    <n v="0"/>
    <n v="0"/>
    <n v="0"/>
    <x v="6"/>
    <n v="0"/>
  </r>
  <r>
    <x v="1"/>
    <x v="3"/>
    <n v="4732615"/>
    <n v="0"/>
    <n v="0"/>
    <n v="0"/>
    <x v="6"/>
    <n v="0"/>
  </r>
  <r>
    <x v="1"/>
    <x v="3"/>
    <n v="259927"/>
    <n v="332631.32500000001"/>
    <n v="98773.014999999999"/>
    <n v="98773.014999999999"/>
    <x v="6"/>
    <n v="1.2797105533476707"/>
  </r>
  <r>
    <x v="1"/>
    <x v="3"/>
    <n v="5059776"/>
    <n v="8147173.6900000004"/>
    <n v="6112719.8174999999"/>
    <n v="5779433.7699999996"/>
    <x v="6"/>
    <n v="1.6101846583722284"/>
  </r>
  <r>
    <x v="1"/>
    <x v="3"/>
    <n v="302890"/>
    <n v="625000"/>
    <n v="609984.91249999998"/>
    <n v="609984.91249999998"/>
    <x v="6"/>
    <n v="2.0634553798408661"/>
  </r>
  <r>
    <x v="1"/>
    <x v="3"/>
    <n v="4427441"/>
    <n v="3376974.93"/>
    <n v="2498030.9874999998"/>
    <n v="2158584.105"/>
    <x v="6"/>
    <n v="0.76273742100685249"/>
  </r>
  <r>
    <x v="1"/>
    <x v="3"/>
    <n v="170500"/>
    <n v="0"/>
    <n v="0"/>
    <n v="0"/>
    <x v="6"/>
    <n v="0"/>
  </r>
  <r>
    <x v="1"/>
    <x v="3"/>
    <n v="908038"/>
    <n v="446073.34250000003"/>
    <n v="400351.8175"/>
    <n v="307766.745"/>
    <x v="6"/>
    <n v="0.4912496420854634"/>
  </r>
  <r>
    <x v="1"/>
    <x v="3"/>
    <n v="947990"/>
    <n v="396351.09499999997"/>
    <n v="209872.48"/>
    <n v="177692.065"/>
    <x v="6"/>
    <n v="0.41809628266120946"/>
  </r>
  <r>
    <x v="1"/>
    <x v="3"/>
    <n v="261533"/>
    <n v="0"/>
    <n v="0"/>
    <n v="0"/>
    <x v="6"/>
    <n v="0"/>
  </r>
  <r>
    <x v="1"/>
    <x v="3"/>
    <n v="17131110"/>
    <n v="55000"/>
    <n v="40546.980000000003"/>
    <n v="40546.980000000003"/>
    <x v="6"/>
    <n v="3.2105333513123202E-3"/>
  </r>
  <r>
    <x v="1"/>
    <x v="3"/>
    <n v="243470"/>
    <n v="536538.31999999995"/>
    <n v="458823.27250000002"/>
    <n v="419871.51500000001"/>
    <x v="6"/>
    <n v="2.2037142974493777"/>
  </r>
  <r>
    <x v="1"/>
    <x v="3"/>
    <n v="79750"/>
    <n v="0"/>
    <n v="0"/>
    <n v="0"/>
    <x v="6"/>
    <n v="0"/>
  </r>
  <r>
    <x v="1"/>
    <x v="3"/>
    <n v="50500"/>
    <n v="2105.7275"/>
    <n v="878.77750000000003"/>
    <n v="878.77750000000003"/>
    <x v="6"/>
    <n v="4.1697574257425742E-2"/>
  </r>
  <r>
    <x v="1"/>
    <x v="3"/>
    <n v="8000"/>
    <n v="0"/>
    <n v="0"/>
    <n v="0"/>
    <x v="6"/>
    <n v="0"/>
  </r>
  <r>
    <x v="1"/>
    <x v="3"/>
    <n v="454510"/>
    <n v="0"/>
    <n v="0"/>
    <n v="0"/>
    <x v="6"/>
    <n v="0"/>
  </r>
  <r>
    <x v="1"/>
    <x v="3"/>
    <n v="961390"/>
    <n v="0"/>
    <n v="0"/>
    <n v="0"/>
    <x v="6"/>
    <n v="0"/>
  </r>
  <r>
    <x v="1"/>
    <x v="3"/>
    <n v="51760"/>
    <n v="0"/>
    <n v="0"/>
    <n v="0"/>
    <x v="6"/>
    <n v="0"/>
  </r>
  <r>
    <x v="1"/>
    <x v="3"/>
    <n v="111639"/>
    <n v="0"/>
    <n v="0"/>
    <n v="0"/>
    <x v="6"/>
    <n v="0"/>
  </r>
  <r>
    <x v="1"/>
    <x v="3"/>
    <n v="252250"/>
    <n v="0"/>
    <n v="0"/>
    <n v="0"/>
    <x v="6"/>
    <n v="0"/>
  </r>
  <r>
    <x v="1"/>
    <x v="3"/>
    <n v="1598775"/>
    <n v="39309.055"/>
    <n v="32797.732499999998"/>
    <n v="17318.38"/>
    <x v="6"/>
    <n v="2.4586983784459976E-2"/>
  </r>
  <r>
    <x v="1"/>
    <x v="4"/>
    <n v="3178849"/>
    <n v="2351441.7400000002"/>
    <n v="1735705.7749999999"/>
    <n v="1735705.7749999999"/>
    <x v="6"/>
    <n v="0.73971482759954943"/>
  </r>
  <r>
    <x v="1"/>
    <x v="4"/>
    <n v="8470530"/>
    <n v="9033556.9250000007"/>
    <n v="8170229.8174999999"/>
    <n v="8170229.8174999999"/>
    <x v="6"/>
    <n v="1.0664689133973908"/>
  </r>
  <r>
    <x v="1"/>
    <x v="4"/>
    <n v="407220"/>
    <n v="582064.6825"/>
    <n v="456081.495"/>
    <n v="456081.495"/>
    <x v="6"/>
    <n v="1.4293617270762733"/>
  </r>
  <r>
    <x v="1"/>
    <x v="4"/>
    <n v="26514652"/>
    <n v="22562126.8325"/>
    <n v="18710057.317499999"/>
    <n v="18710057.317499999"/>
    <x v="6"/>
    <n v="0.85093052824151716"/>
  </r>
  <r>
    <x v="1"/>
    <x v="4"/>
    <n v="1840590"/>
    <n v="1572067.63"/>
    <n v="1409043.0049999999"/>
    <n v="1408048.69"/>
    <x v="6"/>
    <n v="0.85411070906611464"/>
  </r>
  <r>
    <x v="1"/>
    <x v="4"/>
    <n v="8453194"/>
    <n v="5981410.7474999996"/>
    <n v="5054932.8825000003"/>
    <n v="5054932.8825000003"/>
    <x v="6"/>
    <n v="0.70759179873311784"/>
  </r>
  <r>
    <x v="1"/>
    <x v="4"/>
    <n v="28947390"/>
    <n v="27959199.539999999"/>
    <n v="27020483.747499999"/>
    <n v="26882211.074999999"/>
    <x v="6"/>
    <n v="0.96586253682974521"/>
  </r>
  <r>
    <x v="1"/>
    <x v="4"/>
    <n v="4756924"/>
    <n v="4026931.59"/>
    <n v="2046037.9424999999"/>
    <n v="1859621.8875"/>
    <x v="6"/>
    <n v="0.84654108201013933"/>
  </r>
  <r>
    <x v="1"/>
    <x v="4"/>
    <n v="510301"/>
    <n v="0"/>
    <n v="0"/>
    <n v="0"/>
    <x v="6"/>
    <n v="0"/>
  </r>
  <r>
    <x v="1"/>
    <x v="4"/>
    <n v="2022331"/>
    <n v="2837774.9624999999"/>
    <n v="2352184.7025000001"/>
    <n v="2283328.0350000001"/>
    <x v="6"/>
    <n v="1.4032198302355054"/>
  </r>
  <r>
    <x v="1"/>
    <x v="4"/>
    <n v="26334025"/>
    <n v="24135756.385000002"/>
    <n v="19620496.107500002"/>
    <n v="19620496.107500002"/>
    <x v="6"/>
    <n v="0.91652363757534228"/>
  </r>
  <r>
    <x v="1"/>
    <x v="4"/>
    <n v="2500"/>
    <n v="0"/>
    <n v="0"/>
    <n v="0"/>
    <x v="6"/>
    <n v="0"/>
  </r>
  <r>
    <x v="1"/>
    <x v="4"/>
    <n v="564067"/>
    <n v="0"/>
    <n v="0"/>
    <n v="0"/>
    <x v="6"/>
    <n v="0"/>
  </r>
  <r>
    <x v="1"/>
    <x v="4"/>
    <n v="84965"/>
    <n v="0"/>
    <n v="0"/>
    <n v="0"/>
    <x v="6"/>
    <n v="0"/>
  </r>
  <r>
    <x v="1"/>
    <x v="4"/>
    <n v="2700"/>
    <n v="0"/>
    <n v="0"/>
    <n v="0"/>
    <x v="6"/>
    <n v="0"/>
  </r>
  <r>
    <x v="1"/>
    <x v="4"/>
    <n v="6225405"/>
    <n v="3953166.9725000001"/>
    <n v="3225617.6274999999"/>
    <n v="3225617.6274999999"/>
    <x v="6"/>
    <n v="0.63500558959617892"/>
  </r>
  <r>
    <x v="1"/>
    <x v="4"/>
    <n v="95573770"/>
    <n v="16940723.497499999"/>
    <n v="8593781.7449999992"/>
    <n v="7989959.9874999998"/>
    <x v="6"/>
    <n v="0.17725285397342805"/>
  </r>
  <r>
    <x v="1"/>
    <x v="4"/>
    <n v="1094775"/>
    <n v="581472.16500000004"/>
    <n v="539785.02749999997"/>
    <n v="538806.27749999997"/>
    <x v="6"/>
    <n v="0.53113394533123248"/>
  </r>
  <r>
    <x v="1"/>
    <x v="4"/>
    <n v="13122908"/>
    <n v="1547765.5325"/>
    <n v="1277953.0049999999"/>
    <n v="1186322.5774999999"/>
    <x v="6"/>
    <n v="0.11794379206956263"/>
  </r>
  <r>
    <x v="1"/>
    <x v="4"/>
    <n v="8500"/>
    <n v="0"/>
    <n v="0"/>
    <n v="0"/>
    <x v="6"/>
    <n v="0"/>
  </r>
  <r>
    <x v="1"/>
    <x v="5"/>
    <n v="7198235"/>
    <n v="7886243.0175000001"/>
    <n v="6631909.5525000002"/>
    <n v="6380939.7050000001"/>
    <x v="6"/>
    <n v="1.0955800994966127"/>
  </r>
  <r>
    <x v="1"/>
    <x v="5"/>
    <n v="4346325"/>
    <n v="370406.5025"/>
    <n v="324248.4425"/>
    <n v="277041.33500000002"/>
    <x v="6"/>
    <n v="8.522291878771146E-2"/>
  </r>
  <r>
    <x v="1"/>
    <x v="5"/>
    <n v="500000"/>
    <n v="703411.36750000005"/>
    <n v="231827.3425"/>
    <n v="214916.64749999999"/>
    <x v="6"/>
    <n v="1.4068227350000002"/>
  </r>
  <r>
    <x v="1"/>
    <x v="5"/>
    <n v="862500"/>
    <n v="449848.9"/>
    <n v="449848.9"/>
    <n v="449848.9"/>
    <x v="6"/>
    <n v="0.52156394202898548"/>
  </r>
  <r>
    <x v="1"/>
    <x v="5"/>
    <n v="311250"/>
    <n v="0"/>
    <n v="0"/>
    <n v="0"/>
    <x v="6"/>
    <n v="0"/>
  </r>
  <r>
    <x v="1"/>
    <x v="5"/>
    <n v="31683759"/>
    <n v="22435423.657499999"/>
    <n v="15585003.965"/>
    <n v="11988232.7775"/>
    <x v="6"/>
    <n v="0.70810485768118614"/>
  </r>
  <r>
    <x v="1"/>
    <x v="5"/>
    <n v="2250"/>
    <n v="0"/>
    <n v="0"/>
    <n v="0"/>
    <x v="6"/>
    <n v="0"/>
  </r>
  <r>
    <x v="1"/>
    <x v="5"/>
    <n v="83645600"/>
    <n v="80341966.237499997"/>
    <n v="76712765.617500007"/>
    <n v="72513433.417500004"/>
    <x v="6"/>
    <n v="0.96050439278933974"/>
  </r>
  <r>
    <x v="1"/>
    <x v="5"/>
    <n v="6861325"/>
    <n v="1948217.2549999999"/>
    <n v="814965.77"/>
    <n v="45476.26"/>
    <x v="6"/>
    <n v="0.28394184140818279"/>
  </r>
  <r>
    <x v="1"/>
    <x v="5"/>
    <n v="443747"/>
    <n v="60422.25"/>
    <n v="43571.042500000003"/>
    <n v="40321.042500000003"/>
    <x v="6"/>
    <n v="0.13616373744498556"/>
  </r>
  <r>
    <x v="1"/>
    <x v="5"/>
    <n v="441575"/>
    <n v="136346.58499999999"/>
    <n v="134310"/>
    <n v="134310"/>
    <x v="6"/>
    <n v="0.30877333408820695"/>
  </r>
  <r>
    <x v="1"/>
    <x v="5"/>
    <n v="236725"/>
    <n v="0"/>
    <n v="0"/>
    <n v="0"/>
    <x v="6"/>
    <n v="0"/>
  </r>
  <r>
    <x v="1"/>
    <x v="5"/>
    <n v="4575881"/>
    <n v="3715288.8450000002"/>
    <n v="3692531.12"/>
    <n v="3651913.4950000001"/>
    <x v="6"/>
    <n v="0.81192864171948531"/>
  </r>
  <r>
    <x v="1"/>
    <x v="5"/>
    <n v="35912250"/>
    <n v="33989868.707500003"/>
    <n v="24997460.892499998"/>
    <n v="18753669.602499999"/>
    <x v="6"/>
    <n v="0.94647004037619487"/>
  </r>
  <r>
    <x v="1"/>
    <x v="5"/>
    <n v="145777201"/>
    <n v="144904184.58250001"/>
    <n v="144534216.33000001"/>
    <n v="130108401.4425"/>
    <x v="6"/>
    <n v="0.99401129661215004"/>
  </r>
  <r>
    <x v="1"/>
    <x v="5"/>
    <n v="7750000"/>
    <n v="1944336.0825"/>
    <n v="1547946.575"/>
    <n v="1398860.41"/>
    <x v="6"/>
    <n v="0.25088207516129035"/>
  </r>
  <r>
    <x v="1"/>
    <x v="5"/>
    <n v="250000"/>
    <n v="0"/>
    <n v="0"/>
    <n v="0"/>
    <x v="6"/>
    <n v="0"/>
  </r>
  <r>
    <x v="1"/>
    <x v="5"/>
    <n v="801250"/>
    <n v="0"/>
    <n v="0"/>
    <n v="0"/>
    <x v="6"/>
    <n v="0"/>
  </r>
  <r>
    <x v="1"/>
    <x v="5"/>
    <n v="15000"/>
    <n v="0"/>
    <n v="0"/>
    <n v="0"/>
    <x v="6"/>
    <n v="0"/>
  </r>
  <r>
    <x v="1"/>
    <x v="5"/>
    <n v="416925"/>
    <n v="0"/>
    <n v="0"/>
    <n v="0"/>
    <x v="6"/>
    <n v="0"/>
  </r>
  <r>
    <x v="1"/>
    <x v="5"/>
    <n v="16269713"/>
    <n v="15044742.24"/>
    <n v="13849426.51"/>
    <n v="13711808.52"/>
    <x v="6"/>
    <n v="0.92470852067273712"/>
  </r>
  <r>
    <x v="1"/>
    <x v="5"/>
    <n v="10288805"/>
    <n v="10176019.922499999"/>
    <n v="8824475.4975000005"/>
    <n v="8673289.0625"/>
    <x v="6"/>
    <n v="0.98903807803724531"/>
  </r>
  <r>
    <x v="1"/>
    <x v="5"/>
    <n v="38829537"/>
    <n v="35187230.060000002"/>
    <n v="32653227.4175"/>
    <n v="32344617.682500001"/>
    <x v="6"/>
    <n v="0.90619751814192384"/>
  </r>
  <r>
    <x v="1"/>
    <x v="5"/>
    <n v="1230019"/>
    <n v="1571394.9750000001"/>
    <n v="1046579.8824999999"/>
    <n v="960799.80500000005"/>
    <x v="6"/>
    <n v="1.2775371559301116"/>
  </r>
  <r>
    <x v="1"/>
    <x v="5"/>
    <n v="615379"/>
    <n v="335122.61499999999"/>
    <n v="242731.92"/>
    <n v="219292.41250000001"/>
    <x v="6"/>
    <n v="0.54457921866037029"/>
  </r>
  <r>
    <x v="1"/>
    <x v="5"/>
    <n v="155273"/>
    <n v="595312.48"/>
    <n v="325582.92249999999"/>
    <n v="307252.70750000002"/>
    <x v="6"/>
    <n v="3.8339729379866427"/>
  </r>
  <r>
    <x v="1"/>
    <x v="5"/>
    <n v="980000"/>
    <n v="1056203.1074999999"/>
    <n v="565551.19750000001"/>
    <n v="438852.125"/>
    <x v="6"/>
    <n v="1.0777582729591837"/>
  </r>
  <r>
    <x v="1"/>
    <x v="5"/>
    <n v="3097250"/>
    <n v="2666651.3574999999"/>
    <n v="2063512.8875"/>
    <n v="2063512.8875"/>
    <x v="6"/>
    <n v="0.86097388247639028"/>
  </r>
  <r>
    <x v="1"/>
    <x v="5"/>
    <n v="1420000"/>
    <n v="1257319.0575000001"/>
    <n v="1023001.0649999999"/>
    <n v="915333.98499999999"/>
    <x v="6"/>
    <n v="0.88543595598591562"/>
  </r>
  <r>
    <x v="1"/>
    <x v="5"/>
    <n v="2355250"/>
    <n v="3216930.06"/>
    <n v="2429546.3774999999"/>
    <n v="2179391.1575000002"/>
    <x v="6"/>
    <n v="1.3658550302515657"/>
  </r>
  <r>
    <x v="1"/>
    <x v="5"/>
    <n v="83545000"/>
    <n v="89815707.265000001"/>
    <n v="76085055.232500002"/>
    <n v="72790922.702500001"/>
    <x v="6"/>
    <n v="1.0750578402657252"/>
  </r>
  <r>
    <x v="1"/>
    <x v="5"/>
    <n v="375000"/>
    <n v="47631.197500000002"/>
    <n v="47631.197500000002"/>
    <n v="47631.197500000002"/>
    <x v="6"/>
    <n v="0.12701652666666668"/>
  </r>
  <r>
    <x v="1"/>
    <x v="5"/>
    <n v="4943500"/>
    <n v="3958349.855"/>
    <n v="3481414.07"/>
    <n v="3070640.8525"/>
    <x v="6"/>
    <n v="0.80071808536462019"/>
  </r>
  <r>
    <x v="1"/>
    <x v="5"/>
    <n v="19356275"/>
    <n v="22385325.085000001"/>
    <n v="16615837.237500001"/>
    <n v="11491011.74"/>
    <x v="6"/>
    <n v="1.1564893082475838"/>
  </r>
  <r>
    <x v="1"/>
    <x v="5"/>
    <n v="4685924"/>
    <n v="1021763.02"/>
    <n v="620233.1825"/>
    <n v="593216.08499999996"/>
    <x v="6"/>
    <n v="0.2180494220563543"/>
  </r>
  <r>
    <x v="1"/>
    <x v="5"/>
    <n v="248096250"/>
    <n v="271961022.42250001"/>
    <n v="219413319.8475"/>
    <n v="210728689.73500001"/>
    <x v="6"/>
    <n v="1.0961915886374745"/>
  </r>
  <r>
    <x v="1"/>
    <x v="5"/>
    <n v="6375000"/>
    <n v="6929669.2850000001"/>
    <n v="5302288.3025000002"/>
    <n v="5268395.6924999999"/>
    <x v="6"/>
    <n v="1.0870069466666668"/>
  </r>
  <r>
    <x v="1"/>
    <x v="5"/>
    <n v="69744962"/>
    <n v="73401732.717500001"/>
    <n v="64432147.560000002"/>
    <n v="64432147.560000002"/>
    <x v="6"/>
    <n v="1.0524306073534029"/>
  </r>
  <r>
    <x v="1"/>
    <x v="5"/>
    <n v="50000"/>
    <n v="0"/>
    <n v="0"/>
    <n v="0"/>
    <x v="6"/>
    <n v="0"/>
  </r>
  <r>
    <x v="1"/>
    <x v="5"/>
    <n v="1500000"/>
    <n v="0"/>
    <n v="0"/>
    <n v="0"/>
    <x v="6"/>
    <n v="0"/>
  </r>
  <r>
    <x v="1"/>
    <x v="5"/>
    <n v="5726500"/>
    <n v="7208023.5774999997"/>
    <n v="5812671.46"/>
    <n v="4965675.97"/>
    <x v="6"/>
    <n v="1.2587136256875928"/>
  </r>
  <r>
    <x v="1"/>
    <x v="5"/>
    <n v="164750"/>
    <n v="65747.794999999998"/>
    <n v="33770.837500000001"/>
    <n v="30253.794999999998"/>
    <x v="6"/>
    <n v="0.39907614567526556"/>
  </r>
  <r>
    <x v="1"/>
    <x v="5"/>
    <n v="1628750"/>
    <n v="578907.96250000002"/>
    <n v="494223.2525"/>
    <n v="314473.64250000002"/>
    <x v="6"/>
    <n v="0.35543082885648503"/>
  </r>
  <r>
    <x v="1"/>
    <x v="5"/>
    <n v="2186500"/>
    <n v="2089517.8774999999"/>
    <n v="1697100.6125"/>
    <n v="1486251.5"/>
    <x v="6"/>
    <n v="0.95564503887491425"/>
  </r>
  <r>
    <x v="1"/>
    <x v="5"/>
    <n v="9694000"/>
    <n v="2609356.5274999999"/>
    <n v="2555572.42"/>
    <n v="2390782.9049999998"/>
    <x v="6"/>
    <n v="0.26917232592325147"/>
  </r>
  <r>
    <x v="1"/>
    <x v="5"/>
    <n v="3105500"/>
    <n v="2239783.7374999998"/>
    <n v="1752428.5925"/>
    <n v="1584279.57"/>
    <x v="6"/>
    <n v="0.72123127918209617"/>
  </r>
  <r>
    <x v="1"/>
    <x v="5"/>
    <n v="913000"/>
    <n v="669535.75749999995"/>
    <n v="585200.63249999995"/>
    <n v="499758.90250000003"/>
    <x v="6"/>
    <n v="0.73333598849945225"/>
  </r>
  <r>
    <x v="1"/>
    <x v="5"/>
    <n v="573112"/>
    <n v="364140.2525"/>
    <n v="349544.97"/>
    <n v="324569.46500000003"/>
    <x v="6"/>
    <n v="0.6353736311576097"/>
  </r>
  <r>
    <x v="0"/>
    <x v="0"/>
    <n v="299499"/>
    <n v="263535.81"/>
    <n v="249190.35"/>
    <n v="213584.79"/>
    <x v="7"/>
    <n v="0.87992217002394002"/>
  </r>
  <r>
    <x v="0"/>
    <x v="0"/>
    <n v="200000"/>
    <n v="184200"/>
    <n v="184200"/>
    <n v="184200"/>
    <x v="7"/>
    <n v="0.92100000000000004"/>
  </r>
  <r>
    <x v="0"/>
    <x v="0"/>
    <n v="1902200"/>
    <n v="740878.38"/>
    <n v="0"/>
    <n v="0"/>
    <x v="7"/>
    <n v="0.38948500683419202"/>
  </r>
  <r>
    <x v="0"/>
    <x v="0"/>
    <n v="4875"/>
    <n v="1457.8"/>
    <n v="1457.8"/>
    <n v="1457.8"/>
    <x v="7"/>
    <n v="0.29903589743589742"/>
  </r>
  <r>
    <x v="0"/>
    <x v="0"/>
    <n v="3350085"/>
    <n v="2366321.7599999998"/>
    <n v="2146550.25"/>
    <n v="2145285.25"/>
    <x v="7"/>
    <n v="0.70634678224582359"/>
  </r>
  <r>
    <x v="0"/>
    <x v="0"/>
    <n v="136750"/>
    <n v="19023.88"/>
    <n v="18904.599999999999"/>
    <n v="18573.88"/>
    <x v="7"/>
    <n v="0.13911429616087753"/>
  </r>
  <r>
    <x v="0"/>
    <x v="0"/>
    <n v="84250"/>
    <n v="51900"/>
    <n v="34486.379999999997"/>
    <n v="18639.38"/>
    <x v="7"/>
    <n v="0.61602373887240358"/>
  </r>
  <r>
    <x v="0"/>
    <x v="0"/>
    <n v="561300"/>
    <n v="0"/>
    <n v="0"/>
    <n v="0"/>
    <x v="7"/>
    <n v="0"/>
  </r>
  <r>
    <x v="0"/>
    <x v="0"/>
    <n v="2135075"/>
    <n v="1826788.36"/>
    <n v="1817617.93"/>
    <n v="1816247.37"/>
    <x v="7"/>
    <n v="0.85560851960703965"/>
  </r>
  <r>
    <x v="0"/>
    <x v="0"/>
    <n v="2687242"/>
    <n v="2990500.8"/>
    <n v="2710212.71"/>
    <n v="2684923.86"/>
    <x v="7"/>
    <n v="1.1128513174474051"/>
  </r>
  <r>
    <x v="0"/>
    <x v="0"/>
    <n v="39000"/>
    <n v="0"/>
    <n v="0"/>
    <n v="0"/>
    <x v="7"/>
    <n v="0"/>
  </r>
  <r>
    <x v="0"/>
    <x v="0"/>
    <n v="1631000"/>
    <n v="1465099.44"/>
    <n v="1465099.44"/>
    <n v="1465099.44"/>
    <x v="7"/>
    <n v="0.89828291845493557"/>
  </r>
  <r>
    <x v="0"/>
    <x v="0"/>
    <n v="452000"/>
    <n v="38875"/>
    <n v="38875"/>
    <n v="38875"/>
    <x v="7"/>
    <n v="8.6006637168141595E-2"/>
  </r>
  <r>
    <x v="0"/>
    <x v="0"/>
    <n v="1250"/>
    <n v="0"/>
    <n v="0"/>
    <n v="0"/>
    <x v="7"/>
    <n v="0"/>
  </r>
  <r>
    <x v="0"/>
    <x v="0"/>
    <n v="17500"/>
    <n v="0"/>
    <n v="0"/>
    <n v="0"/>
    <x v="7"/>
    <n v="0"/>
  </r>
  <r>
    <x v="0"/>
    <x v="0"/>
    <n v="74400"/>
    <n v="5187.5"/>
    <n v="5187.5"/>
    <n v="5187.5"/>
    <x v="7"/>
    <n v="6.9724462365591391E-2"/>
  </r>
  <r>
    <x v="0"/>
    <x v="0"/>
    <n v="595050"/>
    <n v="0"/>
    <n v="0"/>
    <n v="0"/>
    <x v="7"/>
    <n v="0"/>
  </r>
  <r>
    <x v="0"/>
    <x v="0"/>
    <n v="188750"/>
    <n v="0"/>
    <n v="0"/>
    <n v="0"/>
    <x v="7"/>
    <n v="0"/>
  </r>
  <r>
    <x v="0"/>
    <x v="0"/>
    <n v="87750"/>
    <n v="37500"/>
    <n v="37500"/>
    <n v="37500"/>
    <x v="7"/>
    <n v="0.42735042735042733"/>
  </r>
  <r>
    <x v="0"/>
    <x v="0"/>
    <n v="42000"/>
    <n v="0"/>
    <n v="0"/>
    <n v="0"/>
    <x v="7"/>
    <n v="0"/>
  </r>
  <r>
    <x v="0"/>
    <x v="0"/>
    <n v="3175000"/>
    <n v="553064.87"/>
    <n v="553064.87"/>
    <n v="553064.87"/>
    <x v="7"/>
    <n v="0.17419365984251969"/>
  </r>
  <r>
    <x v="0"/>
    <x v="0"/>
    <n v="1795250"/>
    <n v="1520619.73"/>
    <n v="1515894.73"/>
    <n v="1508565.98"/>
    <x v="7"/>
    <n v="0.84702394095529865"/>
  </r>
  <r>
    <x v="0"/>
    <x v="0"/>
    <n v="83750"/>
    <n v="0"/>
    <n v="0"/>
    <n v="0"/>
    <x v="7"/>
    <n v="0"/>
  </r>
  <r>
    <x v="0"/>
    <x v="0"/>
    <n v="4999700"/>
    <n v="1507631.62"/>
    <n v="1154717.04"/>
    <n v="990388.42"/>
    <x v="7"/>
    <n v="0.30154441666499993"/>
  </r>
  <r>
    <x v="0"/>
    <x v="0"/>
    <n v="172500"/>
    <n v="35500"/>
    <n v="35500"/>
    <n v="35500"/>
    <x v="7"/>
    <n v="0.20579710144927535"/>
  </r>
  <r>
    <x v="0"/>
    <x v="0"/>
    <n v="1416989"/>
    <n v="32149.46"/>
    <n v="29921.71"/>
    <n v="29921.71"/>
    <x v="7"/>
    <n v="2.2688574152657501E-2"/>
  </r>
  <r>
    <x v="0"/>
    <x v="0"/>
    <n v="2250"/>
    <n v="178.5"/>
    <n v="178.5"/>
    <n v="178.5"/>
    <x v="7"/>
    <n v="7.9333333333333339E-2"/>
  </r>
  <r>
    <x v="0"/>
    <x v="0"/>
    <n v="2500"/>
    <n v="0"/>
    <n v="0"/>
    <n v="0"/>
    <x v="7"/>
    <n v="0"/>
  </r>
  <r>
    <x v="0"/>
    <x v="0"/>
    <n v="18750"/>
    <n v="0"/>
    <n v="0"/>
    <n v="0"/>
    <x v="7"/>
    <n v="0"/>
  </r>
  <r>
    <x v="0"/>
    <x v="0"/>
    <n v="34000"/>
    <n v="9000"/>
    <n v="9000"/>
    <n v="7500"/>
    <x v="7"/>
    <n v="0.26470588235294118"/>
  </r>
  <r>
    <x v="0"/>
    <x v="0"/>
    <n v="34000"/>
    <n v="9000"/>
    <n v="9000"/>
    <n v="7500"/>
    <x v="7"/>
    <n v="0.26470588235294118"/>
  </r>
  <r>
    <x v="0"/>
    <x v="0"/>
    <n v="5250"/>
    <n v="0"/>
    <n v="0"/>
    <n v="0"/>
    <x v="7"/>
    <n v="0"/>
  </r>
  <r>
    <x v="0"/>
    <x v="0"/>
    <n v="1500000"/>
    <n v="725000"/>
    <n v="725000"/>
    <n v="725000"/>
    <x v="7"/>
    <n v="0.48333333333333334"/>
  </r>
  <r>
    <x v="0"/>
    <x v="0"/>
    <n v="375000"/>
    <n v="375000"/>
    <n v="375000"/>
    <n v="375000"/>
    <x v="7"/>
    <n v="1"/>
  </r>
  <r>
    <x v="0"/>
    <x v="0"/>
    <n v="50000"/>
    <n v="0"/>
    <n v="0"/>
    <n v="0"/>
    <x v="7"/>
    <n v="0"/>
  </r>
  <r>
    <x v="0"/>
    <x v="0"/>
    <n v="100000"/>
    <n v="0"/>
    <n v="0"/>
    <n v="0"/>
    <x v="7"/>
    <n v="0"/>
  </r>
  <r>
    <x v="0"/>
    <x v="0"/>
    <n v="11250"/>
    <n v="5532.52"/>
    <n v="5532.52"/>
    <n v="5532.52"/>
    <x v="7"/>
    <n v="0.49177955555555558"/>
  </r>
  <r>
    <x v="0"/>
    <x v="1"/>
    <n v="1355000"/>
    <n v="567000"/>
    <n v="567000"/>
    <n v="567000"/>
    <x v="7"/>
    <n v="0.41845018450184501"/>
  </r>
  <r>
    <x v="0"/>
    <x v="1"/>
    <n v="12500"/>
    <n v="0"/>
    <n v="0"/>
    <n v="0"/>
    <x v="7"/>
    <n v="0"/>
  </r>
  <r>
    <x v="0"/>
    <x v="1"/>
    <n v="71250"/>
    <n v="32176.85"/>
    <n v="23925"/>
    <n v="23925"/>
    <x v="7"/>
    <n v="0.45160491228070171"/>
  </r>
  <r>
    <x v="0"/>
    <x v="1"/>
    <n v="1250"/>
    <n v="0"/>
    <n v="0"/>
    <n v="0"/>
    <x v="7"/>
    <n v="0"/>
  </r>
  <r>
    <x v="0"/>
    <x v="1"/>
    <n v="2500"/>
    <n v="0"/>
    <n v="0"/>
    <n v="0"/>
    <x v="7"/>
    <n v="0"/>
  </r>
  <r>
    <x v="0"/>
    <x v="1"/>
    <n v="2500"/>
    <n v="0"/>
    <n v="0"/>
    <n v="0"/>
    <x v="7"/>
    <n v="0"/>
  </r>
  <r>
    <x v="0"/>
    <x v="1"/>
    <n v="2495750"/>
    <n v="1584105"/>
    <n v="1489462.63"/>
    <n v="1483365.6"/>
    <x v="7"/>
    <n v="0.63472102574376443"/>
  </r>
  <r>
    <x v="0"/>
    <x v="1"/>
    <n v="1250"/>
    <n v="0"/>
    <n v="0"/>
    <n v="0"/>
    <x v="7"/>
    <n v="0"/>
  </r>
  <r>
    <x v="0"/>
    <x v="1"/>
    <n v="4513000"/>
    <n v="5763099.8700000001"/>
    <n v="5744614.1399999997"/>
    <n v="5712997.21"/>
    <x v="7"/>
    <n v="1.2769997496122314"/>
  </r>
  <r>
    <x v="0"/>
    <x v="1"/>
    <n v="442000"/>
    <n v="516832.69"/>
    <n v="503192.79"/>
    <n v="503192.79"/>
    <x v="7"/>
    <n v="1.1693047285067872"/>
  </r>
  <r>
    <x v="0"/>
    <x v="1"/>
    <n v="45000"/>
    <n v="0"/>
    <n v="0"/>
    <n v="0"/>
    <x v="7"/>
    <n v="0"/>
  </r>
  <r>
    <x v="0"/>
    <x v="1"/>
    <n v="1701500"/>
    <n v="1028332.59"/>
    <n v="925121.66"/>
    <n v="908378.91"/>
    <x v="7"/>
    <n v="0.60436825741992362"/>
  </r>
  <r>
    <x v="0"/>
    <x v="1"/>
    <n v="1367000"/>
    <n v="661828.25"/>
    <n v="661828.25"/>
    <n v="661828.25"/>
    <x v="7"/>
    <n v="0.48414648866130211"/>
  </r>
  <r>
    <x v="0"/>
    <x v="1"/>
    <n v="2482500"/>
    <n v="2168838.19"/>
    <n v="2168838.19"/>
    <n v="2168838.19"/>
    <x v="7"/>
    <n v="0.87365083182275927"/>
  </r>
  <r>
    <x v="0"/>
    <x v="1"/>
    <n v="6611617"/>
    <n v="599982.98"/>
    <n v="573486.93000000005"/>
    <n v="565721.89"/>
    <x v="7"/>
    <n v="9.0746784031803418E-2"/>
  </r>
  <r>
    <x v="0"/>
    <x v="1"/>
    <n v="101000"/>
    <n v="0"/>
    <n v="0"/>
    <n v="0"/>
    <x v="7"/>
    <n v="0"/>
  </r>
  <r>
    <x v="0"/>
    <x v="1"/>
    <n v="500000"/>
    <n v="0"/>
    <n v="0"/>
    <n v="0"/>
    <x v="7"/>
    <n v="0"/>
  </r>
  <r>
    <x v="0"/>
    <x v="1"/>
    <n v="11250"/>
    <n v="5532.52"/>
    <n v="5532.52"/>
    <n v="5532.52"/>
    <x v="7"/>
    <n v="0.49177955555555558"/>
  </r>
  <r>
    <x v="0"/>
    <x v="1"/>
    <n v="680000"/>
    <n v="95603.94"/>
    <n v="85123.839999999997"/>
    <n v="85123.839999999997"/>
    <x v="7"/>
    <n v="0.14059402941176471"/>
  </r>
  <r>
    <x v="0"/>
    <x v="1"/>
    <n v="250000"/>
    <n v="0"/>
    <n v="0"/>
    <n v="0"/>
    <x v="7"/>
    <n v="0"/>
  </r>
  <r>
    <x v="0"/>
    <x v="1"/>
    <n v="50000"/>
    <n v="0"/>
    <n v="0"/>
    <n v="0"/>
    <x v="7"/>
    <n v="0"/>
  </r>
  <r>
    <x v="0"/>
    <x v="1"/>
    <n v="2105450"/>
    <n v="1813587.41"/>
    <n v="1813587.41"/>
    <n v="1813587.41"/>
    <x v="7"/>
    <n v="0.86137757249044145"/>
  </r>
  <r>
    <x v="0"/>
    <x v="1"/>
    <n v="457000"/>
    <n v="30200.16"/>
    <n v="30200.16"/>
    <n v="30200.16"/>
    <x v="7"/>
    <n v="6.6083501094091904E-2"/>
  </r>
  <r>
    <x v="0"/>
    <x v="1"/>
    <n v="98750"/>
    <n v="0"/>
    <n v="0"/>
    <n v="0"/>
    <x v="7"/>
    <n v="0"/>
  </r>
  <r>
    <x v="0"/>
    <x v="1"/>
    <n v="106250"/>
    <n v="39789.919999999998"/>
    <n v="39789.919999999998"/>
    <n v="39789.919999999998"/>
    <x v="7"/>
    <n v="0.37449336470588235"/>
  </r>
  <r>
    <x v="0"/>
    <x v="1"/>
    <n v="25000"/>
    <n v="0"/>
    <n v="0"/>
    <n v="0"/>
    <x v="7"/>
    <n v="0"/>
  </r>
  <r>
    <x v="0"/>
    <x v="1"/>
    <n v="87000"/>
    <n v="0"/>
    <n v="0"/>
    <n v="0"/>
    <x v="7"/>
    <n v="0"/>
  </r>
  <r>
    <x v="0"/>
    <x v="2"/>
    <n v="0"/>
    <n v="3160"/>
    <n v="0"/>
    <n v="0"/>
    <x v="7"/>
    <n v="0"/>
  </r>
  <r>
    <x v="0"/>
    <x v="2"/>
    <n v="9425400"/>
    <n v="7415628.6900000004"/>
    <n v="5984611.5599999996"/>
    <n v="5664002.7999999998"/>
    <x v="7"/>
    <n v="0.78677071424024447"/>
  </r>
  <r>
    <x v="0"/>
    <x v="2"/>
    <n v="6800000"/>
    <n v="7966434.4800000004"/>
    <n v="6710681.96"/>
    <n v="5993962.5199999996"/>
    <x v="7"/>
    <n v="1.1715344823529412"/>
  </r>
  <r>
    <x v="0"/>
    <x v="2"/>
    <n v="6624920"/>
    <n v="10607301.789999999"/>
    <n v="9165871.7300000004"/>
    <n v="8507481.6600000001"/>
    <x v="7"/>
    <n v="1.6011214912783851"/>
  </r>
  <r>
    <x v="0"/>
    <x v="2"/>
    <n v="1021980"/>
    <n v="1053208.99"/>
    <n v="876825.09"/>
    <n v="838670.74"/>
    <x v="7"/>
    <n v="1.0305573396739662"/>
  </r>
  <r>
    <x v="0"/>
    <x v="2"/>
    <n v="4428600"/>
    <n v="5125213.41"/>
    <n v="4042775.73"/>
    <n v="3718190.82"/>
    <x v="7"/>
    <n v="1.1572987874271778"/>
  </r>
  <r>
    <x v="0"/>
    <x v="2"/>
    <n v="3323500"/>
    <n v="3189091.63"/>
    <n v="2809761.56"/>
    <n v="2539944.8199999998"/>
    <x v="7"/>
    <n v="0.9595581856476606"/>
  </r>
  <r>
    <x v="0"/>
    <x v="2"/>
    <n v="30000"/>
    <n v="0"/>
    <n v="0"/>
    <n v="0"/>
    <x v="7"/>
    <n v="0"/>
  </r>
  <r>
    <x v="0"/>
    <x v="2"/>
    <n v="500"/>
    <n v="390"/>
    <n v="185.25"/>
    <n v="185.25"/>
    <x v="7"/>
    <n v="0.78"/>
  </r>
  <r>
    <x v="0"/>
    <x v="2"/>
    <n v="40227"/>
    <n v="10232.11"/>
    <n v="9103.91"/>
    <n v="6744.24"/>
    <x v="7"/>
    <n v="0.25435926119273128"/>
  </r>
  <r>
    <x v="0"/>
    <x v="2"/>
    <n v="850"/>
    <n v="0"/>
    <n v="0"/>
    <n v="0"/>
    <x v="7"/>
    <n v="0"/>
  </r>
  <r>
    <x v="0"/>
    <x v="2"/>
    <n v="850"/>
    <n v="0"/>
    <n v="0"/>
    <n v="0"/>
    <x v="7"/>
    <n v="0"/>
  </r>
  <r>
    <x v="0"/>
    <x v="2"/>
    <n v="3000"/>
    <n v="72124.429999999993"/>
    <n v="69253.600000000006"/>
    <n v="54842.84"/>
    <x v="7"/>
    <n v="24.041476666666664"/>
  </r>
  <r>
    <x v="0"/>
    <x v="2"/>
    <n v="104726438"/>
    <n v="80709050.370000005"/>
    <n v="78195839.810000002"/>
    <n v="77626135.519999996"/>
    <x v="7"/>
    <n v="0.77066547770869476"/>
  </r>
  <r>
    <x v="0"/>
    <x v="2"/>
    <n v="350000"/>
    <n v="0"/>
    <n v="0"/>
    <n v="0"/>
    <x v="7"/>
    <n v="0"/>
  </r>
  <r>
    <x v="0"/>
    <x v="2"/>
    <n v="9000"/>
    <n v="0"/>
    <n v="0"/>
    <n v="0"/>
    <x v="7"/>
    <n v="0"/>
  </r>
  <r>
    <x v="0"/>
    <x v="2"/>
    <n v="52000"/>
    <n v="8880"/>
    <n v="8880"/>
    <n v="8880"/>
    <x v="7"/>
    <n v="0.17076923076923076"/>
  </r>
  <r>
    <x v="0"/>
    <x v="2"/>
    <n v="1198000"/>
    <n v="1054143.23"/>
    <n v="996761.41"/>
    <n v="854339.15"/>
    <x v="7"/>
    <n v="0.87991922370617692"/>
  </r>
  <r>
    <x v="0"/>
    <x v="2"/>
    <n v="1000"/>
    <n v="0"/>
    <n v="0"/>
    <n v="0"/>
    <x v="7"/>
    <n v="0"/>
  </r>
  <r>
    <x v="0"/>
    <x v="2"/>
    <n v="29128516"/>
    <n v="26968751"/>
    <n v="26968751"/>
    <n v="24548243"/>
    <x v="7"/>
    <n v="0.92585392953077317"/>
  </r>
  <r>
    <x v="0"/>
    <x v="2"/>
    <n v="6339827"/>
    <n v="5008930"/>
    <n v="5008930"/>
    <n v="5008930"/>
    <x v="7"/>
    <n v="0.79007360926410142"/>
  </r>
  <r>
    <x v="0"/>
    <x v="2"/>
    <n v="9754000"/>
    <n v="7753000"/>
    <n v="7753000"/>
    <n v="2140000"/>
    <x v="7"/>
    <n v="0.79485339347959816"/>
  </r>
  <r>
    <x v="0"/>
    <x v="2"/>
    <n v="206084849"/>
    <n v="187193802"/>
    <n v="187193802"/>
    <n v="169698574"/>
    <x v="7"/>
    <n v="0.90833364465332433"/>
  </r>
  <r>
    <x v="0"/>
    <x v="2"/>
    <n v="540000"/>
    <n v="540000"/>
    <n v="540000"/>
    <n v="540000"/>
    <x v="7"/>
    <n v="1"/>
  </r>
  <r>
    <x v="0"/>
    <x v="2"/>
    <n v="735100503"/>
    <n v="618702358.25999999"/>
    <n v="616503942.15999997"/>
    <n v="615962832.37"/>
    <x v="7"/>
    <n v="0.84165682887581972"/>
  </r>
  <r>
    <x v="0"/>
    <x v="2"/>
    <n v="6453000"/>
    <n v="6029861.4299999997"/>
    <n v="6029861.4299999997"/>
    <n v="6029861.4299999997"/>
    <x v="7"/>
    <n v="0.93442761971176191"/>
  </r>
  <r>
    <x v="0"/>
    <x v="2"/>
    <n v="3068000"/>
    <n v="2428871.5"/>
    <n v="2427769.9"/>
    <n v="2427769.9"/>
    <x v="7"/>
    <n v="0.79167910691003907"/>
  </r>
  <r>
    <x v="0"/>
    <x v="2"/>
    <n v="533112"/>
    <n v="41005"/>
    <n v="41005"/>
    <n v="39510"/>
    <x v="7"/>
    <n v="7.6916295262533949E-2"/>
  </r>
  <r>
    <x v="0"/>
    <x v="2"/>
    <n v="24786895"/>
    <n v="15847261"/>
    <n v="13827762.34"/>
    <n v="13667262.609999999"/>
    <x v="7"/>
    <n v="0.63934030462468172"/>
  </r>
  <r>
    <x v="0"/>
    <x v="2"/>
    <n v="18300887"/>
    <n v="8042396.3399999999"/>
    <n v="7690378.8200000003"/>
    <n v="7343020.8600000003"/>
    <x v="7"/>
    <n v="0.43945390952908459"/>
  </r>
  <r>
    <x v="0"/>
    <x v="2"/>
    <n v="498560"/>
    <n v="0"/>
    <n v="0"/>
    <n v="0"/>
    <x v="7"/>
    <n v="0"/>
  </r>
  <r>
    <x v="0"/>
    <x v="2"/>
    <n v="13273387"/>
    <n v="11618751.310000001"/>
    <n v="10523493.26"/>
    <n v="9543596.7100000009"/>
    <x v="7"/>
    <n v="0.87534186338422892"/>
  </r>
  <r>
    <x v="0"/>
    <x v="2"/>
    <n v="6000"/>
    <n v="0"/>
    <n v="0"/>
    <n v="0"/>
    <x v="7"/>
    <n v="0"/>
  </r>
  <r>
    <x v="0"/>
    <x v="2"/>
    <n v="29108212"/>
    <n v="1130825.1000000001"/>
    <n v="1130825.1000000001"/>
    <n v="1130825.1000000001"/>
    <x v="7"/>
    <n v="3.8849005909397667E-2"/>
  </r>
  <r>
    <x v="0"/>
    <x v="2"/>
    <n v="24864000"/>
    <n v="10089481.24"/>
    <n v="10089481.24"/>
    <n v="9126932.2400000002"/>
    <x v="7"/>
    <n v="0.40578672940797944"/>
  </r>
  <r>
    <x v="0"/>
    <x v="2"/>
    <n v="6000"/>
    <n v="0"/>
    <n v="0"/>
    <n v="0"/>
    <x v="7"/>
    <n v="0"/>
  </r>
  <r>
    <x v="0"/>
    <x v="2"/>
    <n v="7151778"/>
    <n v="4948061"/>
    <n v="4888621"/>
    <n v="4349741"/>
    <x v="7"/>
    <n v="0.69186445664280971"/>
  </r>
  <r>
    <x v="0"/>
    <x v="2"/>
    <n v="7230361"/>
    <n v="4863292"/>
    <n v="4863292"/>
    <n v="4731208"/>
    <x v="7"/>
    <n v="0.67262091062949692"/>
  </r>
  <r>
    <x v="0"/>
    <x v="2"/>
    <n v="3009015"/>
    <n v="608640"/>
    <n v="608640"/>
    <n v="0"/>
    <x v="7"/>
    <n v="0.20227217212277107"/>
  </r>
  <r>
    <x v="0"/>
    <x v="2"/>
    <n v="29530250"/>
    <n v="17294252.920000002"/>
    <n v="16294252.92"/>
    <n v="16294252.92"/>
    <x v="7"/>
    <n v="0.58564532707985884"/>
  </r>
  <r>
    <x v="0"/>
    <x v="2"/>
    <n v="2538251"/>
    <n v="2648593.4300000002"/>
    <n v="2415516.09"/>
    <n v="2296304.9500000002"/>
    <x v="7"/>
    <n v="1.0434718355276922"/>
  </r>
  <r>
    <x v="0"/>
    <x v="2"/>
    <n v="4000000"/>
    <n v="3406555.34"/>
    <n v="3103869.34"/>
    <n v="3103869.34"/>
    <x v="7"/>
    <n v="0.85163883499999993"/>
  </r>
  <r>
    <x v="0"/>
    <x v="2"/>
    <n v="418400"/>
    <n v="10732"/>
    <n v="10732"/>
    <n v="10732"/>
    <x v="7"/>
    <n v="2.5650095602294455E-2"/>
  </r>
  <r>
    <x v="0"/>
    <x v="2"/>
    <n v="147000"/>
    <n v="1606.06"/>
    <n v="1606.06"/>
    <n v="1606.06"/>
    <x v="7"/>
    <n v="1.0925578231292516E-2"/>
  </r>
  <r>
    <x v="0"/>
    <x v="2"/>
    <n v="110000"/>
    <n v="6618"/>
    <n v="6618"/>
    <n v="6618"/>
    <x v="7"/>
    <n v="6.0163636363636364E-2"/>
  </r>
  <r>
    <x v="0"/>
    <x v="2"/>
    <n v="120000"/>
    <n v="10000"/>
    <n v="10000"/>
    <n v="10000"/>
    <x v="7"/>
    <n v="8.3333333333333329E-2"/>
  </r>
  <r>
    <x v="0"/>
    <x v="2"/>
    <n v="4000000"/>
    <n v="0"/>
    <n v="0"/>
    <n v="0"/>
    <x v="7"/>
    <n v="0"/>
  </r>
  <r>
    <x v="0"/>
    <x v="2"/>
    <n v="500000"/>
    <n v="0"/>
    <n v="0"/>
    <n v="0"/>
    <x v="7"/>
    <n v="0"/>
  </r>
  <r>
    <x v="0"/>
    <x v="2"/>
    <n v="232627"/>
    <n v="0"/>
    <n v="0"/>
    <n v="0"/>
    <x v="7"/>
    <n v="0"/>
  </r>
  <r>
    <x v="0"/>
    <x v="2"/>
    <n v="10000"/>
    <n v="0"/>
    <n v="0"/>
    <n v="0"/>
    <x v="7"/>
    <n v="0"/>
  </r>
  <r>
    <x v="0"/>
    <x v="2"/>
    <n v="238140"/>
    <n v="0"/>
    <n v="0"/>
    <n v="0"/>
    <x v="7"/>
    <n v="0"/>
  </r>
  <r>
    <x v="0"/>
    <x v="2"/>
    <n v="9000"/>
    <n v="0"/>
    <n v="0"/>
    <n v="0"/>
    <x v="7"/>
    <n v="0"/>
  </r>
  <r>
    <x v="0"/>
    <x v="2"/>
    <n v="9204694"/>
    <n v="2380327.77"/>
    <n v="2380327.77"/>
    <n v="2380327.77"/>
    <x v="7"/>
    <n v="0.25859933746846991"/>
  </r>
  <r>
    <x v="0"/>
    <x v="2"/>
    <n v="24000"/>
    <n v="0"/>
    <n v="0"/>
    <n v="0"/>
    <x v="7"/>
    <n v="0"/>
  </r>
  <r>
    <x v="0"/>
    <x v="2"/>
    <n v="8000"/>
    <n v="0"/>
    <n v="0"/>
    <n v="0"/>
    <x v="7"/>
    <n v="0"/>
  </r>
  <r>
    <x v="0"/>
    <x v="2"/>
    <n v="33000"/>
    <n v="0"/>
    <n v="0"/>
    <n v="0"/>
    <x v="7"/>
    <n v="0"/>
  </r>
  <r>
    <x v="0"/>
    <x v="2"/>
    <n v="40000"/>
    <n v="0"/>
    <n v="0"/>
    <n v="0"/>
    <x v="7"/>
    <n v="0"/>
  </r>
  <r>
    <x v="0"/>
    <x v="2"/>
    <n v="50000"/>
    <n v="0"/>
    <n v="0"/>
    <n v="0"/>
    <x v="7"/>
    <n v="0"/>
  </r>
  <r>
    <x v="0"/>
    <x v="2"/>
    <n v="110250"/>
    <n v="0"/>
    <n v="0"/>
    <n v="0"/>
    <x v="7"/>
    <n v="0"/>
  </r>
  <r>
    <x v="0"/>
    <x v="2"/>
    <n v="74600"/>
    <n v="200"/>
    <n v="200"/>
    <n v="200"/>
    <x v="7"/>
    <n v="2.6809651474530832E-3"/>
  </r>
  <r>
    <x v="0"/>
    <x v="2"/>
    <n v="12789473"/>
    <n v="11130169"/>
    <n v="11130169"/>
    <n v="9961262"/>
    <x v="7"/>
    <n v="0.87026017412914514"/>
  </r>
  <r>
    <x v="0"/>
    <x v="2"/>
    <n v="2563916"/>
    <n v="3149803"/>
    <n v="3149803"/>
    <n v="3149803"/>
    <x v="7"/>
    <n v="1.2285125565736164"/>
  </r>
  <r>
    <x v="0"/>
    <x v="2"/>
    <n v="1746000"/>
    <n v="910000"/>
    <n v="910000"/>
    <n v="360000"/>
    <x v="7"/>
    <n v="0.52119129438717071"/>
  </r>
  <r>
    <x v="0"/>
    <x v="2"/>
    <n v="7370102"/>
    <n v="10087494"/>
    <n v="10087494"/>
    <n v="9156418"/>
    <x v="7"/>
    <n v="1.3687048021859127"/>
  </r>
  <r>
    <x v="0"/>
    <x v="2"/>
    <n v="289952107"/>
    <n v="292702258.14999998"/>
    <n v="292117754.31"/>
    <n v="291959402.13"/>
    <x v="7"/>
    <n v="1.0094848462335884"/>
  </r>
  <r>
    <x v="0"/>
    <x v="2"/>
    <n v="13999631"/>
    <n v="6675658.9500000002"/>
    <n v="5934776.75"/>
    <n v="5934776.75"/>
    <x v="7"/>
    <n v="0.47684535042387904"/>
  </r>
  <r>
    <x v="0"/>
    <x v="2"/>
    <n v="8724706"/>
    <n v="3598406.64"/>
    <n v="3470603.43"/>
    <n v="3332840.04"/>
    <x v="7"/>
    <n v="0.41243872744823723"/>
  </r>
  <r>
    <x v="0"/>
    <x v="2"/>
    <n v="92850452"/>
    <n v="86598975.269999996"/>
    <n v="86421109.079999998"/>
    <n v="85139300.079999998"/>
    <x v="7"/>
    <n v="0.93267155306901461"/>
  </r>
  <r>
    <x v="0"/>
    <x v="2"/>
    <n v="10064243"/>
    <n v="2610866.96"/>
    <n v="2610866.96"/>
    <n v="2538385.3199999998"/>
    <x v="7"/>
    <n v="0.25942010342953764"/>
  </r>
  <r>
    <x v="0"/>
    <x v="2"/>
    <n v="2417350"/>
    <n v="85132.55"/>
    <n v="85132.55"/>
    <n v="85132.55"/>
    <x v="7"/>
    <n v="3.521730407264153E-2"/>
  </r>
  <r>
    <x v="0"/>
    <x v="2"/>
    <n v="7230185"/>
    <n v="2852776.29"/>
    <n v="2163051.16"/>
    <n v="1083428.3500000001"/>
    <x v="7"/>
    <n v="0.39456477116422334"/>
  </r>
  <r>
    <x v="0"/>
    <x v="2"/>
    <n v="33000"/>
    <n v="5000"/>
    <n v="5000"/>
    <n v="5000"/>
    <x v="7"/>
    <n v="0.15151515151515152"/>
  </r>
  <r>
    <x v="0"/>
    <x v="2"/>
    <n v="4000"/>
    <n v="0"/>
    <n v="0"/>
    <n v="0"/>
    <x v="7"/>
    <n v="0"/>
  </r>
  <r>
    <x v="0"/>
    <x v="2"/>
    <n v="1309011"/>
    <n v="1284107"/>
    <n v="1284107"/>
    <n v="1168384"/>
    <x v="7"/>
    <n v="0.98097494979033795"/>
  </r>
  <r>
    <x v="0"/>
    <x v="2"/>
    <n v="482257"/>
    <n v="363923"/>
    <n v="363923"/>
    <n v="363923"/>
    <x v="7"/>
    <n v="0.75462460887037408"/>
  </r>
  <r>
    <x v="0"/>
    <x v="2"/>
    <n v="33468000"/>
    <n v="41920451.5"/>
    <n v="41920451.5"/>
    <n v="41920451.5"/>
    <x v="7"/>
    <n v="1.252553229950998"/>
  </r>
  <r>
    <x v="0"/>
    <x v="2"/>
    <n v="1520106"/>
    <n v="612966.68000000005"/>
    <n v="533440.9"/>
    <n v="527117.74"/>
    <x v="7"/>
    <n v="0.40323943198697987"/>
  </r>
  <r>
    <x v="0"/>
    <x v="2"/>
    <n v="237666"/>
    <n v="13459.86"/>
    <n v="13459.86"/>
    <n v="13459.86"/>
    <x v="7"/>
    <n v="5.6633510893438696E-2"/>
  </r>
  <r>
    <x v="0"/>
    <x v="2"/>
    <n v="750000"/>
    <n v="0"/>
    <n v="0"/>
    <n v="0"/>
    <x v="7"/>
    <n v="0"/>
  </r>
  <r>
    <x v="0"/>
    <x v="2"/>
    <n v="529389"/>
    <n v="450001.8"/>
    <n v="411794.1"/>
    <n v="411794.1"/>
    <x v="7"/>
    <n v="0.8500399517179239"/>
  </r>
  <r>
    <x v="0"/>
    <x v="2"/>
    <n v="1977996"/>
    <n v="1923121.42"/>
    <n v="1753489.26"/>
    <n v="1753489.26"/>
    <x v="7"/>
    <n v="0.9722574868705498"/>
  </r>
  <r>
    <x v="0"/>
    <x v="2"/>
    <n v="429100"/>
    <n v="0"/>
    <n v="0"/>
    <n v="0"/>
    <x v="7"/>
    <n v="0"/>
  </r>
  <r>
    <x v="0"/>
    <x v="2"/>
    <n v="6453883"/>
    <n v="6704073.6699999999"/>
    <n v="6135291.04"/>
    <n v="5812946.6799999997"/>
    <x v="7"/>
    <n v="1.0387659134818528"/>
  </r>
  <r>
    <x v="0"/>
    <x v="2"/>
    <n v="74000"/>
    <n v="0"/>
    <n v="0"/>
    <n v="0"/>
    <x v="7"/>
    <n v="0"/>
  </r>
  <r>
    <x v="0"/>
    <x v="2"/>
    <n v="300000"/>
    <n v="0"/>
    <n v="0"/>
    <n v="0"/>
    <x v="7"/>
    <n v="0"/>
  </r>
  <r>
    <x v="0"/>
    <x v="2"/>
    <n v="3865450"/>
    <n v="3264634.27"/>
    <n v="3264634.27"/>
    <n v="3264634.27"/>
    <x v="7"/>
    <n v="0.84456771397896757"/>
  </r>
  <r>
    <x v="0"/>
    <x v="2"/>
    <n v="7250"/>
    <n v="10"/>
    <n v="10"/>
    <n v="0"/>
    <x v="7"/>
    <n v="1.3793103448275861E-3"/>
  </r>
  <r>
    <x v="0"/>
    <x v="2"/>
    <n v="1500"/>
    <n v="0"/>
    <n v="0"/>
    <n v="0"/>
    <x v="7"/>
    <n v="0"/>
  </r>
  <r>
    <x v="0"/>
    <x v="2"/>
    <n v="31250"/>
    <n v="26464.78"/>
    <n v="26303.57"/>
    <n v="24618.53"/>
    <x v="7"/>
    <n v="0.84687296000000001"/>
  </r>
  <r>
    <x v="0"/>
    <x v="2"/>
    <n v="122901"/>
    <n v="0"/>
    <n v="0"/>
    <n v="0"/>
    <x v="7"/>
    <n v="0"/>
  </r>
  <r>
    <x v="0"/>
    <x v="2"/>
    <n v="56500"/>
    <n v="0"/>
    <n v="0"/>
    <n v="0"/>
    <x v="7"/>
    <n v="0"/>
  </r>
  <r>
    <x v="0"/>
    <x v="2"/>
    <n v="14535"/>
    <n v="15215.68"/>
    <n v="15215.68"/>
    <n v="15215.68"/>
    <x v="7"/>
    <n v="1.0468304093567251"/>
  </r>
  <r>
    <x v="0"/>
    <x v="2"/>
    <n v="500"/>
    <n v="0"/>
    <n v="0"/>
    <n v="0"/>
    <x v="7"/>
    <n v="0"/>
  </r>
  <r>
    <x v="2"/>
    <x v="6"/>
    <n v="38125"/>
    <n v="0"/>
    <n v="0"/>
    <n v="0"/>
    <x v="7"/>
    <n v="0"/>
  </r>
  <r>
    <x v="2"/>
    <x v="6"/>
    <n v="547227"/>
    <n v="583832.73"/>
    <n v="397825.95"/>
    <n v="397825.95"/>
    <x v="7"/>
    <n v="1.0668931357553628"/>
  </r>
  <r>
    <x v="2"/>
    <x v="6"/>
    <n v="2750"/>
    <n v="0"/>
    <n v="0"/>
    <n v="0"/>
    <x v="7"/>
    <n v="0"/>
  </r>
  <r>
    <x v="2"/>
    <x v="6"/>
    <n v="5000"/>
    <n v="0"/>
    <n v="0"/>
    <n v="0"/>
    <x v="7"/>
    <n v="0"/>
  </r>
  <r>
    <x v="2"/>
    <x v="6"/>
    <n v="14500"/>
    <n v="0"/>
    <n v="0"/>
    <n v="0"/>
    <x v="7"/>
    <n v="0"/>
  </r>
  <r>
    <x v="2"/>
    <x v="6"/>
    <n v="1750"/>
    <n v="0"/>
    <n v="0"/>
    <n v="0"/>
    <x v="7"/>
    <n v="0"/>
  </r>
  <r>
    <x v="2"/>
    <x v="6"/>
    <n v="38750"/>
    <n v="0"/>
    <n v="0"/>
    <n v="0"/>
    <x v="7"/>
    <n v="0"/>
  </r>
  <r>
    <x v="2"/>
    <x v="6"/>
    <n v="1737000"/>
    <n v="1454533.97"/>
    <n v="1404467.47"/>
    <n v="1399330.05"/>
    <x v="7"/>
    <n v="0.83738282671272302"/>
  </r>
  <r>
    <x v="2"/>
    <x v="6"/>
    <n v="31250"/>
    <n v="0"/>
    <n v="0"/>
    <n v="0"/>
    <x v="7"/>
    <n v="0"/>
  </r>
  <r>
    <x v="2"/>
    <x v="6"/>
    <n v="296000"/>
    <n v="277523.09999999998"/>
    <n v="275888.64000000001"/>
    <n v="252368.46"/>
    <x v="7"/>
    <n v="0.9375780405405405"/>
  </r>
  <r>
    <x v="2"/>
    <x v="6"/>
    <n v="316750"/>
    <n v="314180.67"/>
    <n v="214550"/>
    <n v="210540"/>
    <x v="7"/>
    <n v="0.99188846093133376"/>
  </r>
  <r>
    <x v="2"/>
    <x v="6"/>
    <n v="970400"/>
    <n v="574652.4"/>
    <n v="485498.02"/>
    <n v="472929.57"/>
    <x v="7"/>
    <n v="0.59218095630667766"/>
  </r>
  <r>
    <x v="2"/>
    <x v="6"/>
    <n v="1964200"/>
    <n v="1198626.04"/>
    <n v="892208.84"/>
    <n v="875879.54"/>
    <x v="7"/>
    <n v="0.61023624885449546"/>
  </r>
  <r>
    <x v="2"/>
    <x v="6"/>
    <n v="21463400"/>
    <n v="20043440.449999999"/>
    <n v="19759333.010000002"/>
    <n v="19075736.760000002"/>
    <x v="7"/>
    <n v="0.93384274858596494"/>
  </r>
  <r>
    <x v="2"/>
    <x v="6"/>
    <n v="1884800"/>
    <n v="614050.98"/>
    <n v="614050.98"/>
    <n v="563599.06000000006"/>
    <x v="7"/>
    <n v="0.32579105475382003"/>
  </r>
  <r>
    <x v="2"/>
    <x v="6"/>
    <n v="6312500"/>
    <n v="4762371.5599999996"/>
    <n v="4662666.6100000003"/>
    <n v="4640639.1100000003"/>
    <x v="7"/>
    <n v="0.75443509861386127"/>
  </r>
  <r>
    <x v="2"/>
    <x v="6"/>
    <n v="876000"/>
    <n v="459790.24"/>
    <n v="459790.24"/>
    <n v="459790.24"/>
    <x v="7"/>
    <n v="0.52487470319634699"/>
  </r>
  <r>
    <x v="2"/>
    <x v="6"/>
    <n v="2316000"/>
    <n v="2376258.4900000002"/>
    <n v="2368958.83"/>
    <n v="2362532.35"/>
    <x v="7"/>
    <n v="1.0260183462867014"/>
  </r>
  <r>
    <x v="2"/>
    <x v="6"/>
    <n v="2050000"/>
    <n v="488381.2"/>
    <n v="488381.2"/>
    <n v="488381.2"/>
    <x v="7"/>
    <n v="0.23823473170731707"/>
  </r>
  <r>
    <x v="2"/>
    <x v="6"/>
    <n v="739000"/>
    <n v="99264.48"/>
    <n v="95748"/>
    <n v="95748"/>
    <x v="7"/>
    <n v="0.13432270635994586"/>
  </r>
  <r>
    <x v="2"/>
    <x v="6"/>
    <n v="35000"/>
    <n v="0"/>
    <n v="0"/>
    <n v="0"/>
    <x v="7"/>
    <n v="0"/>
  </r>
  <r>
    <x v="2"/>
    <x v="6"/>
    <n v="540000"/>
    <n v="2252.21"/>
    <n v="2252.21"/>
    <n v="2252.21"/>
    <x v="7"/>
    <n v="4.1707592592592595E-3"/>
  </r>
  <r>
    <x v="2"/>
    <x v="6"/>
    <n v="284000"/>
    <n v="1293.5999999999999"/>
    <n v="1293.5999999999999"/>
    <n v="1293.5999999999999"/>
    <x v="7"/>
    <n v="4.5549295774647888E-3"/>
  </r>
  <r>
    <x v="2"/>
    <x v="6"/>
    <n v="115000"/>
    <n v="0"/>
    <n v="0"/>
    <n v="0"/>
    <x v="7"/>
    <n v="0"/>
  </r>
  <r>
    <x v="2"/>
    <x v="6"/>
    <n v="460000"/>
    <n v="24400"/>
    <n v="24400"/>
    <n v="24400"/>
    <x v="7"/>
    <n v="5.3043478260869567E-2"/>
  </r>
  <r>
    <x v="2"/>
    <x v="6"/>
    <n v="500000"/>
    <n v="86603.4"/>
    <n v="86603.4"/>
    <n v="86603.4"/>
    <x v="7"/>
    <n v="0.17320679999999999"/>
  </r>
  <r>
    <x v="2"/>
    <x v="6"/>
    <n v="395000"/>
    <n v="220668.46"/>
    <n v="220668.46"/>
    <n v="220668.46"/>
    <x v="7"/>
    <n v="0.55865432911392399"/>
  </r>
  <r>
    <x v="2"/>
    <x v="6"/>
    <n v="240000"/>
    <n v="0"/>
    <n v="0"/>
    <n v="0"/>
    <x v="7"/>
    <n v="0"/>
  </r>
  <r>
    <x v="2"/>
    <x v="6"/>
    <n v="400000"/>
    <n v="0"/>
    <n v="0"/>
    <n v="0"/>
    <x v="7"/>
    <n v="0"/>
  </r>
  <r>
    <x v="2"/>
    <x v="6"/>
    <n v="200000"/>
    <n v="0"/>
    <n v="0"/>
    <n v="0"/>
    <x v="7"/>
    <n v="0"/>
  </r>
  <r>
    <x v="2"/>
    <x v="6"/>
    <n v="500"/>
    <n v="0"/>
    <n v="0"/>
    <n v="0"/>
    <x v="7"/>
    <n v="0"/>
  </r>
  <r>
    <x v="2"/>
    <x v="6"/>
    <n v="125000"/>
    <n v="0"/>
    <n v="0"/>
    <n v="0"/>
    <x v="7"/>
    <n v="0"/>
  </r>
  <r>
    <x v="2"/>
    <x v="6"/>
    <n v="7385000"/>
    <n v="1845366"/>
    <n v="1845366"/>
    <n v="1537805"/>
    <x v="7"/>
    <n v="0.24988029790115099"/>
  </r>
  <r>
    <x v="2"/>
    <x v="6"/>
    <n v="34516500"/>
    <n v="24932803.280000001"/>
    <n v="23440630.640000001"/>
    <n v="23110764.73"/>
    <x v="7"/>
    <n v="0.72234448104529725"/>
  </r>
  <r>
    <x v="2"/>
    <x v="6"/>
    <n v="673500"/>
    <n v="691685.61"/>
    <n v="691685.61"/>
    <n v="632366.29"/>
    <x v="7"/>
    <n v="1.0270016481069042"/>
  </r>
  <r>
    <x v="2"/>
    <x v="6"/>
    <n v="790825"/>
    <n v="494736.18"/>
    <n v="489574.83"/>
    <n v="487538.52"/>
    <x v="7"/>
    <n v="0.62559501786109439"/>
  </r>
  <r>
    <x v="2"/>
    <x v="6"/>
    <n v="823000"/>
    <n v="321877.2"/>
    <n v="305145.40999999997"/>
    <n v="294436.06"/>
    <x v="7"/>
    <n v="0.39110230862697448"/>
  </r>
  <r>
    <x v="2"/>
    <x v="6"/>
    <n v="617625"/>
    <n v="751086.15"/>
    <n v="626050.39"/>
    <n v="606030.32999999996"/>
    <x v="7"/>
    <n v="1.2160876745598057"/>
  </r>
  <r>
    <x v="2"/>
    <x v="6"/>
    <n v="80250"/>
    <n v="77500"/>
    <n v="70000"/>
    <n v="70000"/>
    <x v="7"/>
    <n v="0.96573208722741433"/>
  </r>
  <r>
    <x v="2"/>
    <x v="6"/>
    <n v="411550"/>
    <n v="381982.5"/>
    <n v="381982.5"/>
    <n v="381982.5"/>
    <x v="7"/>
    <n v="0.92815575264244932"/>
  </r>
  <r>
    <x v="2"/>
    <x v="6"/>
    <n v="305875"/>
    <n v="325865.42"/>
    <n v="323860.42"/>
    <n v="322223.01"/>
    <x v="7"/>
    <n v="1.0653548671843072"/>
  </r>
  <r>
    <x v="2"/>
    <x v="6"/>
    <n v="379175"/>
    <n v="377187.87"/>
    <n v="346787.59"/>
    <n v="322861.46000000002"/>
    <x v="7"/>
    <n v="0.9947593327619173"/>
  </r>
  <r>
    <x v="2"/>
    <x v="6"/>
    <n v="625600"/>
    <n v="750290.03"/>
    <n v="682179.04"/>
    <n v="682179.04"/>
    <x v="7"/>
    <n v="1.1993127078005115"/>
  </r>
  <r>
    <x v="2"/>
    <x v="6"/>
    <n v="81725"/>
    <n v="81714.52"/>
    <n v="81714.52"/>
    <n v="68095.429999999993"/>
    <x v="7"/>
    <n v="0.99987176506576936"/>
  </r>
  <r>
    <x v="2"/>
    <x v="6"/>
    <n v="192000"/>
    <n v="127987.76"/>
    <n v="127987.76"/>
    <n v="127987.76"/>
    <x v="7"/>
    <n v="0.6666029166666666"/>
  </r>
  <r>
    <x v="2"/>
    <x v="6"/>
    <n v="422450"/>
    <n v="278573.17"/>
    <n v="273368.17"/>
    <n v="269065.42"/>
    <x v="7"/>
    <n v="0.65942281926855251"/>
  </r>
  <r>
    <x v="2"/>
    <x v="6"/>
    <n v="344500"/>
    <n v="349777.49"/>
    <n v="342569.65"/>
    <n v="342569.65"/>
    <x v="7"/>
    <n v="1.015319274310595"/>
  </r>
  <r>
    <x v="2"/>
    <x v="6"/>
    <n v="209400"/>
    <n v="0"/>
    <n v="0"/>
    <n v="0"/>
    <x v="7"/>
    <n v="0"/>
  </r>
  <r>
    <x v="2"/>
    <x v="6"/>
    <n v="209400"/>
    <n v="0"/>
    <n v="0"/>
    <n v="0"/>
    <x v="7"/>
    <n v="0"/>
  </r>
  <r>
    <x v="2"/>
    <x v="6"/>
    <n v="467625"/>
    <n v="428011.5"/>
    <n v="428011.5"/>
    <n v="428011.5"/>
    <x v="7"/>
    <n v="0.9152878909382518"/>
  </r>
  <r>
    <x v="2"/>
    <x v="6"/>
    <n v="13680950"/>
    <n v="8282767.3600000003"/>
    <n v="8174983.8700000001"/>
    <n v="8099915.2199999997"/>
    <x v="7"/>
    <n v="0.60542340700024488"/>
  </r>
  <r>
    <x v="2"/>
    <x v="6"/>
    <n v="25500"/>
    <n v="23158.31"/>
    <n v="19148.310000000001"/>
    <n v="15138.31"/>
    <x v="7"/>
    <n v="0.90816901960784324"/>
  </r>
  <r>
    <x v="2"/>
    <x v="6"/>
    <n v="3000"/>
    <n v="0"/>
    <n v="0"/>
    <n v="0"/>
    <x v="7"/>
    <n v="0"/>
  </r>
  <r>
    <x v="2"/>
    <x v="6"/>
    <n v="3000"/>
    <n v="0"/>
    <n v="0"/>
    <n v="0"/>
    <x v="7"/>
    <n v="0"/>
  </r>
  <r>
    <x v="2"/>
    <x v="6"/>
    <n v="6000"/>
    <n v="1754.06"/>
    <n v="1753.7"/>
    <n v="1753.7"/>
    <x v="7"/>
    <n v="0.29234333333333334"/>
  </r>
  <r>
    <x v="2"/>
    <x v="6"/>
    <n v="54000"/>
    <n v="103477.68"/>
    <n v="95457.68"/>
    <n v="87437.68"/>
    <x v="7"/>
    <n v="1.9162533333333331"/>
  </r>
  <r>
    <x v="2"/>
    <x v="6"/>
    <n v="1093500"/>
    <n v="848357.9"/>
    <n v="848357.9"/>
    <n v="848357.9"/>
    <x v="7"/>
    <n v="0.77581883859167811"/>
  </r>
  <r>
    <x v="2"/>
    <x v="6"/>
    <n v="82049"/>
    <n v="19200.11"/>
    <n v="17195.11"/>
    <n v="15076.73"/>
    <x v="7"/>
    <n v="0.23400784896829943"/>
  </r>
  <r>
    <x v="2"/>
    <x v="6"/>
    <n v="8500"/>
    <n v="0"/>
    <n v="0"/>
    <n v="0"/>
    <x v="7"/>
    <n v="0"/>
  </r>
  <r>
    <x v="2"/>
    <x v="6"/>
    <n v="140750"/>
    <n v="2800.45"/>
    <n v="2788.2"/>
    <n v="710"/>
    <x v="7"/>
    <n v="1.9896625222024865E-2"/>
  </r>
  <r>
    <x v="2"/>
    <x v="6"/>
    <n v="23250"/>
    <n v="2471.25"/>
    <n v="2471.25"/>
    <n v="2471.25"/>
    <x v="7"/>
    <n v="0.10629032258064516"/>
  </r>
  <r>
    <x v="2"/>
    <x v="6"/>
    <n v="0"/>
    <n v="351.65"/>
    <n v="351.65"/>
    <n v="351.65"/>
    <x v="7"/>
    <n v="0"/>
  </r>
  <r>
    <x v="2"/>
    <x v="6"/>
    <n v="250"/>
    <n v="0"/>
    <n v="0"/>
    <n v="0"/>
    <x v="7"/>
    <n v="0"/>
  </r>
  <r>
    <x v="2"/>
    <x v="6"/>
    <n v="2550"/>
    <n v="0"/>
    <n v="0"/>
    <n v="0"/>
    <x v="7"/>
    <n v="0"/>
  </r>
  <r>
    <x v="2"/>
    <x v="6"/>
    <n v="2625"/>
    <n v="0"/>
    <n v="0"/>
    <n v="0"/>
    <x v="7"/>
    <n v="0"/>
  </r>
  <r>
    <x v="2"/>
    <x v="6"/>
    <n v="20000"/>
    <n v="0"/>
    <n v="0"/>
    <n v="0"/>
    <x v="7"/>
    <n v="0"/>
  </r>
  <r>
    <x v="2"/>
    <x v="6"/>
    <n v="38500"/>
    <n v="0"/>
    <n v="0"/>
    <n v="0"/>
    <x v="7"/>
    <n v="0"/>
  </r>
  <r>
    <x v="2"/>
    <x v="6"/>
    <n v="1250"/>
    <n v="0"/>
    <n v="0"/>
    <n v="0"/>
    <x v="7"/>
    <n v="0"/>
  </r>
  <r>
    <x v="2"/>
    <x v="6"/>
    <n v="87500"/>
    <n v="0"/>
    <n v="0"/>
    <n v="0"/>
    <x v="7"/>
    <n v="0"/>
  </r>
  <r>
    <x v="2"/>
    <x v="6"/>
    <n v="125"/>
    <n v="0"/>
    <n v="0"/>
    <n v="0"/>
    <x v="7"/>
    <n v="0"/>
  </r>
  <r>
    <x v="2"/>
    <x v="6"/>
    <n v="33125"/>
    <n v="0"/>
    <n v="0"/>
    <n v="0"/>
    <x v="7"/>
    <n v="0"/>
  </r>
  <r>
    <x v="2"/>
    <x v="6"/>
    <n v="5500"/>
    <n v="0"/>
    <n v="0"/>
    <n v="0"/>
    <x v="7"/>
    <n v="0"/>
  </r>
  <r>
    <x v="2"/>
    <x v="6"/>
    <n v="50750"/>
    <n v="251.25"/>
    <n v="251.25"/>
    <n v="251.25"/>
    <x v="7"/>
    <n v="4.9507389162561574E-3"/>
  </r>
  <r>
    <x v="2"/>
    <x v="6"/>
    <n v="3942750"/>
    <n v="3389103.45"/>
    <n v="3290822.22"/>
    <n v="3270861.82"/>
    <x v="7"/>
    <n v="0.85957858093969952"/>
  </r>
  <r>
    <x v="2"/>
    <x v="6"/>
    <n v="686500"/>
    <n v="508232.78"/>
    <n v="508232.78"/>
    <n v="508232.78"/>
    <x v="7"/>
    <n v="0.74032451565914059"/>
  </r>
  <r>
    <x v="2"/>
    <x v="6"/>
    <n v="12500"/>
    <n v="0"/>
    <n v="0"/>
    <n v="0"/>
    <x v="7"/>
    <n v="0"/>
  </r>
  <r>
    <x v="2"/>
    <x v="6"/>
    <n v="4577250"/>
    <n v="3647414"/>
    <n v="3647414"/>
    <n v="3647414"/>
    <x v="7"/>
    <n v="0.79685706483150365"/>
  </r>
  <r>
    <x v="2"/>
    <x v="6"/>
    <n v="930140"/>
    <n v="0"/>
    <n v="0"/>
    <n v="0"/>
    <x v="7"/>
    <n v="0"/>
  </r>
  <r>
    <x v="2"/>
    <x v="6"/>
    <n v="2612000"/>
    <n v="380227"/>
    <n v="380227"/>
    <n v="283403.96999999997"/>
    <x v="7"/>
    <n v="0.14556929555895864"/>
  </r>
  <r>
    <x v="2"/>
    <x v="6"/>
    <n v="537300"/>
    <n v="438603.12"/>
    <n v="429045.02"/>
    <n v="387829.71"/>
    <x v="7"/>
    <n v="0.81630954773869346"/>
  </r>
  <r>
    <x v="2"/>
    <x v="6"/>
    <n v="234900"/>
    <n v="233974.8"/>
    <n v="233974.8"/>
    <n v="193843.20000000001"/>
    <x v="7"/>
    <n v="0.99606130268199233"/>
  </r>
  <r>
    <x v="2"/>
    <x v="6"/>
    <n v="790775"/>
    <n v="357164.08"/>
    <n v="351852.58"/>
    <n v="351852.58"/>
    <x v="7"/>
    <n v="0.4516633429230818"/>
  </r>
  <r>
    <x v="2"/>
    <x v="6"/>
    <n v="498300"/>
    <n v="0"/>
    <n v="0"/>
    <n v="0"/>
    <x v="7"/>
    <n v="0"/>
  </r>
  <r>
    <x v="2"/>
    <x v="6"/>
    <n v="2750"/>
    <n v="0"/>
    <n v="0"/>
    <n v="0"/>
    <x v="7"/>
    <n v="0"/>
  </r>
  <r>
    <x v="2"/>
    <x v="6"/>
    <n v="750"/>
    <n v="0"/>
    <n v="0"/>
    <n v="0"/>
    <x v="7"/>
    <n v="0"/>
  </r>
  <r>
    <x v="2"/>
    <x v="6"/>
    <n v="4000"/>
    <n v="0"/>
    <n v="0"/>
    <n v="0"/>
    <x v="7"/>
    <n v="0"/>
  </r>
  <r>
    <x v="2"/>
    <x v="6"/>
    <n v="1250"/>
    <n v="0"/>
    <n v="0"/>
    <n v="0"/>
    <x v="7"/>
    <n v="0"/>
  </r>
  <r>
    <x v="2"/>
    <x v="6"/>
    <n v="5573000"/>
    <n v="2989491.13"/>
    <n v="2409400.2400000002"/>
    <n v="2201261.86"/>
    <x v="7"/>
    <n v="0.53642403193970933"/>
  </r>
  <r>
    <x v="2"/>
    <x v="6"/>
    <n v="1100000"/>
    <n v="1494962.01"/>
    <n v="1203770.25"/>
    <n v="913112.01"/>
    <x v="7"/>
    <n v="1.3590563727272726"/>
  </r>
  <r>
    <x v="2"/>
    <x v="6"/>
    <n v="2125000"/>
    <n v="2489235.0699999998"/>
    <n v="2489235.0699999998"/>
    <n v="2489235.0699999998"/>
    <x v="7"/>
    <n v="1.1714047388235294"/>
  </r>
  <r>
    <x v="2"/>
    <x v="6"/>
    <n v="282691"/>
    <n v="129762.73"/>
    <n v="118216.03"/>
    <n v="94083.56"/>
    <x v="7"/>
    <n v="0.45902674651828318"/>
  </r>
  <r>
    <x v="2"/>
    <x v="6"/>
    <n v="105000"/>
    <n v="0"/>
    <n v="0"/>
    <n v="0"/>
    <x v="7"/>
    <n v="0"/>
  </r>
  <r>
    <x v="2"/>
    <x v="6"/>
    <n v="275000"/>
    <n v="161072.51"/>
    <n v="161072.51"/>
    <n v="161072.51"/>
    <x v="7"/>
    <n v="0.58571821818181824"/>
  </r>
  <r>
    <x v="2"/>
    <x v="6"/>
    <n v="171700"/>
    <n v="55803.07"/>
    <n v="55759.5"/>
    <n v="54043.5"/>
    <x v="7"/>
    <n v="0.32500331974373908"/>
  </r>
  <r>
    <x v="2"/>
    <x v="6"/>
    <n v="774235"/>
    <n v="289650.38"/>
    <n v="277953.08"/>
    <n v="234144.51"/>
    <x v="7"/>
    <n v="0.37411171026884604"/>
  </r>
  <r>
    <x v="2"/>
    <x v="6"/>
    <n v="98750"/>
    <n v="82016.399999999994"/>
    <n v="75178.73"/>
    <n v="73278.81"/>
    <x v="7"/>
    <n v="0.83054582278481004"/>
  </r>
  <r>
    <x v="2"/>
    <x v="6"/>
    <n v="128875"/>
    <n v="0"/>
    <n v="0"/>
    <n v="0"/>
    <x v="7"/>
    <n v="0"/>
  </r>
  <r>
    <x v="2"/>
    <x v="6"/>
    <n v="1110605"/>
    <n v="381951.71"/>
    <n v="389560.55"/>
    <n v="367199.34"/>
    <x v="7"/>
    <n v="0.34391319145870947"/>
  </r>
  <r>
    <x v="2"/>
    <x v="6"/>
    <n v="1250"/>
    <n v="0"/>
    <n v="0"/>
    <n v="0"/>
    <x v="7"/>
    <n v="0"/>
  </r>
  <r>
    <x v="2"/>
    <x v="6"/>
    <n v="3142"/>
    <n v="62.7"/>
    <n v="62.7"/>
    <n v="62.7"/>
    <x v="7"/>
    <n v="1.9955442393380013E-2"/>
  </r>
  <r>
    <x v="2"/>
    <x v="6"/>
    <n v="1778183"/>
    <n v="2662840.52"/>
    <n v="2431792.39"/>
    <n v="2169479.84"/>
    <x v="7"/>
    <n v="1.4975064546224994"/>
  </r>
  <r>
    <x v="2"/>
    <x v="6"/>
    <n v="5839937"/>
    <n v="5966696.2000000002"/>
    <n v="5831742.4299999997"/>
    <n v="5562613.2800000003"/>
    <x v="7"/>
    <n v="1.021705576618378"/>
  </r>
  <r>
    <x v="2"/>
    <x v="6"/>
    <n v="9383499"/>
    <n v="6613251.04"/>
    <n v="6538931.4699999997"/>
    <n v="6120974.3899999997"/>
    <x v="7"/>
    <n v="0.70477452387430317"/>
  </r>
  <r>
    <x v="2"/>
    <x v="6"/>
    <n v="250"/>
    <n v="0"/>
    <n v="0"/>
    <n v="0"/>
    <x v="7"/>
    <n v="0"/>
  </r>
  <r>
    <x v="2"/>
    <x v="6"/>
    <n v="2164771"/>
    <n v="578094.68999999994"/>
    <n v="215336.95999999999"/>
    <n v="214299.96"/>
    <x v="7"/>
    <n v="0.26704657906078749"/>
  </r>
  <r>
    <x v="2"/>
    <x v="7"/>
    <n v="500"/>
    <n v="0"/>
    <n v="0"/>
    <n v="0"/>
    <x v="7"/>
    <n v="0"/>
  </r>
  <r>
    <x v="2"/>
    <x v="7"/>
    <n v="5500"/>
    <n v="0"/>
    <n v="0"/>
    <n v="0"/>
    <x v="7"/>
    <n v="0"/>
  </r>
  <r>
    <x v="2"/>
    <x v="7"/>
    <n v="500"/>
    <n v="0"/>
    <n v="0"/>
    <n v="0"/>
    <x v="7"/>
    <n v="0"/>
  </r>
  <r>
    <x v="2"/>
    <x v="7"/>
    <n v="56750"/>
    <n v="35271.879999999997"/>
    <n v="29936.880000000001"/>
    <n v="29936.880000000001"/>
    <x v="7"/>
    <n v="0.62153092511013208"/>
  </r>
  <r>
    <x v="2"/>
    <x v="7"/>
    <n v="3750"/>
    <n v="0"/>
    <n v="0"/>
    <n v="0"/>
    <x v="7"/>
    <n v="0"/>
  </r>
  <r>
    <x v="2"/>
    <x v="7"/>
    <n v="1250"/>
    <n v="0"/>
    <n v="0"/>
    <n v="0"/>
    <x v="7"/>
    <n v="0"/>
  </r>
  <r>
    <x v="2"/>
    <x v="7"/>
    <n v="2151250"/>
    <n v="1563314.8"/>
    <n v="1555675.45"/>
    <n v="1552536"/>
    <x v="7"/>
    <n v="0.72670066240557818"/>
  </r>
  <r>
    <x v="2"/>
    <x v="7"/>
    <n v="3500"/>
    <n v="0"/>
    <n v="0"/>
    <n v="0"/>
    <x v="7"/>
    <n v="0"/>
  </r>
  <r>
    <x v="2"/>
    <x v="7"/>
    <n v="51000"/>
    <n v="0"/>
    <n v="0"/>
    <n v="0"/>
    <x v="7"/>
    <n v="0"/>
  </r>
  <r>
    <x v="2"/>
    <x v="7"/>
    <n v="4500"/>
    <n v="0"/>
    <n v="0"/>
    <n v="0"/>
    <x v="7"/>
    <n v="0"/>
  </r>
  <r>
    <x v="2"/>
    <x v="7"/>
    <n v="132625"/>
    <n v="3465"/>
    <n v="2520"/>
    <n v="2520"/>
    <x v="7"/>
    <n v="2.6126295947219606E-2"/>
  </r>
  <r>
    <x v="2"/>
    <x v="7"/>
    <n v="2875"/>
    <n v="0"/>
    <n v="0"/>
    <n v="0"/>
    <x v="7"/>
    <n v="0"/>
  </r>
  <r>
    <x v="2"/>
    <x v="7"/>
    <n v="9500"/>
    <n v="4088.48"/>
    <n v="3225.04"/>
    <n v="2719.15"/>
    <x v="7"/>
    <n v="0.43036631578947371"/>
  </r>
  <r>
    <x v="2"/>
    <x v="7"/>
    <n v="5250"/>
    <n v="0"/>
    <n v="0"/>
    <n v="0"/>
    <x v="7"/>
    <n v="0"/>
  </r>
  <r>
    <x v="2"/>
    <x v="7"/>
    <n v="2500"/>
    <n v="0"/>
    <n v="0"/>
    <n v="0"/>
    <x v="7"/>
    <n v="0"/>
  </r>
  <r>
    <x v="2"/>
    <x v="7"/>
    <n v="32750"/>
    <n v="15987.5"/>
    <n v="15987.5"/>
    <n v="15987.5"/>
    <x v="7"/>
    <n v="0.48816793893129773"/>
  </r>
  <r>
    <x v="2"/>
    <x v="7"/>
    <n v="750"/>
    <n v="0"/>
    <n v="0"/>
    <n v="0"/>
    <x v="7"/>
    <n v="0"/>
  </r>
  <r>
    <x v="2"/>
    <x v="7"/>
    <n v="250"/>
    <n v="0"/>
    <n v="0"/>
    <n v="0"/>
    <x v="7"/>
    <n v="0"/>
  </r>
  <r>
    <x v="2"/>
    <x v="7"/>
    <n v="1500"/>
    <n v="0"/>
    <n v="0"/>
    <n v="0"/>
    <x v="7"/>
    <n v="0"/>
  </r>
  <r>
    <x v="2"/>
    <x v="7"/>
    <n v="500"/>
    <n v="0"/>
    <n v="0"/>
    <n v="0"/>
    <x v="7"/>
    <n v="0"/>
  </r>
  <r>
    <x v="2"/>
    <x v="7"/>
    <n v="2500"/>
    <n v="0"/>
    <n v="0"/>
    <n v="0"/>
    <x v="7"/>
    <n v="0"/>
  </r>
  <r>
    <x v="2"/>
    <x v="7"/>
    <n v="13000"/>
    <n v="1377.97"/>
    <n v="1202.97"/>
    <n v="1202.97"/>
    <x v="7"/>
    <n v="0.10599769230769231"/>
  </r>
  <r>
    <x v="2"/>
    <x v="7"/>
    <n v="212500"/>
    <n v="36468.86"/>
    <n v="36468.86"/>
    <n v="36468.86"/>
    <x v="7"/>
    <n v="0.17161816470588234"/>
  </r>
  <r>
    <x v="2"/>
    <x v="7"/>
    <n v="1250"/>
    <n v="0"/>
    <n v="0"/>
    <n v="0"/>
    <x v="7"/>
    <n v="0"/>
  </r>
  <r>
    <x v="2"/>
    <x v="7"/>
    <n v="1601446"/>
    <n v="90134.080000000002"/>
    <n v="81163.789999999994"/>
    <n v="77846.09"/>
    <x v="7"/>
    <n v="5.6282934298128071E-2"/>
  </r>
  <r>
    <x v="1"/>
    <x v="3"/>
    <n v="665000"/>
    <n v="15595.96"/>
    <n v="15595.96"/>
    <n v="15595.96"/>
    <x v="7"/>
    <n v="2.3452571428571427E-2"/>
  </r>
  <r>
    <x v="1"/>
    <x v="3"/>
    <n v="139250"/>
    <n v="152390.18"/>
    <n v="152390.18"/>
    <n v="134791.13"/>
    <x v="7"/>
    <n v="1.0943639497307001"/>
  </r>
  <r>
    <x v="1"/>
    <x v="3"/>
    <n v="1268834"/>
    <n v="386338.27"/>
    <n v="337343.97"/>
    <n v="322323.09999999998"/>
    <x v="7"/>
    <n v="0.30448291108214315"/>
  </r>
  <r>
    <x v="1"/>
    <x v="3"/>
    <n v="513000"/>
    <n v="0"/>
    <n v="0"/>
    <n v="0"/>
    <x v="7"/>
    <n v="0"/>
  </r>
  <r>
    <x v="1"/>
    <x v="3"/>
    <n v="1250"/>
    <n v="0"/>
    <n v="0"/>
    <n v="0"/>
    <x v="7"/>
    <n v="0"/>
  </r>
  <r>
    <x v="1"/>
    <x v="3"/>
    <n v="689302"/>
    <n v="44502.47"/>
    <n v="44502.47"/>
    <n v="44502.47"/>
    <x v="7"/>
    <n v="6.4561643517645387E-2"/>
  </r>
  <r>
    <x v="1"/>
    <x v="3"/>
    <n v="2171875"/>
    <n v="508500"/>
    <n v="508500"/>
    <n v="508500"/>
    <x v="7"/>
    <n v="0.2341294964028777"/>
  </r>
  <r>
    <x v="1"/>
    <x v="3"/>
    <n v="884375"/>
    <n v="375750"/>
    <n v="375750"/>
    <n v="375750"/>
    <x v="7"/>
    <n v="0.42487632508833922"/>
  </r>
  <r>
    <x v="1"/>
    <x v="3"/>
    <n v="1165700"/>
    <n v="1028225"/>
    <n v="1028225"/>
    <n v="1028225"/>
    <x v="7"/>
    <n v="0.88206656944325301"/>
  </r>
  <r>
    <x v="1"/>
    <x v="3"/>
    <n v="251000"/>
    <n v="60875"/>
    <n v="60875"/>
    <n v="60875"/>
    <x v="7"/>
    <n v="0.24252988047808766"/>
  </r>
  <r>
    <x v="1"/>
    <x v="3"/>
    <n v="750"/>
    <n v="0"/>
    <n v="0"/>
    <n v="0"/>
    <x v="7"/>
    <n v="0"/>
  </r>
  <r>
    <x v="1"/>
    <x v="3"/>
    <n v="835750"/>
    <n v="0"/>
    <n v="0"/>
    <n v="0"/>
    <x v="7"/>
    <n v="0"/>
  </r>
  <r>
    <x v="1"/>
    <x v="3"/>
    <n v="388100"/>
    <n v="73832.19"/>
    <n v="73832.19"/>
    <n v="73832.19"/>
    <x v="7"/>
    <n v="0.19024011852615305"/>
  </r>
  <r>
    <x v="1"/>
    <x v="3"/>
    <n v="69000"/>
    <n v="0"/>
    <n v="0"/>
    <n v="0"/>
    <x v="7"/>
    <n v="0"/>
  </r>
  <r>
    <x v="1"/>
    <x v="3"/>
    <n v="750"/>
    <n v="0"/>
    <n v="0"/>
    <n v="0"/>
    <x v="7"/>
    <n v="0"/>
  </r>
  <r>
    <x v="1"/>
    <x v="3"/>
    <n v="13077241"/>
    <n v="2244337.42"/>
    <n v="2163531.0099999998"/>
    <n v="1703503.72"/>
    <x v="7"/>
    <n v="0.17162163028118851"/>
  </r>
  <r>
    <x v="1"/>
    <x v="3"/>
    <n v="426500"/>
    <n v="152628.18"/>
    <n v="152628.18"/>
    <n v="137789.65"/>
    <x v="7"/>
    <n v="0.35786208675263775"/>
  </r>
  <r>
    <x v="1"/>
    <x v="3"/>
    <n v="7270636"/>
    <n v="1394528"/>
    <n v="1394528"/>
    <n v="1391451.45"/>
    <x v="7"/>
    <n v="0.1918027528815911"/>
  </r>
  <r>
    <x v="1"/>
    <x v="3"/>
    <n v="211975"/>
    <n v="88160.58"/>
    <n v="88160.58"/>
    <n v="88160.58"/>
    <x v="7"/>
    <n v="0.41590083736289657"/>
  </r>
  <r>
    <x v="1"/>
    <x v="3"/>
    <n v="163000"/>
    <n v="120213.43"/>
    <n v="120213.43"/>
    <n v="120213.43"/>
    <x v="7"/>
    <n v="0.73750570552147232"/>
  </r>
  <r>
    <x v="1"/>
    <x v="3"/>
    <n v="382750"/>
    <n v="207171.18"/>
    <n v="207171.18"/>
    <n v="207171.18"/>
    <x v="7"/>
    <n v="0.5412702286087524"/>
  </r>
  <r>
    <x v="1"/>
    <x v="3"/>
    <n v="1499500"/>
    <n v="310729.68"/>
    <n v="310729.68"/>
    <n v="245361.64"/>
    <x v="7"/>
    <n v="0.20722219406468823"/>
  </r>
  <r>
    <x v="1"/>
    <x v="3"/>
    <n v="1137619"/>
    <n v="410476.56"/>
    <n v="410476.56"/>
    <n v="401490.31"/>
    <x v="7"/>
    <n v="0.36082076688240966"/>
  </r>
  <r>
    <x v="1"/>
    <x v="3"/>
    <n v="8417500"/>
    <n v="2993279.18"/>
    <n v="2993279.18"/>
    <n v="2822804.66"/>
    <x v="7"/>
    <n v="0.35560192218592218"/>
  </r>
  <r>
    <x v="1"/>
    <x v="3"/>
    <n v="45500"/>
    <n v="70123.14"/>
    <n v="70123.14"/>
    <n v="70123.14"/>
    <x v="7"/>
    <n v="1.541167912087912"/>
  </r>
  <r>
    <x v="1"/>
    <x v="3"/>
    <n v="1451375"/>
    <n v="527598.74"/>
    <n v="527598.74"/>
    <n v="527598.74"/>
    <x v="7"/>
    <n v="0.36351648609077597"/>
  </r>
  <r>
    <x v="1"/>
    <x v="3"/>
    <n v="944043"/>
    <n v="393549.48"/>
    <n v="393549.48"/>
    <n v="393549.48"/>
    <x v="7"/>
    <n v="0.41687664650868655"/>
  </r>
  <r>
    <x v="1"/>
    <x v="3"/>
    <n v="3030250"/>
    <n v="499070.8"/>
    <n v="499070.8"/>
    <n v="499070.8"/>
    <x v="7"/>
    <n v="0.16469624618430823"/>
  </r>
  <r>
    <x v="1"/>
    <x v="3"/>
    <n v="1527725"/>
    <n v="1974350.45"/>
    <n v="1974350.45"/>
    <n v="1864535.52"/>
    <x v="7"/>
    <n v="1.2923467574334386"/>
  </r>
  <r>
    <x v="1"/>
    <x v="3"/>
    <n v="9487502"/>
    <n v="4257700.66"/>
    <n v="4257700.66"/>
    <n v="4257700.66"/>
    <x v="7"/>
    <n v="0.44876940842805618"/>
  </r>
  <r>
    <x v="1"/>
    <x v="3"/>
    <n v="1339000"/>
    <n v="0"/>
    <n v="0"/>
    <n v="0"/>
    <x v="7"/>
    <n v="0"/>
  </r>
  <r>
    <x v="1"/>
    <x v="3"/>
    <n v="5720750"/>
    <n v="1572271.43"/>
    <n v="1572271.43"/>
    <n v="1505145.32"/>
    <x v="7"/>
    <n v="0.2748365913560285"/>
  </r>
  <r>
    <x v="1"/>
    <x v="3"/>
    <n v="2250250"/>
    <n v="0"/>
    <n v="0"/>
    <n v="0"/>
    <x v="7"/>
    <n v="0"/>
  </r>
  <r>
    <x v="1"/>
    <x v="3"/>
    <n v="1768500"/>
    <n v="136496.35"/>
    <n v="136496.35"/>
    <n v="68390.399999999994"/>
    <x v="7"/>
    <n v="7.7181990387333907E-2"/>
  </r>
  <r>
    <x v="1"/>
    <x v="3"/>
    <n v="1284000"/>
    <n v="244825.3"/>
    <n v="244825.3"/>
    <n v="231967.55"/>
    <x v="7"/>
    <n v="0.19067390965732087"/>
  </r>
  <r>
    <x v="1"/>
    <x v="3"/>
    <n v="21998100"/>
    <n v="113339.69"/>
    <n v="113339.69"/>
    <n v="113339.69"/>
    <x v="7"/>
    <n v="5.1522490578731804E-3"/>
  </r>
  <r>
    <x v="1"/>
    <x v="3"/>
    <n v="1884000"/>
    <n v="390043.26"/>
    <n v="390043.26"/>
    <n v="273824.23"/>
    <x v="7"/>
    <n v="0.2070293312101911"/>
  </r>
  <r>
    <x v="1"/>
    <x v="3"/>
    <n v="208000"/>
    <n v="67007.820000000007"/>
    <n v="67007.820000000007"/>
    <n v="67007.820000000007"/>
    <x v="7"/>
    <n v="0.32215298076923082"/>
  </r>
  <r>
    <x v="1"/>
    <x v="3"/>
    <n v="37500"/>
    <n v="52063.47"/>
    <n v="52063.47"/>
    <n v="52063.47"/>
    <x v="7"/>
    <n v="1.3883592"/>
  </r>
  <r>
    <x v="1"/>
    <x v="3"/>
    <n v="37500"/>
    <n v="0"/>
    <n v="0"/>
    <n v="0"/>
    <x v="7"/>
    <n v="0"/>
  </r>
  <r>
    <x v="1"/>
    <x v="3"/>
    <n v="353000"/>
    <n v="0"/>
    <n v="0"/>
    <n v="0"/>
    <x v="7"/>
    <n v="0"/>
  </r>
  <r>
    <x v="1"/>
    <x v="3"/>
    <n v="5750"/>
    <n v="0"/>
    <n v="0"/>
    <n v="0"/>
    <x v="7"/>
    <n v="0"/>
  </r>
  <r>
    <x v="1"/>
    <x v="3"/>
    <n v="100401"/>
    <n v="0"/>
    <n v="0"/>
    <n v="0"/>
    <x v="7"/>
    <n v="0"/>
  </r>
  <r>
    <x v="1"/>
    <x v="3"/>
    <n v="100000"/>
    <n v="0"/>
    <n v="0"/>
    <n v="0"/>
    <x v="7"/>
    <n v="0"/>
  </r>
  <r>
    <x v="1"/>
    <x v="4"/>
    <n v="3954049"/>
    <n v="1793064.91"/>
    <n v="1604486.16"/>
    <n v="1604486.16"/>
    <x v="7"/>
    <n v="0.45347564230994608"/>
  </r>
  <r>
    <x v="1"/>
    <x v="4"/>
    <n v="150000"/>
    <n v="0"/>
    <n v="0"/>
    <n v="0"/>
    <x v="7"/>
    <n v="0"/>
  </r>
  <r>
    <x v="1"/>
    <x v="4"/>
    <n v="1672595"/>
    <n v="106505.35"/>
    <n v="106505.35"/>
    <n v="106505.35"/>
    <x v="7"/>
    <n v="6.367671193564492E-2"/>
  </r>
  <r>
    <x v="1"/>
    <x v="4"/>
    <n v="6540657"/>
    <n v="7384515.5099999998"/>
    <n v="6681965.5099999998"/>
    <n v="6681965.5099999998"/>
    <x v="7"/>
    <n v="1.1290173922894902"/>
  </r>
  <r>
    <x v="1"/>
    <x v="4"/>
    <n v="771047"/>
    <n v="623371.79"/>
    <n v="566976.74"/>
    <n v="566976.74"/>
    <x v="7"/>
    <n v="0.80847443800442775"/>
  </r>
  <r>
    <x v="1"/>
    <x v="4"/>
    <n v="23607927"/>
    <n v="22088326.510000002"/>
    <n v="20264514.68"/>
    <n v="20264514.68"/>
    <x v="7"/>
    <n v="0.9356317693628925"/>
  </r>
  <r>
    <x v="1"/>
    <x v="4"/>
    <n v="1798750"/>
    <n v="1578573.68"/>
    <n v="1439992.95"/>
    <n v="1388958.21"/>
    <x v="7"/>
    <n v="0.87759481862404443"/>
  </r>
  <r>
    <x v="1"/>
    <x v="4"/>
    <n v="9364273"/>
    <n v="6224548.3600000003"/>
    <n v="5798550.3300000001"/>
    <n v="5798550.3300000001"/>
    <x v="7"/>
    <n v="0.66471239785512448"/>
  </r>
  <r>
    <x v="1"/>
    <x v="4"/>
    <n v="31868713"/>
    <n v="29282237.02"/>
    <n v="28566697.989999998"/>
    <n v="28356132.77"/>
    <x v="7"/>
    <n v="0.9188396475251448"/>
  </r>
  <r>
    <x v="1"/>
    <x v="4"/>
    <n v="10554088"/>
    <n v="1416692.11"/>
    <n v="1416692.11"/>
    <n v="1359531.68"/>
    <x v="7"/>
    <n v="0.13423159916801908"/>
  </r>
  <r>
    <x v="1"/>
    <x v="4"/>
    <n v="2004246"/>
    <n v="1435835.74"/>
    <n v="1427091.93"/>
    <n v="1113235.22"/>
    <x v="7"/>
    <n v="0.71639695925550062"/>
  </r>
  <r>
    <x v="1"/>
    <x v="4"/>
    <n v="25163097"/>
    <n v="22107301.329999998"/>
    <n v="20832099.559999999"/>
    <n v="20832099.559999999"/>
    <x v="7"/>
    <n v="0.87856043037945597"/>
  </r>
  <r>
    <x v="1"/>
    <x v="4"/>
    <n v="2500"/>
    <n v="0"/>
    <n v="0"/>
    <n v="0"/>
    <x v="7"/>
    <n v="0"/>
  </r>
  <r>
    <x v="1"/>
    <x v="4"/>
    <n v="510842"/>
    <n v="332938.40999999997"/>
    <n v="306910.8"/>
    <n v="296747.51"/>
    <x v="7"/>
    <n v="0.65174439454860789"/>
  </r>
  <r>
    <x v="1"/>
    <x v="4"/>
    <n v="6502741"/>
    <n v="2568375.23"/>
    <n v="2558355.2999999998"/>
    <n v="2482888.9300000002"/>
    <x v="7"/>
    <n v="0.3949680957614643"/>
  </r>
  <r>
    <x v="1"/>
    <x v="4"/>
    <n v="112673280"/>
    <n v="8586492.2799999993"/>
    <n v="8420717.7300000004"/>
    <n v="5891408.0899999999"/>
    <x v="7"/>
    <n v="7.6206996725399309E-2"/>
  </r>
  <r>
    <x v="1"/>
    <x v="4"/>
    <n v="283678"/>
    <n v="201822.2"/>
    <n v="201822.2"/>
    <n v="197464.92"/>
    <x v="7"/>
    <n v="0.71144819125910363"/>
  </r>
  <r>
    <x v="1"/>
    <x v="4"/>
    <n v="11186679"/>
    <n v="801551.88"/>
    <n v="772647.37"/>
    <n v="740805.45"/>
    <x v="7"/>
    <n v="7.1652353660992693E-2"/>
  </r>
  <r>
    <x v="1"/>
    <x v="4"/>
    <n v="16250"/>
    <n v="0"/>
    <n v="0"/>
    <n v="0"/>
    <x v="7"/>
    <n v="0"/>
  </r>
  <r>
    <x v="1"/>
    <x v="5"/>
    <n v="8642050"/>
    <n v="7498750.4699999997"/>
    <n v="6310650.71"/>
    <n v="5996497.8200000003"/>
    <x v="7"/>
    <n v="0.86770505493488237"/>
  </r>
  <r>
    <x v="1"/>
    <x v="5"/>
    <n v="28065250"/>
    <n v="25892418.809999999"/>
    <n v="25892418.809999999"/>
    <n v="25892418.809999999"/>
    <x v="7"/>
    <n v="0.92257930394348875"/>
  </r>
  <r>
    <x v="1"/>
    <x v="5"/>
    <n v="2821600"/>
    <n v="319849.77"/>
    <n v="271732.42"/>
    <n v="211988.3"/>
    <x v="7"/>
    <n v="0.11335758789339383"/>
  </r>
  <r>
    <x v="1"/>
    <x v="5"/>
    <n v="115000"/>
    <n v="0"/>
    <n v="0"/>
    <n v="0"/>
    <x v="7"/>
    <n v="0"/>
  </r>
  <r>
    <x v="1"/>
    <x v="5"/>
    <n v="1427500"/>
    <n v="386587.5"/>
    <n v="325373.84999999998"/>
    <n v="288463.59999999998"/>
    <x v="7"/>
    <n v="0.27081436077057791"/>
  </r>
  <r>
    <x v="1"/>
    <x v="5"/>
    <n v="206822"/>
    <n v="780640.51"/>
    <n v="780640.51"/>
    <n v="780640.51"/>
    <x v="7"/>
    <n v="3.7744558605951011"/>
  </r>
  <r>
    <x v="1"/>
    <x v="5"/>
    <n v="375000"/>
    <n v="0"/>
    <n v="0"/>
    <n v="0"/>
    <x v="7"/>
    <n v="0"/>
  </r>
  <r>
    <x v="1"/>
    <x v="5"/>
    <n v="183750"/>
    <n v="71125"/>
    <n v="71125"/>
    <n v="71125"/>
    <x v="7"/>
    <n v="0.38707482993197279"/>
  </r>
  <r>
    <x v="1"/>
    <x v="5"/>
    <n v="34448798"/>
    <n v="26924451.129999999"/>
    <n v="22134677.809999999"/>
    <n v="17551872.460000001"/>
    <x v="7"/>
    <n v="0.78157882693033287"/>
  </r>
  <r>
    <x v="1"/>
    <x v="5"/>
    <n v="1103050"/>
    <n v="18629.78"/>
    <n v="8009.84"/>
    <n v="0"/>
    <x v="7"/>
    <n v="1.6889334119033587E-2"/>
  </r>
  <r>
    <x v="1"/>
    <x v="5"/>
    <n v="74856500"/>
    <n v="73991524.829999998"/>
    <n v="72961781.819999993"/>
    <n v="72833774.719999999"/>
    <x v="7"/>
    <n v="0.98844488895419902"/>
  </r>
  <r>
    <x v="1"/>
    <x v="5"/>
    <n v="131553000"/>
    <n v="123919578.59"/>
    <n v="123919578.59"/>
    <n v="123919578.59"/>
    <x v="7"/>
    <n v="0.94197455466618019"/>
  </r>
  <r>
    <x v="1"/>
    <x v="5"/>
    <n v="18196025"/>
    <n v="1333373.52"/>
    <n v="1300370.3500000001"/>
    <n v="1136573.56"/>
    <x v="7"/>
    <n v="7.3278285779449087E-2"/>
  </r>
  <r>
    <x v="1"/>
    <x v="5"/>
    <n v="262594"/>
    <n v="41848.400000000001"/>
    <n v="28940.25"/>
    <n v="22440.25"/>
    <x v="7"/>
    <n v="0.15936540819668385"/>
  </r>
  <r>
    <x v="1"/>
    <x v="5"/>
    <n v="141750"/>
    <n v="0"/>
    <n v="0"/>
    <n v="0"/>
    <x v="7"/>
    <n v="0"/>
  </r>
  <r>
    <x v="1"/>
    <x v="5"/>
    <n v="3907459"/>
    <n v="3581630.48"/>
    <n v="3544018.88"/>
    <n v="3500304.34"/>
    <x v="7"/>
    <n v="0.91661370727114477"/>
  </r>
  <r>
    <x v="1"/>
    <x v="5"/>
    <n v="23593273"/>
    <n v="27365542.100000001"/>
    <n v="22935498.989999998"/>
    <n v="17423437.329999998"/>
    <x v="7"/>
    <n v="1.1598874857252743"/>
  </r>
  <r>
    <x v="1"/>
    <x v="5"/>
    <n v="31416186"/>
    <n v="11827562.060000001"/>
    <n v="11827562.060000001"/>
    <n v="11649024.800000001"/>
    <x v="7"/>
    <n v="0.37647988396809212"/>
  </r>
  <r>
    <x v="1"/>
    <x v="5"/>
    <n v="12696975"/>
    <n v="0"/>
    <n v="0"/>
    <n v="0"/>
    <x v="7"/>
    <n v="0"/>
  </r>
  <r>
    <x v="1"/>
    <x v="5"/>
    <n v="17142909"/>
    <n v="15197268.130000001"/>
    <n v="14275524.09"/>
    <n v="13780030.300000001"/>
    <x v="7"/>
    <n v="0.88650462590683998"/>
  </r>
  <r>
    <x v="1"/>
    <x v="5"/>
    <n v="13200000"/>
    <n v="0"/>
    <n v="0"/>
    <n v="0"/>
    <x v="7"/>
    <n v="0"/>
  </r>
  <r>
    <x v="1"/>
    <x v="5"/>
    <n v="12364744"/>
    <n v="9676546.1400000006"/>
    <n v="8633507.2100000009"/>
    <n v="8154741.04"/>
    <x v="7"/>
    <n v="0.78259170913688147"/>
  </r>
  <r>
    <x v="1"/>
    <x v="5"/>
    <n v="30027248"/>
    <n v="34130012.32"/>
    <n v="32051318.350000001"/>
    <n v="31576144.030000001"/>
    <x v="7"/>
    <n v="1.1366347099141421"/>
  </r>
  <r>
    <x v="1"/>
    <x v="5"/>
    <n v="1752459"/>
    <n v="1354555.47"/>
    <n v="888861.36"/>
    <n v="767047.63"/>
    <x v="7"/>
    <n v="0.77294559815664732"/>
  </r>
  <r>
    <x v="1"/>
    <x v="5"/>
    <n v="468219"/>
    <n v="418491.43"/>
    <n v="291139.46999999997"/>
    <n v="274647.49"/>
    <x v="7"/>
    <n v="0.89379420741148907"/>
  </r>
  <r>
    <x v="1"/>
    <x v="5"/>
    <n v="4600800"/>
    <n v="264989.11"/>
    <n v="127787.24"/>
    <n v="101888.35"/>
    <x v="7"/>
    <n v="5.7596311511041554E-2"/>
  </r>
  <r>
    <x v="1"/>
    <x v="5"/>
    <n v="1373975"/>
    <n v="462411.1"/>
    <n v="246195.13"/>
    <n v="223653.06"/>
    <x v="7"/>
    <n v="0.33654986444440399"/>
  </r>
  <r>
    <x v="1"/>
    <x v="5"/>
    <n v="2491250"/>
    <n v="2972724.11"/>
    <n v="2712234.89"/>
    <n v="2511726.88"/>
    <x v="7"/>
    <n v="1.1932660752634219"/>
  </r>
  <r>
    <x v="1"/>
    <x v="5"/>
    <n v="1199975"/>
    <n v="1026129.3"/>
    <n v="868114.35"/>
    <n v="630123.28"/>
    <x v="7"/>
    <n v="0.85512556511593996"/>
  </r>
  <r>
    <x v="1"/>
    <x v="5"/>
    <n v="1484350"/>
    <n v="1441923.91"/>
    <n v="914370.52"/>
    <n v="584242.31000000006"/>
    <x v="7"/>
    <n v="0.97141773166705958"/>
  </r>
  <r>
    <x v="1"/>
    <x v="5"/>
    <n v="81640000"/>
    <n v="79223476.650000006"/>
    <n v="78823806.209999993"/>
    <n v="74215022.810000002"/>
    <x v="7"/>
    <n v="0.97040025293973553"/>
  </r>
  <r>
    <x v="1"/>
    <x v="5"/>
    <n v="1683000"/>
    <n v="437858.24"/>
    <n v="405006.04"/>
    <n v="326603.33"/>
    <x v="7"/>
    <n v="0.26016532382650032"/>
  </r>
  <r>
    <x v="1"/>
    <x v="5"/>
    <n v="4393400"/>
    <n v="3163635.25"/>
    <n v="2779480.34"/>
    <n v="2336345.7599999998"/>
    <x v="7"/>
    <n v="0.72008814357900486"/>
  </r>
  <r>
    <x v="1"/>
    <x v="5"/>
    <n v="17341850"/>
    <n v="16616383.41"/>
    <n v="14124363.02"/>
    <n v="11393793.960000001"/>
    <x v="7"/>
    <n v="0.95816671289395305"/>
  </r>
  <r>
    <x v="1"/>
    <x v="5"/>
    <n v="38253884"/>
    <n v="3468087.62"/>
    <n v="3303311.64"/>
    <n v="3169072.33"/>
    <x v="7"/>
    <n v="9.0659751569278565E-2"/>
  </r>
  <r>
    <x v="1"/>
    <x v="5"/>
    <n v="234465000"/>
    <n v="219471088.40000001"/>
    <n v="212681450.16"/>
    <n v="205909034.69999999"/>
    <x v="7"/>
    <n v="0.93605053376836633"/>
  </r>
  <r>
    <x v="1"/>
    <x v="5"/>
    <n v="12870000"/>
    <n v="6335077.25"/>
    <n v="5773894.1500000004"/>
    <n v="4722331.2"/>
    <x v="7"/>
    <n v="0.49223599456099454"/>
  </r>
  <r>
    <x v="1"/>
    <x v="5"/>
    <n v="68601108"/>
    <n v="58403660.369999997"/>
    <n v="56082411.710000001"/>
    <n v="54592219"/>
    <x v="7"/>
    <n v="0.85135156082318664"/>
  </r>
  <r>
    <x v="1"/>
    <x v="5"/>
    <n v="7000000"/>
    <n v="3356878.02"/>
    <n v="1625870.81"/>
    <n v="1529332.38"/>
    <x v="7"/>
    <n v="0.47955400285714284"/>
  </r>
  <r>
    <x v="1"/>
    <x v="5"/>
    <n v="116500"/>
    <n v="15178.81"/>
    <n v="6627.5"/>
    <n v="6565"/>
    <x v="7"/>
    <n v="0.13029021459227466"/>
  </r>
  <r>
    <x v="1"/>
    <x v="5"/>
    <n v="5000"/>
    <n v="0"/>
    <n v="0"/>
    <n v="0"/>
    <x v="7"/>
    <n v="0"/>
  </r>
  <r>
    <x v="1"/>
    <x v="5"/>
    <n v="2300000"/>
    <n v="898654.47"/>
    <n v="777406.27"/>
    <n v="177930.7"/>
    <x v="7"/>
    <n v="0.39071933478260867"/>
  </r>
  <r>
    <x v="1"/>
    <x v="5"/>
    <n v="1200000"/>
    <n v="1289099.0900000001"/>
    <n v="982229.39"/>
    <n v="484979.77"/>
    <x v="7"/>
    <n v="1.0742492416666667"/>
  </r>
  <r>
    <x v="1"/>
    <x v="5"/>
    <n v="12674842"/>
    <n v="3214754.12"/>
    <n v="3168700.37"/>
    <n v="3049692.5"/>
    <x v="7"/>
    <n v="0.25363267802470441"/>
  </r>
  <r>
    <x v="1"/>
    <x v="5"/>
    <n v="512500"/>
    <n v="3392089.52"/>
    <n v="3085622.49"/>
    <n v="2238203.5099999998"/>
    <x v="7"/>
    <n v="6.6187112585365853"/>
  </r>
  <r>
    <x v="1"/>
    <x v="5"/>
    <n v="956750"/>
    <n v="504352.56"/>
    <n v="447951.66"/>
    <n v="404007.87"/>
    <x v="7"/>
    <n v="0.52715187875620595"/>
  </r>
  <r>
    <x v="1"/>
    <x v="5"/>
    <n v="694248"/>
    <n v="493770.68"/>
    <n v="480025.01"/>
    <n v="433665.26"/>
    <x v="7"/>
    <n v="0.71123097221742082"/>
  </r>
  <r>
    <x v="0"/>
    <x v="0"/>
    <n v="950000"/>
    <n v="955947.54"/>
    <n v="955947.54"/>
    <n v="955947.54"/>
    <x v="8"/>
    <n v="1.0062605684210526"/>
  </r>
  <r>
    <x v="0"/>
    <x v="0"/>
    <n v="140000"/>
    <n v="36000"/>
    <n v="36000"/>
    <n v="33000"/>
    <x v="8"/>
    <n v="0.25714285714285712"/>
  </r>
  <r>
    <x v="0"/>
    <x v="0"/>
    <n v="3750"/>
    <n v="1125"/>
    <n v="0"/>
    <n v="0"/>
    <x v="8"/>
    <n v="0.3"/>
  </r>
  <r>
    <x v="0"/>
    <x v="0"/>
    <n v="24975"/>
    <n v="8916.1299999999992"/>
    <n v="4416.13"/>
    <n v="4416.13"/>
    <x v="8"/>
    <n v="0.35700220220220219"/>
  </r>
  <r>
    <x v="0"/>
    <x v="0"/>
    <n v="64590.5"/>
    <n v="96244.93"/>
    <n v="62325.65"/>
    <n v="62325.65"/>
    <x v="8"/>
    <n v="1.4900787267477413"/>
  </r>
  <r>
    <x v="0"/>
    <x v="0"/>
    <n v="6750"/>
    <n v="17189.63"/>
    <n v="17189.63"/>
    <n v="17189.63"/>
    <x v="8"/>
    <n v="2.5466118518518521"/>
  </r>
  <r>
    <x v="0"/>
    <x v="0"/>
    <n v="179821"/>
    <n v="253275.67"/>
    <n v="166810.07999999999"/>
    <n v="88157.66"/>
    <x v="8"/>
    <n v="1.4084877183421292"/>
  </r>
  <r>
    <x v="0"/>
    <x v="0"/>
    <n v="213050"/>
    <n v="213050"/>
    <n v="213050"/>
    <n v="213050"/>
    <x v="8"/>
    <n v="1"/>
  </r>
  <r>
    <x v="0"/>
    <x v="0"/>
    <n v="389573.5"/>
    <n v="230933.54"/>
    <n v="186750"/>
    <n v="186750"/>
    <x v="8"/>
    <n v="0.59278554624480362"/>
  </r>
  <r>
    <x v="0"/>
    <x v="0"/>
    <n v="250000"/>
    <n v="112500"/>
    <n v="112500"/>
    <n v="112500"/>
    <x v="8"/>
    <n v="0.45"/>
  </r>
  <r>
    <x v="0"/>
    <x v="0"/>
    <n v="221450"/>
    <n v="60102.41"/>
    <n v="13543.28"/>
    <n v="13543.28"/>
    <x v="8"/>
    <n v="0.27140397380898623"/>
  </r>
  <r>
    <x v="0"/>
    <x v="0"/>
    <n v="2032996.25"/>
    <n v="2113930.7400000002"/>
    <n v="1926634.61"/>
    <n v="1920777.16"/>
    <x v="8"/>
    <n v="1.0398104472647209"/>
  </r>
  <r>
    <x v="0"/>
    <x v="0"/>
    <n v="22317.5"/>
    <n v="11900"/>
    <n v="11900"/>
    <n v="11900"/>
    <x v="8"/>
    <n v="0.53321384563683205"/>
  </r>
  <r>
    <x v="0"/>
    <x v="0"/>
    <n v="85000"/>
    <n v="0"/>
    <n v="0"/>
    <n v="0"/>
    <x v="8"/>
    <n v="0"/>
  </r>
  <r>
    <x v="0"/>
    <x v="0"/>
    <n v="0"/>
    <n v="65279.86"/>
    <n v="65279.86"/>
    <n v="65279.86"/>
    <x v="8"/>
    <n v="0"/>
  </r>
  <r>
    <x v="0"/>
    <x v="0"/>
    <n v="186720"/>
    <n v="150283.01"/>
    <n v="26654.25"/>
    <n v="22905.42"/>
    <x v="8"/>
    <n v="0.80485759425878323"/>
  </r>
  <r>
    <x v="0"/>
    <x v="0"/>
    <n v="4915899"/>
    <n v="5242347.16"/>
    <n v="4742327.62"/>
    <n v="4730560.0999999996"/>
    <x v="8"/>
    <n v="1.0664066043667699"/>
  </r>
  <r>
    <x v="0"/>
    <x v="0"/>
    <n v="140250"/>
    <n v="159895.91"/>
    <n v="159895.91"/>
    <n v="159895.91"/>
    <x v="8"/>
    <n v="1.140077789661319"/>
  </r>
  <r>
    <x v="0"/>
    <x v="0"/>
    <n v="35000"/>
    <n v="21500"/>
    <n v="12500"/>
    <n v="12500"/>
    <x v="8"/>
    <n v="0.61428571428571432"/>
  </r>
  <r>
    <x v="0"/>
    <x v="0"/>
    <n v="600000"/>
    <n v="675000"/>
    <n v="675000"/>
    <n v="675000"/>
    <x v="8"/>
    <n v="1.125"/>
  </r>
  <r>
    <x v="0"/>
    <x v="0"/>
    <n v="650000"/>
    <n v="650000"/>
    <n v="650000"/>
    <n v="650000"/>
    <x v="8"/>
    <n v="1"/>
  </r>
  <r>
    <x v="0"/>
    <x v="0"/>
    <n v="187500"/>
    <n v="187500"/>
    <n v="187500"/>
    <n v="187500"/>
    <x v="8"/>
    <n v="1"/>
  </r>
  <r>
    <x v="0"/>
    <x v="0"/>
    <n v="32400"/>
    <n v="0"/>
    <n v="0"/>
    <n v="0"/>
    <x v="8"/>
    <n v="0"/>
  </r>
  <r>
    <x v="0"/>
    <x v="0"/>
    <n v="600000"/>
    <n v="600000"/>
    <n v="600000"/>
    <n v="600000"/>
    <x v="8"/>
    <n v="1"/>
  </r>
  <r>
    <x v="0"/>
    <x v="0"/>
    <n v="264762.75"/>
    <n v="46575.22"/>
    <n v="38783.410000000003"/>
    <n v="34550.06"/>
    <x v="8"/>
    <n v="0.17591303912653877"/>
  </r>
  <r>
    <x v="0"/>
    <x v="0"/>
    <n v="7296687"/>
    <n v="7108283.5"/>
    <n v="7108283.5"/>
    <n v="6802665.0800000001"/>
    <x v="8"/>
    <n v="0.97417958314506292"/>
  </r>
  <r>
    <x v="0"/>
    <x v="0"/>
    <n v="26250"/>
    <n v="28497.38"/>
    <n v="23751.14"/>
    <n v="23751.14"/>
    <x v="8"/>
    <n v="1.0856144761904762"/>
  </r>
  <r>
    <x v="0"/>
    <x v="0"/>
    <n v="12500"/>
    <n v="147548.75"/>
    <n v="18748.75"/>
    <n v="18748.75"/>
    <x v="8"/>
    <n v="11.803900000000001"/>
  </r>
  <r>
    <x v="0"/>
    <x v="0"/>
    <n v="16100"/>
    <n v="11525.37"/>
    <n v="8119.79"/>
    <n v="8119.79"/>
    <x v="8"/>
    <n v="0.71586149068322991"/>
  </r>
  <r>
    <x v="0"/>
    <x v="0"/>
    <n v="1082000"/>
    <n v="926185.18"/>
    <n v="926185.18"/>
    <n v="926185.18"/>
    <x v="8"/>
    <n v="0.85599369685767102"/>
  </r>
  <r>
    <x v="0"/>
    <x v="1"/>
    <n v="746336"/>
    <n v="609656.1"/>
    <n v="609656.1"/>
    <n v="609656.1"/>
    <x v="8"/>
    <n v="0.81686546006088412"/>
  </r>
  <r>
    <x v="0"/>
    <x v="1"/>
    <n v="576600"/>
    <n v="168159.26"/>
    <n v="53506.66"/>
    <n v="37106.660000000003"/>
    <x v="8"/>
    <n v="0.29163936871314605"/>
  </r>
  <r>
    <x v="0"/>
    <x v="1"/>
    <n v="2038722.5"/>
    <n v="1455831.82"/>
    <n v="1009996.23"/>
    <n v="976850.15"/>
    <x v="8"/>
    <n v="0.71409023052426213"/>
  </r>
  <r>
    <x v="0"/>
    <x v="1"/>
    <n v="142675.75"/>
    <n v="95921.65"/>
    <n v="95921.65"/>
    <n v="95921.65"/>
    <x v="8"/>
    <n v="0.6723052095398131"/>
  </r>
  <r>
    <x v="0"/>
    <x v="1"/>
    <n v="4410423.5"/>
    <n v="4371848.58"/>
    <n v="4311159.54"/>
    <n v="4252594.34"/>
    <x v="8"/>
    <n v="0.99125369253088735"/>
  </r>
  <r>
    <x v="0"/>
    <x v="1"/>
    <n v="218824"/>
    <n v="297564.67"/>
    <n v="217885.18"/>
    <n v="217885.18"/>
    <x v="8"/>
    <n v="1.3598356213212444"/>
  </r>
  <r>
    <x v="0"/>
    <x v="1"/>
    <n v="0"/>
    <n v="4572.67"/>
    <n v="4572.67"/>
    <n v="0"/>
    <x v="8"/>
    <n v="0"/>
  </r>
  <r>
    <x v="0"/>
    <x v="1"/>
    <n v="1202965.75"/>
    <n v="1200340.8"/>
    <n v="1018662.47"/>
    <n v="1016329.12"/>
    <x v="8"/>
    <n v="0.99781793455050571"/>
  </r>
  <r>
    <x v="0"/>
    <x v="1"/>
    <n v="125000"/>
    <n v="0"/>
    <n v="0"/>
    <n v="0"/>
    <x v="8"/>
    <n v="0"/>
  </r>
  <r>
    <x v="0"/>
    <x v="1"/>
    <n v="41098"/>
    <n v="40648.5"/>
    <n v="40648.5"/>
    <n v="40648.5"/>
    <x v="8"/>
    <n v="0.98906272811329021"/>
  </r>
  <r>
    <x v="0"/>
    <x v="1"/>
    <n v="5000"/>
    <n v="23800"/>
    <n v="7000"/>
    <n v="7000"/>
    <x v="8"/>
    <n v="4.76"/>
  </r>
  <r>
    <x v="0"/>
    <x v="1"/>
    <n v="158844.5"/>
    <n v="113692.12"/>
    <n v="113422.12"/>
    <n v="107740.31"/>
    <x v="8"/>
    <n v="0.71574476925546682"/>
  </r>
  <r>
    <x v="0"/>
    <x v="1"/>
    <n v="33750"/>
    <n v="0"/>
    <n v="0"/>
    <n v="0"/>
    <x v="8"/>
    <n v="0"/>
  </r>
  <r>
    <x v="0"/>
    <x v="1"/>
    <n v="0"/>
    <n v="38775.5"/>
    <n v="38775.5"/>
    <n v="38775.5"/>
    <x v="8"/>
    <n v="0"/>
  </r>
  <r>
    <x v="0"/>
    <x v="1"/>
    <n v="36186"/>
    <n v="36350.839999999997"/>
    <n v="33787.29"/>
    <n v="32810.99"/>
    <x v="8"/>
    <n v="1.0045553528989111"/>
  </r>
  <r>
    <x v="0"/>
    <x v="1"/>
    <n v="4450"/>
    <n v="7870.69"/>
    <n v="4852.71"/>
    <n v="2265.25"/>
    <x v="8"/>
    <n v="1.7686943820224719"/>
  </r>
  <r>
    <x v="0"/>
    <x v="1"/>
    <n v="91519.5"/>
    <n v="100365.2"/>
    <n v="90032.8"/>
    <n v="83992.320000000007"/>
    <x v="8"/>
    <n v="1.0966537186064171"/>
  </r>
  <r>
    <x v="0"/>
    <x v="1"/>
    <n v="187500"/>
    <n v="129883.89"/>
    <n v="123151.65"/>
    <n v="118779.4"/>
    <x v="8"/>
    <n v="0.69271408000000001"/>
  </r>
  <r>
    <x v="0"/>
    <x v="1"/>
    <n v="189810"/>
    <n v="205534.25"/>
    <n v="203650.71"/>
    <n v="201636.48000000001"/>
    <x v="8"/>
    <n v="1.0828420525788947"/>
  </r>
  <r>
    <x v="0"/>
    <x v="2"/>
    <n v="1000"/>
    <n v="0"/>
    <n v="0"/>
    <n v="0"/>
    <x v="8"/>
    <n v="0"/>
  </r>
  <r>
    <x v="0"/>
    <x v="2"/>
    <n v="665213"/>
    <n v="352175.38"/>
    <n v="270313.40999999997"/>
    <n v="240620.36"/>
    <x v="8"/>
    <n v="0.52941746478195706"/>
  </r>
  <r>
    <x v="0"/>
    <x v="2"/>
    <n v="2000"/>
    <n v="0"/>
    <n v="0"/>
    <n v="0"/>
    <x v="8"/>
    <n v="0"/>
  </r>
  <r>
    <x v="0"/>
    <x v="2"/>
    <n v="1000"/>
    <n v="0"/>
    <n v="0"/>
    <n v="0"/>
    <x v="8"/>
    <n v="0"/>
  </r>
  <r>
    <x v="0"/>
    <x v="2"/>
    <n v="63035904"/>
    <n v="76370066.400000006"/>
    <n v="67506461.280000001"/>
    <n v="64130581.759999998"/>
    <x v="8"/>
    <n v="1.2115328178683693"/>
  </r>
  <r>
    <x v="0"/>
    <x v="2"/>
    <n v="188438995"/>
    <n v="108966787.06"/>
    <n v="106187979.26000001"/>
    <n v="99357890.109999999"/>
    <x v="8"/>
    <n v="0.57826028556350562"/>
  </r>
  <r>
    <x v="0"/>
    <x v="2"/>
    <n v="10000"/>
    <n v="0"/>
    <n v="0"/>
    <n v="0"/>
    <x v="8"/>
    <n v="0"/>
  </r>
  <r>
    <x v="0"/>
    <x v="2"/>
    <n v="1326932"/>
    <n v="632273.6"/>
    <n v="632273.6"/>
    <n v="632273.6"/>
    <x v="8"/>
    <n v="0.47649284213509058"/>
  </r>
  <r>
    <x v="0"/>
    <x v="2"/>
    <n v="105000"/>
    <n v="0"/>
    <n v="0"/>
    <n v="0"/>
    <x v="8"/>
    <n v="0"/>
  </r>
  <r>
    <x v="0"/>
    <x v="2"/>
    <n v="20000"/>
    <n v="0"/>
    <n v="0"/>
    <n v="0"/>
    <x v="8"/>
    <n v="0"/>
  </r>
  <r>
    <x v="0"/>
    <x v="2"/>
    <n v="297400"/>
    <n v="0"/>
    <n v="0"/>
    <n v="0"/>
    <x v="8"/>
    <n v="0"/>
  </r>
  <r>
    <x v="0"/>
    <x v="2"/>
    <n v="5000"/>
    <n v="0"/>
    <n v="0"/>
    <n v="0"/>
    <x v="8"/>
    <n v="0"/>
  </r>
  <r>
    <x v="0"/>
    <x v="2"/>
    <n v="24710000"/>
    <n v="0"/>
    <n v="0"/>
    <n v="0"/>
    <x v="8"/>
    <n v="0"/>
  </r>
  <r>
    <x v="0"/>
    <x v="2"/>
    <n v="3124698"/>
    <n v="2881474.08"/>
    <n v="1928437.28"/>
    <n v="1712888.67"/>
    <x v="8"/>
    <n v="0.92216082322195614"/>
  </r>
  <r>
    <x v="0"/>
    <x v="2"/>
    <n v="8125549"/>
    <n v="5295110.58"/>
    <n v="5291067.8600000003"/>
    <n v="5291067.8600000003"/>
    <x v="8"/>
    <n v="0.65166188524615387"/>
  </r>
  <r>
    <x v="0"/>
    <x v="2"/>
    <n v="1000"/>
    <n v="0"/>
    <n v="0"/>
    <n v="0"/>
    <x v="8"/>
    <n v="0"/>
  </r>
  <r>
    <x v="0"/>
    <x v="2"/>
    <n v="270000"/>
    <n v="253227.04"/>
    <n v="0"/>
    <n v="0"/>
    <x v="8"/>
    <n v="0.937877925925926"/>
  </r>
  <r>
    <x v="0"/>
    <x v="2"/>
    <n v="3800000"/>
    <n v="3809999.25"/>
    <n v="3434655.18"/>
    <n v="3434655.18"/>
    <x v="8"/>
    <n v="1.0026313815789474"/>
  </r>
  <r>
    <x v="0"/>
    <x v="2"/>
    <n v="5000"/>
    <n v="0"/>
    <n v="0"/>
    <n v="0"/>
    <x v="8"/>
    <n v="0"/>
  </r>
  <r>
    <x v="0"/>
    <x v="2"/>
    <n v="5000"/>
    <n v="0"/>
    <n v="0"/>
    <n v="0"/>
    <x v="8"/>
    <n v="0"/>
  </r>
  <r>
    <x v="0"/>
    <x v="2"/>
    <n v="28680555"/>
    <n v="51973922.93"/>
    <n v="51903922.93"/>
    <n v="50753922.93"/>
    <x v="8"/>
    <n v="1.8121658709184671"/>
  </r>
  <r>
    <x v="0"/>
    <x v="2"/>
    <n v="45000"/>
    <n v="0"/>
    <n v="0"/>
    <n v="0"/>
    <x v="8"/>
    <n v="0"/>
  </r>
  <r>
    <x v="0"/>
    <x v="2"/>
    <n v="40100000"/>
    <n v="27927630.579999998"/>
    <n v="27927630.579999998"/>
    <n v="27927630.579999998"/>
    <x v="8"/>
    <n v="0.69644964039900248"/>
  </r>
  <r>
    <x v="0"/>
    <x v="2"/>
    <n v="56400406"/>
    <n v="34751584.939999998"/>
    <n v="34751584.939999998"/>
    <n v="34751584.939999998"/>
    <x v="8"/>
    <n v="0.61615841807947269"/>
  </r>
  <r>
    <x v="0"/>
    <x v="2"/>
    <n v="4000655"/>
    <n v="2512322.8199999998"/>
    <n v="2512322.8199999998"/>
    <n v="2512322.8199999998"/>
    <x v="8"/>
    <n v="0.62797787362319413"/>
  </r>
  <r>
    <x v="0"/>
    <x v="2"/>
    <n v="1311359425"/>
    <n v="1431003302.21"/>
    <n v="1356429027.5799999"/>
    <n v="1246870923.8099999"/>
    <x v="8"/>
    <n v="1.0912365251883556"/>
  </r>
  <r>
    <x v="0"/>
    <x v="2"/>
    <n v="5000"/>
    <n v="0"/>
    <n v="0"/>
    <n v="0"/>
    <x v="8"/>
    <n v="0"/>
  </r>
  <r>
    <x v="0"/>
    <x v="2"/>
    <n v="21525525"/>
    <n v="0"/>
    <n v="0"/>
    <n v="0"/>
    <x v="8"/>
    <n v="0"/>
  </r>
  <r>
    <x v="0"/>
    <x v="2"/>
    <n v="5000"/>
    <n v="0"/>
    <n v="0"/>
    <n v="0"/>
    <x v="8"/>
    <n v="0"/>
  </r>
  <r>
    <x v="0"/>
    <x v="2"/>
    <n v="5000"/>
    <n v="0"/>
    <n v="0"/>
    <n v="0"/>
    <x v="8"/>
    <n v="0"/>
  </r>
  <r>
    <x v="0"/>
    <x v="2"/>
    <n v="726200"/>
    <n v="0"/>
    <n v="0"/>
    <n v="0"/>
    <x v="8"/>
    <n v="0"/>
  </r>
  <r>
    <x v="0"/>
    <x v="2"/>
    <n v="45000"/>
    <n v="0"/>
    <n v="0"/>
    <n v="0"/>
    <x v="8"/>
    <n v="0"/>
  </r>
  <r>
    <x v="0"/>
    <x v="2"/>
    <n v="51979573"/>
    <n v="48994478.219999999"/>
    <n v="48929515.780000001"/>
    <n v="44346079.039999999"/>
    <x v="8"/>
    <n v="0.94257177179966445"/>
  </r>
  <r>
    <x v="0"/>
    <x v="2"/>
    <n v="45000"/>
    <n v="0"/>
    <n v="0"/>
    <n v="0"/>
    <x v="8"/>
    <n v="0"/>
  </r>
  <r>
    <x v="0"/>
    <x v="2"/>
    <n v="7526400"/>
    <n v="0"/>
    <n v="0"/>
    <n v="0"/>
    <x v="8"/>
    <n v="0"/>
  </r>
  <r>
    <x v="0"/>
    <x v="2"/>
    <n v="1145034"/>
    <n v="666005.67000000004"/>
    <n v="615481.29"/>
    <n v="615481.29"/>
    <x v="8"/>
    <n v="0.58164706899533114"/>
  </r>
  <r>
    <x v="0"/>
    <x v="2"/>
    <n v="5000"/>
    <n v="0"/>
    <n v="0"/>
    <n v="0"/>
    <x v="8"/>
    <n v="0"/>
  </r>
  <r>
    <x v="0"/>
    <x v="2"/>
    <n v="500004"/>
    <n v="1189125.73"/>
    <n v="1189125.73"/>
    <n v="1189125.73"/>
    <x v="8"/>
    <n v="2.3782324341405268"/>
  </r>
  <r>
    <x v="0"/>
    <x v="2"/>
    <n v="5000"/>
    <n v="0"/>
    <n v="0"/>
    <n v="0"/>
    <x v="8"/>
    <n v="0"/>
  </r>
  <r>
    <x v="0"/>
    <x v="2"/>
    <n v="5000"/>
    <n v="0"/>
    <n v="0"/>
    <n v="0"/>
    <x v="8"/>
    <n v="0"/>
  </r>
  <r>
    <x v="0"/>
    <x v="2"/>
    <n v="5000"/>
    <n v="263674.5"/>
    <n v="263674.5"/>
    <n v="263674.5"/>
    <x v="8"/>
    <n v="52.734900000000003"/>
  </r>
  <r>
    <x v="0"/>
    <x v="2"/>
    <n v="5000"/>
    <n v="0"/>
    <n v="0"/>
    <n v="0"/>
    <x v="8"/>
    <n v="0"/>
  </r>
  <r>
    <x v="0"/>
    <x v="2"/>
    <n v="5000"/>
    <n v="0"/>
    <n v="0"/>
    <n v="0"/>
    <x v="8"/>
    <n v="0"/>
  </r>
  <r>
    <x v="0"/>
    <x v="2"/>
    <n v="26657017"/>
    <n v="120690"/>
    <n v="31380"/>
    <n v="31380"/>
    <x v="8"/>
    <n v="4.5275133372950169E-3"/>
  </r>
  <r>
    <x v="0"/>
    <x v="2"/>
    <n v="270000"/>
    <n v="249042.12"/>
    <n v="0"/>
    <n v="0"/>
    <x v="8"/>
    <n v="0.92237822222222221"/>
  </r>
  <r>
    <x v="0"/>
    <x v="2"/>
    <n v="69589"/>
    <n v="50564716.960000001"/>
    <n v="50564716.960000001"/>
    <n v="50564716.960000001"/>
    <x v="8"/>
    <n v="726.61939329491736"/>
  </r>
  <r>
    <x v="0"/>
    <x v="2"/>
    <n v="2000000"/>
    <n v="1971191.07"/>
    <n v="1816010.24"/>
    <n v="1816010.24"/>
    <x v="8"/>
    <n v="0.98559553500000008"/>
  </r>
  <r>
    <x v="0"/>
    <x v="2"/>
    <n v="25354584"/>
    <n v="29336991.780000001"/>
    <n v="29336991.780000001"/>
    <n v="29336991.780000001"/>
    <x v="8"/>
    <n v="1.1570685513909438"/>
  </r>
  <r>
    <x v="0"/>
    <x v="2"/>
    <n v="45000"/>
    <n v="0"/>
    <n v="0"/>
    <n v="0"/>
    <x v="8"/>
    <n v="0"/>
  </r>
  <r>
    <x v="0"/>
    <x v="2"/>
    <n v="2475000"/>
    <n v="2005620.53"/>
    <n v="2005620.53"/>
    <n v="2005620.53"/>
    <x v="8"/>
    <n v="0.81035172929292931"/>
  </r>
  <r>
    <x v="0"/>
    <x v="2"/>
    <n v="76293"/>
    <n v="5258143.8099999996"/>
    <n v="5258143.8099999996"/>
    <n v="5258143.8099999996"/>
    <x v="8"/>
    <n v="68.920396497712758"/>
  </r>
  <r>
    <x v="0"/>
    <x v="2"/>
    <n v="3372645"/>
    <n v="1627126.52"/>
    <n v="1627126.52"/>
    <n v="1627126.52"/>
    <x v="8"/>
    <n v="0.48244820311654502"/>
  </r>
  <r>
    <x v="0"/>
    <x v="2"/>
    <n v="644577682"/>
    <n v="791808819.35000002"/>
    <n v="764479436.23000002"/>
    <n v="703414982.99000001"/>
    <x v="8"/>
    <n v="1.2284148853760655"/>
  </r>
  <r>
    <x v="0"/>
    <x v="2"/>
    <n v="46000"/>
    <n v="30000000"/>
    <n v="30000000"/>
    <n v="30000000"/>
    <x v="8"/>
    <n v="652.17391304347825"/>
  </r>
  <r>
    <x v="0"/>
    <x v="2"/>
    <n v="380406762"/>
    <n v="357203962.67000002"/>
    <n v="346139582.5"/>
    <n v="343239928.44"/>
    <x v="8"/>
    <n v="0.93900529210361416"/>
  </r>
  <r>
    <x v="0"/>
    <x v="2"/>
    <n v="5000"/>
    <n v="0"/>
    <n v="0"/>
    <n v="0"/>
    <x v="8"/>
    <n v="0"/>
  </r>
  <r>
    <x v="0"/>
    <x v="2"/>
    <n v="5000"/>
    <n v="0"/>
    <n v="0"/>
    <n v="0"/>
    <x v="8"/>
    <n v="0"/>
  </r>
  <r>
    <x v="0"/>
    <x v="2"/>
    <n v="0"/>
    <n v="3529977.79"/>
    <n v="3529977.79"/>
    <n v="3529977.79"/>
    <x v="8"/>
    <n v="0"/>
  </r>
  <r>
    <x v="0"/>
    <x v="2"/>
    <n v="45000"/>
    <n v="0"/>
    <n v="0"/>
    <n v="0"/>
    <x v="8"/>
    <n v="0"/>
  </r>
  <r>
    <x v="0"/>
    <x v="2"/>
    <n v="3273600"/>
    <n v="0"/>
    <n v="0"/>
    <n v="0"/>
    <x v="8"/>
    <n v="0"/>
  </r>
  <r>
    <x v="0"/>
    <x v="2"/>
    <n v="1145034"/>
    <n v="1748653.47"/>
    <n v="1597080.51"/>
    <n v="1597080.51"/>
    <x v="8"/>
    <n v="1.5271629226730385"/>
  </r>
  <r>
    <x v="0"/>
    <x v="2"/>
    <n v="5000"/>
    <n v="0"/>
    <n v="0"/>
    <n v="0"/>
    <x v="8"/>
    <n v="0"/>
  </r>
  <r>
    <x v="0"/>
    <x v="2"/>
    <n v="6369471"/>
    <n v="0"/>
    <n v="0"/>
    <n v="0"/>
    <x v="8"/>
    <n v="0"/>
  </r>
  <r>
    <x v="0"/>
    <x v="2"/>
    <n v="500004"/>
    <n v="1222335.47"/>
    <n v="1222335.47"/>
    <n v="1222335.47"/>
    <x v="8"/>
    <n v="2.4446513827889378"/>
  </r>
  <r>
    <x v="0"/>
    <x v="2"/>
    <n v="5000"/>
    <n v="0"/>
    <n v="0"/>
    <n v="0"/>
    <x v="8"/>
    <n v="0"/>
  </r>
  <r>
    <x v="0"/>
    <x v="2"/>
    <n v="5000"/>
    <n v="0"/>
    <n v="0"/>
    <n v="0"/>
    <x v="8"/>
    <n v="0"/>
  </r>
  <r>
    <x v="0"/>
    <x v="2"/>
    <n v="15784895"/>
    <n v="39225"/>
    <n v="0"/>
    <n v="0"/>
    <x v="8"/>
    <n v="2.4849706000578402E-3"/>
  </r>
  <r>
    <x v="0"/>
    <x v="2"/>
    <n v="10000"/>
    <n v="0"/>
    <n v="0"/>
    <n v="0"/>
    <x v="8"/>
    <n v="0"/>
  </r>
  <r>
    <x v="0"/>
    <x v="2"/>
    <n v="231669"/>
    <n v="648218"/>
    <n v="648218"/>
    <n v="648218"/>
    <x v="8"/>
    <n v="2.7980351277037498"/>
  </r>
  <r>
    <x v="0"/>
    <x v="2"/>
    <n v="5000"/>
    <n v="0"/>
    <n v="0"/>
    <n v="0"/>
    <x v="8"/>
    <n v="0"/>
  </r>
  <r>
    <x v="0"/>
    <x v="2"/>
    <n v="75000"/>
    <n v="0"/>
    <n v="0"/>
    <n v="0"/>
    <x v="8"/>
    <n v="0"/>
  </r>
  <r>
    <x v="0"/>
    <x v="2"/>
    <n v="88189"/>
    <n v="70770"/>
    <n v="70770"/>
    <n v="70770"/>
    <x v="8"/>
    <n v="0.80248103504972279"/>
  </r>
  <r>
    <x v="0"/>
    <x v="2"/>
    <n v="23260"/>
    <n v="4213"/>
    <n v="4213"/>
    <n v="4213"/>
    <x v="8"/>
    <n v="0.18112639724849527"/>
  </r>
  <r>
    <x v="0"/>
    <x v="2"/>
    <n v="36628095"/>
    <n v="26038083.949999999"/>
    <n v="25939706.469999999"/>
    <n v="23557619.07"/>
    <x v="8"/>
    <n v="0.71087737295646958"/>
  </r>
  <r>
    <x v="0"/>
    <x v="2"/>
    <n v="5000"/>
    <n v="0"/>
    <n v="0"/>
    <n v="0"/>
    <x v="8"/>
    <n v="0"/>
  </r>
  <r>
    <x v="0"/>
    <x v="2"/>
    <n v="5000"/>
    <n v="0"/>
    <n v="0"/>
    <n v="0"/>
    <x v="8"/>
    <n v="0"/>
  </r>
  <r>
    <x v="0"/>
    <x v="2"/>
    <n v="5000"/>
    <n v="0"/>
    <n v="0"/>
    <n v="0"/>
    <x v="8"/>
    <n v="0"/>
  </r>
  <r>
    <x v="0"/>
    <x v="2"/>
    <n v="2022605"/>
    <n v="0"/>
    <n v="0"/>
    <n v="0"/>
    <x v="8"/>
    <n v="0"/>
  </r>
  <r>
    <x v="0"/>
    <x v="2"/>
    <n v="5000"/>
    <n v="0"/>
    <n v="0"/>
    <n v="0"/>
    <x v="8"/>
    <n v="0"/>
  </r>
  <r>
    <x v="0"/>
    <x v="2"/>
    <n v="5000"/>
    <n v="0"/>
    <n v="0"/>
    <n v="0"/>
    <x v="8"/>
    <n v="0"/>
  </r>
  <r>
    <x v="0"/>
    <x v="2"/>
    <n v="695007"/>
    <n v="1134604.97"/>
    <n v="633654.97"/>
    <n v="633654.97"/>
    <x v="8"/>
    <n v="1.6325086941570373"/>
  </r>
  <r>
    <x v="0"/>
    <x v="2"/>
    <n v="15000"/>
    <n v="0"/>
    <n v="0"/>
    <n v="0"/>
    <x v="8"/>
    <n v="0"/>
  </r>
  <r>
    <x v="0"/>
    <x v="2"/>
    <n v="225000"/>
    <n v="0"/>
    <n v="0"/>
    <n v="0"/>
    <x v="8"/>
    <n v="0"/>
  </r>
  <r>
    <x v="0"/>
    <x v="2"/>
    <n v="777905"/>
    <n v="335895"/>
    <n v="335895"/>
    <n v="335895"/>
    <x v="8"/>
    <n v="0.43179437077792276"/>
  </r>
  <r>
    <x v="0"/>
    <x v="2"/>
    <n v="69783"/>
    <n v="12903"/>
    <n v="12903"/>
    <n v="12903"/>
    <x v="8"/>
    <n v="0.18490176690597995"/>
  </r>
  <r>
    <x v="0"/>
    <x v="2"/>
    <n v="1370762"/>
    <n v="0"/>
    <n v="0"/>
    <n v="0"/>
    <x v="8"/>
    <n v="0"/>
  </r>
  <r>
    <x v="0"/>
    <x v="2"/>
    <n v="900000"/>
    <n v="82415448.200000003"/>
    <n v="82415448.200000003"/>
    <n v="82415448.200000003"/>
    <x v="8"/>
    <n v="91.57272022222223"/>
  </r>
  <r>
    <x v="0"/>
    <x v="2"/>
    <n v="3682659"/>
    <n v="1299458.18"/>
    <n v="1099541.5"/>
    <n v="1099541.5"/>
    <x v="8"/>
    <n v="0.35285867629883733"/>
  </r>
  <r>
    <x v="0"/>
    <x v="2"/>
    <n v="480000"/>
    <n v="0"/>
    <n v="0"/>
    <n v="0"/>
    <x v="8"/>
    <n v="0"/>
  </r>
  <r>
    <x v="0"/>
    <x v="2"/>
    <n v="5974017"/>
    <n v="6985197.1399999997"/>
    <n v="6985197.1399999997"/>
    <n v="6385971.7599999998"/>
    <x v="8"/>
    <n v="1.1692630168277056"/>
  </r>
  <r>
    <x v="0"/>
    <x v="2"/>
    <n v="45000"/>
    <n v="0"/>
    <n v="0"/>
    <n v="0"/>
    <x v="8"/>
    <n v="0"/>
  </r>
  <r>
    <x v="0"/>
    <x v="2"/>
    <n v="6000000"/>
    <n v="0"/>
    <n v="0"/>
    <n v="0"/>
    <x v="8"/>
    <n v="0"/>
  </r>
  <r>
    <x v="0"/>
    <x v="2"/>
    <n v="150490"/>
    <n v="0"/>
    <n v="0"/>
    <n v="0"/>
    <x v="8"/>
    <n v="0"/>
  </r>
  <r>
    <x v="0"/>
    <x v="2"/>
    <n v="82520"/>
    <n v="91424.38"/>
    <n v="69301.58"/>
    <n v="69301.58"/>
    <x v="8"/>
    <n v="1.1079057198254969"/>
  </r>
  <r>
    <x v="0"/>
    <x v="2"/>
    <n v="850"/>
    <n v="0"/>
    <n v="0"/>
    <n v="0"/>
    <x v="8"/>
    <n v="0"/>
  </r>
  <r>
    <x v="0"/>
    <x v="2"/>
    <n v="17850"/>
    <n v="100707.85"/>
    <n v="86032.86"/>
    <n v="85202.67"/>
    <x v="8"/>
    <n v="5.6418963585434181"/>
  </r>
  <r>
    <x v="0"/>
    <x v="2"/>
    <n v="850"/>
    <n v="33118.550000000003"/>
    <n v="0"/>
    <n v="0"/>
    <x v="8"/>
    <n v="38.963000000000001"/>
  </r>
  <r>
    <x v="0"/>
    <x v="2"/>
    <n v="1870"/>
    <n v="1589.54"/>
    <n v="1589.54"/>
    <n v="1589.54"/>
    <x v="8"/>
    <n v="0.85002139037433155"/>
  </r>
  <r>
    <x v="0"/>
    <x v="2"/>
    <n v="3974.5"/>
    <n v="0"/>
    <n v="0"/>
    <n v="0"/>
    <x v="8"/>
    <n v="0"/>
  </r>
  <r>
    <x v="0"/>
    <x v="2"/>
    <n v="405"/>
    <n v="0"/>
    <n v="0"/>
    <n v="0"/>
    <x v="8"/>
    <n v="0"/>
  </r>
  <r>
    <x v="0"/>
    <x v="2"/>
    <n v="17062.5"/>
    <n v="0"/>
    <n v="0"/>
    <n v="0"/>
    <x v="8"/>
    <n v="0"/>
  </r>
  <r>
    <x v="0"/>
    <x v="2"/>
    <n v="26350"/>
    <n v="0"/>
    <n v="0"/>
    <n v="0"/>
    <x v="8"/>
    <n v="0"/>
  </r>
  <r>
    <x v="0"/>
    <x v="2"/>
    <n v="250"/>
    <n v="0"/>
    <n v="0"/>
    <n v="0"/>
    <x v="8"/>
    <n v="0"/>
  </r>
  <r>
    <x v="0"/>
    <x v="2"/>
    <n v="170530"/>
    <n v="168425.03"/>
    <n v="168425.03"/>
    <n v="168425.03"/>
    <x v="8"/>
    <n v="0.98765630680818628"/>
  </r>
  <r>
    <x v="0"/>
    <x v="2"/>
    <n v="94500"/>
    <n v="0"/>
    <n v="0"/>
    <n v="0"/>
    <x v="8"/>
    <n v="0"/>
  </r>
  <r>
    <x v="2"/>
    <x v="6"/>
    <n v="4003632"/>
    <n v="4003631.16"/>
    <n v="4003631.16"/>
    <n v="4003631.16"/>
    <x v="8"/>
    <n v="0.99999979019050711"/>
  </r>
  <r>
    <x v="2"/>
    <x v="6"/>
    <n v="33513008"/>
    <n v="27523043.629999999"/>
    <n v="26792070.809999999"/>
    <n v="25974240.989999998"/>
    <x v="8"/>
    <n v="0.82126449616220665"/>
  </r>
  <r>
    <x v="2"/>
    <x v="6"/>
    <n v="1083455"/>
    <n v="1071454.32"/>
    <n v="1071454.32"/>
    <n v="1071454.32"/>
    <x v="8"/>
    <n v="0.98892369318522699"/>
  </r>
  <r>
    <x v="2"/>
    <x v="6"/>
    <n v="18184"/>
    <n v="0"/>
    <n v="0"/>
    <n v="0"/>
    <x v="8"/>
    <n v="0"/>
  </r>
  <r>
    <x v="2"/>
    <x v="6"/>
    <n v="1029864"/>
    <n v="65653.210000000006"/>
    <n v="59190.71"/>
    <n v="58596.3"/>
    <x v="8"/>
    <n v="6.3749397978762251E-2"/>
  </r>
  <r>
    <x v="2"/>
    <x v="6"/>
    <n v="392688"/>
    <n v="399678"/>
    <n v="399678"/>
    <n v="399678"/>
    <x v="8"/>
    <n v="1.017800391150226"/>
  </r>
  <r>
    <x v="2"/>
    <x v="6"/>
    <n v="814464"/>
    <n v="659328"/>
    <n v="659328"/>
    <n v="659328"/>
    <x v="8"/>
    <n v="0.80952380952380953"/>
  </r>
  <r>
    <x v="2"/>
    <x v="6"/>
    <n v="60856"/>
    <n v="68645"/>
    <n v="62486.3"/>
    <n v="56328.2"/>
    <x v="8"/>
    <n v="1.1279906664913895"/>
  </r>
  <r>
    <x v="2"/>
    <x v="6"/>
    <n v="9000"/>
    <n v="0"/>
    <n v="0"/>
    <n v="0"/>
    <x v="8"/>
    <n v="0"/>
  </r>
  <r>
    <x v="2"/>
    <x v="6"/>
    <n v="802242"/>
    <n v="806221.65"/>
    <n v="801648.73"/>
    <n v="801648.73"/>
    <x v="8"/>
    <n v="1.0049606602496504"/>
  </r>
  <r>
    <x v="2"/>
    <x v="6"/>
    <n v="13494495"/>
    <n v="12512386.6"/>
    <n v="11739234.720000001"/>
    <n v="11739234.720000001"/>
    <x v="8"/>
    <n v="0.92722155219591396"/>
  </r>
  <r>
    <x v="2"/>
    <x v="6"/>
    <n v="210000"/>
    <n v="0"/>
    <n v="0"/>
    <n v="0"/>
    <x v="8"/>
    <n v="0"/>
  </r>
  <r>
    <x v="2"/>
    <x v="6"/>
    <n v="241300"/>
    <n v="0"/>
    <n v="0"/>
    <n v="0"/>
    <x v="8"/>
    <n v="0"/>
  </r>
  <r>
    <x v="2"/>
    <x v="6"/>
    <n v="607356"/>
    <n v="0"/>
    <n v="0"/>
    <n v="0"/>
    <x v="8"/>
    <n v="0"/>
  </r>
  <r>
    <x v="2"/>
    <x v="6"/>
    <n v="519300"/>
    <n v="0"/>
    <n v="0"/>
    <n v="0"/>
    <x v="8"/>
    <n v="0"/>
  </r>
  <r>
    <x v="2"/>
    <x v="6"/>
    <n v="1367745"/>
    <n v="111975.73"/>
    <n v="111975.73"/>
    <n v="111975.73"/>
    <x v="8"/>
    <n v="8.1868864444761269E-2"/>
  </r>
  <r>
    <x v="2"/>
    <x v="6"/>
    <n v="774623"/>
    <n v="580993.11"/>
    <n v="27858.6"/>
    <n v="27858.6"/>
    <x v="8"/>
    <n v="0.75003338398162722"/>
  </r>
  <r>
    <x v="2"/>
    <x v="6"/>
    <n v="810000"/>
    <n v="300000"/>
    <n v="100000"/>
    <n v="0"/>
    <x v="8"/>
    <n v="0.37037037037037035"/>
  </r>
  <r>
    <x v="2"/>
    <x v="6"/>
    <n v="405000"/>
    <n v="393475.4"/>
    <n v="327725.40000000002"/>
    <n v="327725.40000000002"/>
    <x v="8"/>
    <n v="0.9715441975308643"/>
  </r>
  <r>
    <x v="2"/>
    <x v="6"/>
    <n v="3750"/>
    <n v="0"/>
    <n v="0"/>
    <n v="0"/>
    <x v="8"/>
    <n v="0"/>
  </r>
  <r>
    <x v="2"/>
    <x v="6"/>
    <n v="250"/>
    <n v="0"/>
    <n v="0"/>
    <n v="0"/>
    <x v="8"/>
    <n v="0"/>
  </r>
  <r>
    <x v="2"/>
    <x v="6"/>
    <n v="12593086"/>
    <n v="17387202.539999999"/>
    <n v="17150629.420000002"/>
    <n v="17112325.780000001"/>
    <x v="8"/>
    <n v="1.3806943381471388"/>
  </r>
  <r>
    <x v="2"/>
    <x v="6"/>
    <n v="348689.75"/>
    <n v="348689.58"/>
    <n v="348689.58"/>
    <n v="348689.58"/>
    <x v="8"/>
    <n v="0.99999951246057572"/>
  </r>
  <r>
    <x v="2"/>
    <x v="6"/>
    <n v="1186623.25"/>
    <n v="1230866.1299999999"/>
    <n v="1172178.5"/>
    <n v="1029684.5"/>
    <x v="8"/>
    <n v="1.0372846899805814"/>
  </r>
  <r>
    <x v="2"/>
    <x v="6"/>
    <n v="421979"/>
    <n v="485488.85"/>
    <n v="458299.96"/>
    <n v="458299.96"/>
    <x v="8"/>
    <n v="1.1505047644551032"/>
  </r>
  <r>
    <x v="2"/>
    <x v="6"/>
    <n v="9855798.25"/>
    <n v="9189787.4100000001"/>
    <n v="8596993.9199999999"/>
    <n v="8583045.0500000007"/>
    <x v="8"/>
    <n v="0.93242446495899001"/>
  </r>
  <r>
    <x v="2"/>
    <x v="6"/>
    <n v="2803996.25"/>
    <n v="1981961.51"/>
    <n v="1883648.32"/>
    <n v="1703288.55"/>
    <x v="8"/>
    <n v="0.70683457939717287"/>
  </r>
  <r>
    <x v="2"/>
    <x v="6"/>
    <n v="452500"/>
    <n v="220624.42"/>
    <n v="183061.61"/>
    <n v="158995.10999999999"/>
    <x v="8"/>
    <n v="0.48756777900552489"/>
  </r>
  <r>
    <x v="2"/>
    <x v="6"/>
    <n v="1398185"/>
    <n v="29.88"/>
    <n v="0"/>
    <n v="0"/>
    <x v="8"/>
    <n v="2.1370562550735416E-5"/>
  </r>
  <r>
    <x v="2"/>
    <x v="6"/>
    <n v="2750"/>
    <n v="0"/>
    <n v="0"/>
    <n v="0"/>
    <x v="8"/>
    <n v="0"/>
  </r>
  <r>
    <x v="2"/>
    <x v="6"/>
    <n v="2007724.5"/>
    <n v="1958738.52"/>
    <n v="1425643.6"/>
    <n v="1402938.17"/>
    <x v="8"/>
    <n v="0.97560124409499416"/>
  </r>
  <r>
    <x v="2"/>
    <x v="6"/>
    <n v="333787.25"/>
    <n v="290140.5"/>
    <n v="267640.5"/>
    <n v="265240.5"/>
    <x v="8"/>
    <n v="0.86923781540487244"/>
  </r>
  <r>
    <x v="2"/>
    <x v="6"/>
    <n v="208131.25"/>
    <n v="189793.72"/>
    <n v="100729.89"/>
    <n v="100729.89"/>
    <x v="8"/>
    <n v="0.91189439356175495"/>
  </r>
  <r>
    <x v="2"/>
    <x v="6"/>
    <n v="204000"/>
    <n v="204000"/>
    <n v="204000"/>
    <n v="204000"/>
    <x v="8"/>
    <n v="1"/>
  </r>
  <r>
    <x v="2"/>
    <x v="6"/>
    <n v="401309.75"/>
    <n v="401309.56"/>
    <n v="401309.56"/>
    <n v="401309.56"/>
    <x v="8"/>
    <n v="0.99999952655025204"/>
  </r>
  <r>
    <x v="2"/>
    <x v="6"/>
    <n v="1641118"/>
    <n v="0"/>
    <n v="0"/>
    <n v="0"/>
    <x v="8"/>
    <n v="0"/>
  </r>
  <r>
    <x v="2"/>
    <x v="6"/>
    <n v="2235899.25"/>
    <n v="2523479.41"/>
    <n v="2464955.4"/>
    <n v="2409376.35"/>
    <x v="8"/>
    <n v="1.1286194626166632"/>
  </r>
  <r>
    <x v="2"/>
    <x v="6"/>
    <n v="217678.5"/>
    <n v="217678.44"/>
    <n v="199538.57"/>
    <n v="199538.57"/>
    <x v="8"/>
    <n v="0.99999972436414253"/>
  </r>
  <r>
    <x v="2"/>
    <x v="6"/>
    <n v="141134.25"/>
    <n v="136821.66"/>
    <n v="136821.66"/>
    <n v="136821.66"/>
    <x v="8"/>
    <n v="0.96944334915160568"/>
  </r>
  <r>
    <x v="2"/>
    <x v="6"/>
    <n v="250"/>
    <n v="0"/>
    <n v="0"/>
    <n v="0"/>
    <x v="8"/>
    <n v="0"/>
  </r>
  <r>
    <x v="2"/>
    <x v="6"/>
    <n v="150000"/>
    <n v="124788.67"/>
    <n v="119500.85"/>
    <n v="106692.57"/>
    <x v="8"/>
    <n v="0.83192446666666664"/>
  </r>
  <r>
    <x v="2"/>
    <x v="6"/>
    <n v="500"/>
    <n v="0"/>
    <n v="0"/>
    <n v="0"/>
    <x v="8"/>
    <n v="0"/>
  </r>
  <r>
    <x v="2"/>
    <x v="6"/>
    <n v="250"/>
    <n v="0"/>
    <n v="0"/>
    <n v="0"/>
    <x v="8"/>
    <n v="0"/>
  </r>
  <r>
    <x v="2"/>
    <x v="6"/>
    <n v="7114167.75"/>
    <n v="7061614.9199999999"/>
    <n v="6918476.5499999998"/>
    <n v="6855787.4900000002"/>
    <x v="8"/>
    <n v="0.99261293353674429"/>
  </r>
  <r>
    <x v="2"/>
    <x v="6"/>
    <n v="427800.25"/>
    <n v="355532.95"/>
    <n v="351407.71"/>
    <n v="295236.78000000003"/>
    <x v="8"/>
    <n v="0.83107232873286074"/>
  </r>
  <r>
    <x v="2"/>
    <x v="6"/>
    <n v="1809097"/>
    <n v="1970939.05"/>
    <n v="1952576.08"/>
    <n v="1952576.08"/>
    <x v="8"/>
    <n v="1.0894601284508239"/>
  </r>
  <r>
    <x v="2"/>
    <x v="6"/>
    <n v="1270718"/>
    <n v="1145718"/>
    <n v="1145718"/>
    <n v="1145718"/>
    <x v="8"/>
    <n v="0.90163041681946743"/>
  </r>
  <r>
    <x v="2"/>
    <x v="6"/>
    <n v="300000"/>
    <n v="4037.38"/>
    <n v="2922.75"/>
    <n v="2922.75"/>
    <x v="8"/>
    <n v="1.3457933333333333E-2"/>
  </r>
  <r>
    <x v="2"/>
    <x v="6"/>
    <n v="250"/>
    <n v="0"/>
    <n v="0"/>
    <n v="0"/>
    <x v="8"/>
    <n v="0"/>
  </r>
  <r>
    <x v="2"/>
    <x v="6"/>
    <n v="22750"/>
    <n v="0"/>
    <n v="0"/>
    <n v="0"/>
    <x v="8"/>
    <n v="0"/>
  </r>
  <r>
    <x v="2"/>
    <x v="6"/>
    <n v="6949527.25"/>
    <n v="6978399.2599999998"/>
    <n v="6852126.1799999997"/>
    <n v="6850476.6600000001"/>
    <x v="8"/>
    <n v="1.0041545286407791"/>
  </r>
  <r>
    <x v="2"/>
    <x v="6"/>
    <n v="288886.5"/>
    <n v="215305.88"/>
    <n v="215305.88"/>
    <n v="215305.88"/>
    <x v="8"/>
    <n v="0.74529574763791318"/>
  </r>
  <r>
    <x v="2"/>
    <x v="6"/>
    <n v="250"/>
    <n v="0"/>
    <n v="0"/>
    <n v="0"/>
    <x v="8"/>
    <n v="0"/>
  </r>
  <r>
    <x v="2"/>
    <x v="6"/>
    <n v="166874.5"/>
    <n v="91819.64"/>
    <n v="67113.399999999994"/>
    <n v="65573.87"/>
    <x v="8"/>
    <n v="0.55023170106876729"/>
  </r>
  <r>
    <x v="2"/>
    <x v="6"/>
    <n v="12000"/>
    <n v="0"/>
    <n v="0"/>
    <n v="0"/>
    <x v="8"/>
    <n v="0"/>
  </r>
  <r>
    <x v="2"/>
    <x v="6"/>
    <n v="250"/>
    <n v="0"/>
    <n v="0"/>
    <n v="0"/>
    <x v="8"/>
    <n v="0"/>
  </r>
  <r>
    <x v="2"/>
    <x v="6"/>
    <n v="500"/>
    <n v="0"/>
    <n v="0"/>
    <n v="0"/>
    <x v="8"/>
    <n v="0"/>
  </r>
  <r>
    <x v="2"/>
    <x v="6"/>
    <n v="369656"/>
    <n v="263767.49"/>
    <n v="124549.02"/>
    <n v="124549.02"/>
    <x v="8"/>
    <n v="0.71354851537645814"/>
  </r>
  <r>
    <x v="2"/>
    <x v="6"/>
    <n v="34924.75"/>
    <n v="63160.1"/>
    <n v="33251.129999999997"/>
    <n v="33251.129999999997"/>
    <x v="8"/>
    <n v="1.8084624800463853"/>
  </r>
  <r>
    <x v="2"/>
    <x v="6"/>
    <n v="5656.25"/>
    <n v="3918.58"/>
    <n v="2131.08"/>
    <n v="2131.08"/>
    <x v="8"/>
    <n v="0.69278762430939222"/>
  </r>
  <r>
    <x v="2"/>
    <x v="6"/>
    <n v="9151.25"/>
    <n v="12205.25"/>
    <n v="5648.96"/>
    <n v="5648.96"/>
    <x v="8"/>
    <n v="1.3337249009698129"/>
  </r>
  <r>
    <x v="2"/>
    <x v="6"/>
    <n v="380608.5"/>
    <n v="192444.24"/>
    <n v="190749.12"/>
    <n v="190749.12"/>
    <x v="8"/>
    <n v="0.50562254915484017"/>
  </r>
  <r>
    <x v="2"/>
    <x v="6"/>
    <n v="2500"/>
    <n v="0"/>
    <n v="0"/>
    <n v="0"/>
    <x v="8"/>
    <n v="0"/>
  </r>
  <r>
    <x v="2"/>
    <x v="6"/>
    <n v="250"/>
    <n v="0"/>
    <n v="0"/>
    <n v="0"/>
    <x v="8"/>
    <n v="0"/>
  </r>
  <r>
    <x v="2"/>
    <x v="6"/>
    <n v="1250"/>
    <n v="0"/>
    <n v="0"/>
    <n v="0"/>
    <x v="8"/>
    <n v="0"/>
  </r>
  <r>
    <x v="2"/>
    <x v="6"/>
    <n v="472917.5"/>
    <n v="482804.98"/>
    <n v="397698.52"/>
    <n v="377954.85"/>
    <x v="8"/>
    <n v="1.0209074098547843"/>
  </r>
  <r>
    <x v="2"/>
    <x v="6"/>
    <n v="5303750"/>
    <n v="4591270.74"/>
    <n v="3655531.13"/>
    <n v="3451362.03"/>
    <x v="8"/>
    <n v="0.86566499929295315"/>
  </r>
  <r>
    <x v="2"/>
    <x v="6"/>
    <n v="1683228"/>
    <n v="598608.79"/>
    <n v="597019.97"/>
    <n v="596078.18999999994"/>
    <x v="8"/>
    <n v="0.35563143555121474"/>
  </r>
  <r>
    <x v="2"/>
    <x v="6"/>
    <n v="2000"/>
    <n v="0"/>
    <n v="0"/>
    <n v="0"/>
    <x v="8"/>
    <n v="0"/>
  </r>
  <r>
    <x v="2"/>
    <x v="6"/>
    <n v="6460"/>
    <n v="3724.32"/>
    <n v="3619.63"/>
    <n v="3619.63"/>
    <x v="8"/>
    <n v="0.5765201238390093"/>
  </r>
  <r>
    <x v="2"/>
    <x v="6"/>
    <n v="97131.5"/>
    <n v="59815.71"/>
    <n v="25753.66"/>
    <n v="25640.86"/>
    <x v="8"/>
    <n v="0.6158219527135893"/>
  </r>
  <r>
    <x v="2"/>
    <x v="6"/>
    <n v="287552"/>
    <n v="172211.19"/>
    <n v="100357.78"/>
    <n v="99817.27"/>
    <x v="8"/>
    <n v="0.59888712302470515"/>
  </r>
  <r>
    <x v="2"/>
    <x v="6"/>
    <n v="17180"/>
    <n v="140226.17000000001"/>
    <n v="121653.39"/>
    <n v="121202.69"/>
    <x v="8"/>
    <n v="8.162175203725262"/>
  </r>
  <r>
    <x v="2"/>
    <x v="6"/>
    <n v="114823.5"/>
    <n v="62310.89"/>
    <n v="58895"/>
    <n v="58744.52"/>
    <x v="8"/>
    <n v="0.54266670150274121"/>
  </r>
  <r>
    <x v="2"/>
    <x v="6"/>
    <n v="2652000"/>
    <n v="0"/>
    <n v="0"/>
    <n v="0"/>
    <x v="8"/>
    <n v="0"/>
  </r>
  <r>
    <x v="2"/>
    <x v="6"/>
    <n v="970"/>
    <n v="0"/>
    <n v="0"/>
    <n v="0"/>
    <x v="8"/>
    <n v="0"/>
  </r>
  <r>
    <x v="2"/>
    <x v="6"/>
    <n v="9500"/>
    <n v="3048.78"/>
    <n v="3042.75"/>
    <n v="2287.16"/>
    <x v="8"/>
    <n v="0.32092421052631581"/>
  </r>
  <r>
    <x v="2"/>
    <x v="6"/>
    <n v="21967.5"/>
    <n v="54234.99"/>
    <n v="54234.99"/>
    <n v="54234.99"/>
    <x v="8"/>
    <n v="2.4688740184363263"/>
  </r>
  <r>
    <x v="2"/>
    <x v="6"/>
    <n v="3909974.5"/>
    <n v="3279310.94"/>
    <n v="2771288.55"/>
    <n v="2602039.89"/>
    <x v="8"/>
    <n v="0.83870391993605076"/>
  </r>
  <r>
    <x v="2"/>
    <x v="6"/>
    <n v="12509631.25"/>
    <n v="11319917.59"/>
    <n v="9590111.8699999992"/>
    <n v="8955107.0999999996"/>
    <x v="8"/>
    <n v="0.90489618468969657"/>
  </r>
  <r>
    <x v="2"/>
    <x v="6"/>
    <n v="150387.75"/>
    <n v="1262.6300000000001"/>
    <n v="0"/>
    <n v="0"/>
    <x v="8"/>
    <n v="8.3958301124925413E-3"/>
  </r>
  <r>
    <x v="2"/>
    <x v="6"/>
    <n v="495137"/>
    <n v="422601.72"/>
    <n v="347068.95"/>
    <n v="332554.75"/>
    <x v="8"/>
    <n v="0.85350462599240207"/>
  </r>
  <r>
    <x v="2"/>
    <x v="7"/>
    <n v="6888629"/>
    <n v="1829872.43"/>
    <n v="1588954.6"/>
    <n v="1530561.68"/>
    <x v="8"/>
    <n v="0.26563666442190453"/>
  </r>
  <r>
    <x v="2"/>
    <x v="7"/>
    <n v="10000"/>
    <n v="0"/>
    <n v="0"/>
    <n v="0"/>
    <x v="8"/>
    <n v="0"/>
  </r>
  <r>
    <x v="2"/>
    <x v="7"/>
    <n v="430635"/>
    <n v="214766.83"/>
    <n v="173746.09"/>
    <n v="144146.09"/>
    <x v="8"/>
    <n v="0.49872126046419818"/>
  </r>
  <r>
    <x v="2"/>
    <x v="7"/>
    <n v="4176.75"/>
    <n v="62928.21"/>
    <n v="38271.47"/>
    <n v="26692.400000000001"/>
    <x v="8"/>
    <n v="15.066309929969474"/>
  </r>
  <r>
    <x v="2"/>
    <x v="7"/>
    <n v="494603.5"/>
    <n v="201276.77"/>
    <n v="197942.81"/>
    <n v="186694.82"/>
    <x v="8"/>
    <n v="0.40694570499400023"/>
  </r>
  <r>
    <x v="2"/>
    <x v="7"/>
    <n v="67000"/>
    <n v="0"/>
    <n v="0"/>
    <n v="0"/>
    <x v="8"/>
    <n v="0"/>
  </r>
  <r>
    <x v="2"/>
    <x v="7"/>
    <n v="2500"/>
    <n v="0"/>
    <n v="0"/>
    <n v="0"/>
    <x v="8"/>
    <n v="0"/>
  </r>
  <r>
    <x v="2"/>
    <x v="7"/>
    <n v="84255"/>
    <n v="36950"/>
    <n v="19760"/>
    <n v="17810"/>
    <x v="8"/>
    <n v="0.43854964097086224"/>
  </r>
  <r>
    <x v="2"/>
    <x v="7"/>
    <n v="6208.5"/>
    <n v="8688.23"/>
    <n v="2324.56"/>
    <n v="2265.1799999999998"/>
    <x v="8"/>
    <n v="1.3994088749295319"/>
  </r>
  <r>
    <x v="2"/>
    <x v="7"/>
    <n v="236348.75"/>
    <n v="12250.68"/>
    <n v="8512.7999999999993"/>
    <n v="6281.25"/>
    <x v="8"/>
    <n v="5.1833064486272937E-2"/>
  </r>
  <r>
    <x v="2"/>
    <x v="7"/>
    <n v="80000"/>
    <n v="10000"/>
    <n v="10000"/>
    <n v="10000"/>
    <x v="8"/>
    <n v="0.125"/>
  </r>
  <r>
    <x v="2"/>
    <x v="7"/>
    <n v="7500"/>
    <n v="0"/>
    <n v="0"/>
    <n v="0"/>
    <x v="8"/>
    <n v="0"/>
  </r>
  <r>
    <x v="2"/>
    <x v="7"/>
    <n v="11000"/>
    <n v="0"/>
    <n v="0"/>
    <n v="0"/>
    <x v="8"/>
    <n v="0"/>
  </r>
  <r>
    <x v="2"/>
    <x v="7"/>
    <n v="546954.25"/>
    <n v="409590.94"/>
    <n v="383280.84"/>
    <n v="383280.84"/>
    <x v="8"/>
    <n v="0.74885777009685917"/>
  </r>
  <r>
    <x v="2"/>
    <x v="7"/>
    <n v="180652.5"/>
    <n v="139713.4"/>
    <n v="139713.4"/>
    <n v="108748.83"/>
    <x v="8"/>
    <n v="0.77338204564011015"/>
  </r>
  <r>
    <x v="2"/>
    <x v="7"/>
    <n v="483246"/>
    <n v="340479.92"/>
    <n v="334025.03000000003"/>
    <n v="334025.03000000003"/>
    <x v="8"/>
    <n v="0.70456852203639553"/>
  </r>
  <r>
    <x v="2"/>
    <x v="7"/>
    <n v="2500"/>
    <n v="0"/>
    <n v="0"/>
    <n v="0"/>
    <x v="8"/>
    <n v="0"/>
  </r>
  <r>
    <x v="2"/>
    <x v="7"/>
    <n v="2712747.75"/>
    <n v="76577.899999999994"/>
    <n v="76577.899999999994"/>
    <n v="76577.899999999994"/>
    <x v="8"/>
    <n v="2.8228905544203289E-2"/>
  </r>
  <r>
    <x v="2"/>
    <x v="7"/>
    <n v="5763.75"/>
    <n v="4985.68"/>
    <n v="4664.17"/>
    <n v="4664.17"/>
    <x v="8"/>
    <n v="0.86500628930817614"/>
  </r>
  <r>
    <x v="2"/>
    <x v="7"/>
    <n v="58050"/>
    <n v="75000"/>
    <n v="75000"/>
    <n v="75000"/>
    <x v="8"/>
    <n v="1.2919896640826873"/>
  </r>
  <r>
    <x v="2"/>
    <x v="7"/>
    <n v="248630.25"/>
    <n v="237791.66"/>
    <n v="237791.66"/>
    <n v="237791.66"/>
    <x v="8"/>
    <n v="0.95640679281784902"/>
  </r>
  <r>
    <x v="2"/>
    <x v="7"/>
    <n v="188640.25"/>
    <n v="152848.71"/>
    <n v="152848.71"/>
    <n v="152848.71"/>
    <x v="8"/>
    <n v="0.81026562464797403"/>
  </r>
  <r>
    <x v="2"/>
    <x v="7"/>
    <n v="150000"/>
    <n v="104290.31"/>
    <n v="104290.31"/>
    <n v="104290.31"/>
    <x v="8"/>
    <n v="0.69526873333333328"/>
  </r>
  <r>
    <x v="1"/>
    <x v="3"/>
    <n v="150000"/>
    <n v="0"/>
    <n v="0"/>
    <n v="0"/>
    <x v="8"/>
    <n v="0"/>
  </r>
  <r>
    <x v="1"/>
    <x v="3"/>
    <n v="3535081.25"/>
    <n v="3681454.62"/>
    <n v="3405375.71"/>
    <n v="3405375.71"/>
    <x v="8"/>
    <n v="1.0414059422255146"/>
  </r>
  <r>
    <x v="1"/>
    <x v="3"/>
    <n v="991012.75"/>
    <n v="6973985.8899999997"/>
    <n v="6589602.1399999997"/>
    <n v="6589602.1399999997"/>
    <x v="8"/>
    <n v="7.0372312465202889"/>
  </r>
  <r>
    <x v="1"/>
    <x v="3"/>
    <n v="1168867.75"/>
    <n v="5600.74"/>
    <n v="5600.74"/>
    <n v="5600.74"/>
    <x v="8"/>
    <n v="4.7915942586319107E-3"/>
  </r>
  <r>
    <x v="1"/>
    <x v="3"/>
    <n v="2687469"/>
    <n v="3615527.86"/>
    <n v="3464573.53"/>
    <n v="2951734.43"/>
    <x v="8"/>
    <n v="1.3453282102974955"/>
  </r>
  <r>
    <x v="1"/>
    <x v="3"/>
    <n v="2530376.5"/>
    <n v="1021328.77"/>
    <n v="1021328.77"/>
    <n v="1021328.77"/>
    <x v="8"/>
    <n v="0.40362719539957792"/>
  </r>
  <r>
    <x v="1"/>
    <x v="3"/>
    <n v="941819.25"/>
    <n v="992138.92"/>
    <n v="992138.92"/>
    <n v="992138.92"/>
    <x v="8"/>
    <n v="1.0534281604458606"/>
  </r>
  <r>
    <x v="1"/>
    <x v="3"/>
    <n v="840488.5"/>
    <n v="514143.24"/>
    <n v="514143.24"/>
    <n v="514143.24"/>
    <x v="8"/>
    <n v="0.61171954167130183"/>
  </r>
  <r>
    <x v="1"/>
    <x v="3"/>
    <n v="273918.5"/>
    <n v="153441.10999999999"/>
    <n v="142084.07"/>
    <n v="142084.07"/>
    <x v="8"/>
    <n v="0.56017067120329578"/>
  </r>
  <r>
    <x v="1"/>
    <x v="3"/>
    <n v="36250"/>
    <n v="5514.94"/>
    <n v="5264.94"/>
    <n v="5264.94"/>
    <x v="8"/>
    <n v="0.15213627586206896"/>
  </r>
  <r>
    <x v="1"/>
    <x v="3"/>
    <n v="76500"/>
    <n v="174000"/>
    <n v="171704.6"/>
    <n v="171704.6"/>
    <x v="8"/>
    <n v="2.2745098039215685"/>
  </r>
  <r>
    <x v="1"/>
    <x v="3"/>
    <n v="3560365.5"/>
    <n v="1697482.77"/>
    <n v="1581900.87"/>
    <n v="1495768.74"/>
    <x v="8"/>
    <n v="0.47677205331868316"/>
  </r>
  <r>
    <x v="1"/>
    <x v="3"/>
    <n v="3231074.5"/>
    <n v="1161229.47"/>
    <n v="949079.7"/>
    <n v="880446.22"/>
    <x v="8"/>
    <n v="0.35939421081129513"/>
  </r>
  <r>
    <x v="1"/>
    <x v="3"/>
    <n v="40590.5"/>
    <n v="61250"/>
    <n v="46708.31"/>
    <n v="46708.31"/>
    <x v="8"/>
    <n v="1.5089737746517042"/>
  </r>
  <r>
    <x v="1"/>
    <x v="3"/>
    <n v="3856232.5"/>
    <n v="3255742.52"/>
    <n v="3008186.89"/>
    <n v="3008186.89"/>
    <x v="8"/>
    <n v="0.84428065994464807"/>
  </r>
  <r>
    <x v="1"/>
    <x v="3"/>
    <n v="3700675.25"/>
    <n v="3778593.47"/>
    <n v="3368924.83"/>
    <n v="3350266.91"/>
    <x v="8"/>
    <n v="1.021055135816092"/>
  </r>
  <r>
    <x v="1"/>
    <x v="3"/>
    <n v="1352942.25"/>
    <n v="703037.54"/>
    <n v="573035.04"/>
    <n v="405237.05"/>
    <x v="8"/>
    <n v="0.51963603028880212"/>
  </r>
  <r>
    <x v="1"/>
    <x v="3"/>
    <n v="2235887"/>
    <n v="1052884.21"/>
    <n v="1039545.56"/>
    <n v="1039545.56"/>
    <x v="8"/>
    <n v="0.47090224595429014"/>
  </r>
  <r>
    <x v="1"/>
    <x v="3"/>
    <n v="973125"/>
    <n v="33842.5"/>
    <n v="25510.01"/>
    <n v="22995.65"/>
    <x v="8"/>
    <n v="3.4777135517019907E-2"/>
  </r>
  <r>
    <x v="1"/>
    <x v="3"/>
    <n v="4399856.75"/>
    <n v="103250"/>
    <n v="319.27999999999997"/>
    <n v="319.27999999999997"/>
    <x v="8"/>
    <n v="2.3466673091118252E-2"/>
  </r>
  <r>
    <x v="1"/>
    <x v="3"/>
    <n v="10385516.25"/>
    <n v="9565392.3900000006"/>
    <n v="8513636.0099999998"/>
    <n v="8488661.0899999999"/>
    <x v="8"/>
    <n v="0.92103196025522571"/>
  </r>
  <r>
    <x v="1"/>
    <x v="3"/>
    <n v="152248"/>
    <n v="1626358"/>
    <n v="1518308.93"/>
    <n v="1518308.93"/>
    <x v="8"/>
    <n v="10.682294677105775"/>
  </r>
  <r>
    <x v="1"/>
    <x v="3"/>
    <n v="2179015.5"/>
    <n v="278306.43"/>
    <n v="198782.07999999999"/>
    <n v="193379.62"/>
    <x v="8"/>
    <n v="0.1277211795877542"/>
  </r>
  <r>
    <x v="1"/>
    <x v="3"/>
    <n v="398485.5"/>
    <n v="15000"/>
    <n v="0"/>
    <n v="0"/>
    <x v="8"/>
    <n v="3.7642524006519684E-2"/>
  </r>
  <r>
    <x v="1"/>
    <x v="3"/>
    <n v="229750"/>
    <n v="0"/>
    <n v="0"/>
    <n v="0"/>
    <x v="8"/>
    <n v="0"/>
  </r>
  <r>
    <x v="1"/>
    <x v="3"/>
    <n v="801250"/>
    <n v="17629.38"/>
    <n v="17629.38"/>
    <n v="8481.8799999999992"/>
    <x v="8"/>
    <n v="2.2002346333853354E-2"/>
  </r>
  <r>
    <x v="1"/>
    <x v="3"/>
    <n v="677385"/>
    <n v="147500"/>
    <n v="147500"/>
    <n v="147500"/>
    <x v="8"/>
    <n v="0.21774913823010547"/>
  </r>
  <r>
    <x v="1"/>
    <x v="3"/>
    <n v="149455.75"/>
    <n v="23974.639999999999"/>
    <n v="23974.639999999999"/>
    <n v="23974.639999999999"/>
    <x v="8"/>
    <n v="0.16041296504149222"/>
  </r>
  <r>
    <x v="1"/>
    <x v="3"/>
    <n v="1258396.25"/>
    <n v="277246.90000000002"/>
    <n v="277246.90000000002"/>
    <n v="277246.90000000002"/>
    <x v="8"/>
    <n v="0.22031764636933718"/>
  </r>
  <r>
    <x v="1"/>
    <x v="3"/>
    <n v="216500"/>
    <n v="0"/>
    <n v="0"/>
    <n v="0"/>
    <x v="8"/>
    <n v="0"/>
  </r>
  <r>
    <x v="1"/>
    <x v="3"/>
    <n v="15000"/>
    <n v="30000"/>
    <n v="22131.9"/>
    <n v="22131.9"/>
    <x v="8"/>
    <n v="2"/>
  </r>
  <r>
    <x v="1"/>
    <x v="3"/>
    <n v="106059.5"/>
    <n v="54030.45"/>
    <n v="50280.45"/>
    <n v="50280.45"/>
    <x v="8"/>
    <n v="0.50943526982495668"/>
  </r>
  <r>
    <x v="1"/>
    <x v="3"/>
    <n v="126835.5"/>
    <n v="27500"/>
    <n v="22230.74"/>
    <n v="22230.74"/>
    <x v="8"/>
    <n v="0.21681626989289277"/>
  </r>
  <r>
    <x v="1"/>
    <x v="3"/>
    <n v="412500"/>
    <n v="97200"/>
    <n v="97200"/>
    <n v="97200"/>
    <x v="8"/>
    <n v="0.23563636363636364"/>
  </r>
  <r>
    <x v="1"/>
    <x v="3"/>
    <n v="1220400"/>
    <n v="533625"/>
    <n v="474435.15"/>
    <n v="474435.15"/>
    <x v="8"/>
    <n v="0.43725417895771879"/>
  </r>
  <r>
    <x v="1"/>
    <x v="3"/>
    <n v="550000"/>
    <n v="1155250"/>
    <n v="1055250"/>
    <n v="1055250"/>
    <x v="8"/>
    <n v="2.1004545454545456"/>
  </r>
  <r>
    <x v="1"/>
    <x v="3"/>
    <n v="125000"/>
    <n v="257500"/>
    <n v="225000"/>
    <n v="225000"/>
    <x v="8"/>
    <n v="2.06"/>
  </r>
  <r>
    <x v="1"/>
    <x v="3"/>
    <n v="230400"/>
    <n v="174375"/>
    <n v="156665.26"/>
    <n v="156665.26"/>
    <x v="8"/>
    <n v="0.7568359375"/>
  </r>
  <r>
    <x v="1"/>
    <x v="3"/>
    <n v="181125"/>
    <n v="2625"/>
    <n v="0"/>
    <n v="0"/>
    <x v="8"/>
    <n v="1.4492753623188406E-2"/>
  </r>
  <r>
    <x v="1"/>
    <x v="3"/>
    <n v="192767.75"/>
    <n v="72960.98"/>
    <n v="28414.16"/>
    <n v="28414.16"/>
    <x v="8"/>
    <n v="0.37849163047242079"/>
  </r>
  <r>
    <x v="1"/>
    <x v="4"/>
    <n v="15224763.5"/>
    <n v="15224763.5"/>
    <n v="14393568.279999999"/>
    <n v="14393568.279999999"/>
    <x v="8"/>
    <n v="1"/>
  </r>
  <r>
    <x v="1"/>
    <x v="4"/>
    <n v="32192618"/>
    <n v="35679596.5"/>
    <n v="33000449.129999999"/>
    <n v="33000449.129999999"/>
    <x v="8"/>
    <n v="1.1083160897321243"/>
  </r>
  <r>
    <x v="1"/>
    <x v="4"/>
    <n v="1409535.25"/>
    <n v="1380910.48"/>
    <n v="1195192.01"/>
    <n v="1194583.7"/>
    <x v="8"/>
    <n v="0.97969205097921463"/>
  </r>
  <r>
    <x v="1"/>
    <x v="4"/>
    <n v="15033570.25"/>
    <n v="10519327.800000001"/>
    <n v="9504926.0500000007"/>
    <n v="9504926.0500000007"/>
    <x v="8"/>
    <n v="0.69972252931734569"/>
  </r>
  <r>
    <x v="1"/>
    <x v="4"/>
    <n v="1042181.25"/>
    <n v="0"/>
    <n v="0"/>
    <n v="0"/>
    <x v="8"/>
    <n v="0"/>
  </r>
  <r>
    <x v="1"/>
    <x v="4"/>
    <n v="6370291.5"/>
    <n v="7924668.3899999997"/>
    <n v="5460966.7800000003"/>
    <n v="4519928.84"/>
    <x v="8"/>
    <n v="1.2440040443989102"/>
  </r>
  <r>
    <x v="1"/>
    <x v="4"/>
    <n v="8859568.75"/>
    <n v="11557899.57"/>
    <n v="9446410.3200000003"/>
    <n v="9059025.7699999996"/>
    <x v="8"/>
    <n v="1.3045668357164677"/>
  </r>
  <r>
    <x v="1"/>
    <x v="4"/>
    <n v="331700"/>
    <n v="0"/>
    <n v="0"/>
    <n v="0"/>
    <x v="8"/>
    <n v="0"/>
  </r>
  <r>
    <x v="1"/>
    <x v="4"/>
    <n v="3054658.5"/>
    <n v="0"/>
    <n v="0"/>
    <n v="0"/>
    <x v="8"/>
    <n v="0"/>
  </r>
  <r>
    <x v="1"/>
    <x v="4"/>
    <n v="55513319"/>
    <n v="57071499.020000003"/>
    <n v="56927788.770000003"/>
    <n v="56927788.770000003"/>
    <x v="8"/>
    <n v="1.0280685797222826"/>
  </r>
  <r>
    <x v="1"/>
    <x v="4"/>
    <n v="90738"/>
    <n v="61400"/>
    <n v="19250"/>
    <n v="0"/>
    <x v="8"/>
    <n v="0.67667349952610811"/>
  </r>
  <r>
    <x v="1"/>
    <x v="4"/>
    <n v="1479096"/>
    <n v="1374157.92"/>
    <n v="1059649.3700000001"/>
    <n v="1059649.3700000001"/>
    <x v="8"/>
    <n v="0.92905255642635765"/>
  </r>
  <r>
    <x v="1"/>
    <x v="4"/>
    <n v="2500"/>
    <n v="0"/>
    <n v="0"/>
    <n v="0"/>
    <x v="8"/>
    <n v="0"/>
  </r>
  <r>
    <x v="1"/>
    <x v="4"/>
    <n v="10000"/>
    <n v="0"/>
    <n v="0"/>
    <n v="0"/>
    <x v="8"/>
    <n v="0"/>
  </r>
  <r>
    <x v="1"/>
    <x v="4"/>
    <n v="2505000"/>
    <n v="854224.68"/>
    <n v="522322.97"/>
    <n v="522322.97"/>
    <x v="8"/>
    <n v="0.34100785628742519"/>
  </r>
  <r>
    <x v="1"/>
    <x v="5"/>
    <n v="13960707.75"/>
    <n v="13984144.199999999"/>
    <n v="12330006.6"/>
    <n v="12252597.4"/>
    <x v="8"/>
    <n v="1.0016787436869021"/>
  </r>
  <r>
    <x v="1"/>
    <x v="5"/>
    <n v="79000"/>
    <n v="0"/>
    <n v="0"/>
    <n v="0"/>
    <x v="8"/>
    <n v="0"/>
  </r>
  <r>
    <x v="1"/>
    <x v="5"/>
    <n v="1893132"/>
    <n v="313962.89"/>
    <n v="171851.54"/>
    <n v="170127.27"/>
    <x v="8"/>
    <n v="0.16584310549924675"/>
  </r>
  <r>
    <x v="1"/>
    <x v="5"/>
    <n v="0"/>
    <n v="13875"/>
    <n v="13875"/>
    <n v="13875"/>
    <x v="8"/>
    <n v="0"/>
  </r>
  <r>
    <x v="1"/>
    <x v="5"/>
    <n v="1569314.75"/>
    <n v="14263.75"/>
    <n v="0"/>
    <n v="0"/>
    <x v="8"/>
    <n v="9.0891581819389639E-3"/>
  </r>
  <r>
    <x v="1"/>
    <x v="5"/>
    <n v="183194"/>
    <n v="117760.47"/>
    <n v="79888.08"/>
    <n v="51274.39"/>
    <x v="8"/>
    <n v="0.64281837833116806"/>
  </r>
  <r>
    <x v="1"/>
    <x v="5"/>
    <n v="12733040.800000001"/>
    <n v="5229435.5599999996"/>
    <n v="3732307.03"/>
    <n v="3311091.82"/>
    <x v="8"/>
    <n v="0.41069809184935613"/>
  </r>
  <r>
    <x v="1"/>
    <x v="5"/>
    <n v="30105.25"/>
    <n v="0"/>
    <n v="0"/>
    <n v="0"/>
    <x v="8"/>
    <n v="0"/>
  </r>
  <r>
    <x v="1"/>
    <x v="5"/>
    <n v="103680"/>
    <n v="55000"/>
    <n v="22292.14"/>
    <n v="22292.14"/>
    <x v="8"/>
    <n v="0.53047839506172845"/>
  </r>
  <r>
    <x v="1"/>
    <x v="5"/>
    <n v="1969552"/>
    <n v="390609.11"/>
    <n v="269462.65999999997"/>
    <n v="268156.40999999997"/>
    <x v="8"/>
    <n v="0.19832383709594872"/>
  </r>
  <r>
    <x v="1"/>
    <x v="5"/>
    <n v="4840314.25"/>
    <n v="1633561.47"/>
    <n v="681914.69"/>
    <n v="679458.45"/>
    <x v="8"/>
    <n v="0.33749078791733406"/>
  </r>
  <r>
    <x v="1"/>
    <x v="5"/>
    <n v="1250000"/>
    <n v="0"/>
    <n v="0"/>
    <n v="0"/>
    <x v="8"/>
    <n v="0"/>
  </r>
  <r>
    <x v="1"/>
    <x v="5"/>
    <n v="199301.25"/>
    <n v="0"/>
    <n v="0"/>
    <n v="0"/>
    <x v="8"/>
    <n v="0"/>
  </r>
  <r>
    <x v="1"/>
    <x v="5"/>
    <n v="712584.5"/>
    <n v="450122.02"/>
    <n v="188618.96"/>
    <n v="179189.57"/>
    <x v="8"/>
    <n v="0.63167528903589687"/>
  </r>
  <r>
    <x v="1"/>
    <x v="5"/>
    <n v="4995"/>
    <n v="19677.97"/>
    <n v="19677.97"/>
    <n v="8961.2999999999993"/>
    <x v="8"/>
    <n v="3.9395335335335337"/>
  </r>
  <r>
    <x v="1"/>
    <x v="5"/>
    <n v="459397"/>
    <n v="318879.78999999998"/>
    <n v="220700.74"/>
    <n v="213531.33"/>
    <x v="8"/>
    <n v="0.69412684453751328"/>
  </r>
  <r>
    <x v="1"/>
    <x v="5"/>
    <n v="141702.5"/>
    <n v="22434.799999999999"/>
    <n v="22434.799999999999"/>
    <n v="22434.799999999999"/>
    <x v="8"/>
    <n v="0.15832324764912403"/>
  </r>
  <r>
    <x v="1"/>
    <x v="5"/>
    <n v="29700"/>
    <n v="0"/>
    <n v="0"/>
    <n v="0"/>
    <x v="8"/>
    <n v="0"/>
  </r>
  <r>
    <x v="1"/>
    <x v="5"/>
    <n v="250"/>
    <n v="0"/>
    <n v="0"/>
    <n v="0"/>
    <x v="8"/>
    <n v="0"/>
  </r>
  <r>
    <x v="1"/>
    <x v="5"/>
    <n v="2088525"/>
    <n v="2078474.73"/>
    <n v="2066940.82"/>
    <n v="2064102.82"/>
    <x v="8"/>
    <n v="0.99518786224727973"/>
  </r>
  <r>
    <x v="1"/>
    <x v="5"/>
    <n v="535549"/>
    <n v="207334.83"/>
    <n v="163050.73000000001"/>
    <n v="161815.78"/>
    <x v="8"/>
    <n v="0.38714446297164218"/>
  </r>
  <r>
    <x v="1"/>
    <x v="5"/>
    <n v="15000"/>
    <n v="0"/>
    <n v="0"/>
    <n v="0"/>
    <x v="8"/>
    <n v="0"/>
  </r>
  <r>
    <x v="1"/>
    <x v="5"/>
    <n v="420800.25"/>
    <n v="5177"/>
    <n v="5177"/>
    <n v="5177"/>
    <x v="8"/>
    <n v="1.2302749344849486E-2"/>
  </r>
  <r>
    <x v="1"/>
    <x v="5"/>
    <n v="8788250"/>
    <n v="27714"/>
    <n v="27714"/>
    <n v="27714"/>
    <x v="8"/>
    <n v="3.1535288595567947E-3"/>
  </r>
  <r>
    <x v="1"/>
    <x v="5"/>
    <n v="4652691.5"/>
    <n v="5141251.62"/>
    <n v="3451587.49"/>
    <n v="3451296.24"/>
    <x v="8"/>
    <n v="1.1050059132439793"/>
  </r>
  <r>
    <x v="1"/>
    <x v="5"/>
    <n v="31515.5"/>
    <n v="119625"/>
    <n v="111375"/>
    <n v="111375"/>
    <x v="8"/>
    <n v="3.7957512969808507"/>
  </r>
  <r>
    <x v="1"/>
    <x v="5"/>
    <n v="3580750"/>
    <n v="105692.75"/>
    <n v="0"/>
    <n v="0"/>
    <x v="8"/>
    <n v="2.9516930810584374E-2"/>
  </r>
  <r>
    <x v="1"/>
    <x v="5"/>
    <n v="37918755"/>
    <n v="45184566.619999997"/>
    <n v="29364606.739999998"/>
    <n v="23487092.510000002"/>
    <x v="8"/>
    <n v="1.1916152473887922"/>
  </r>
  <r>
    <x v="1"/>
    <x v="5"/>
    <n v="221321095"/>
    <n v="211764475.41999999"/>
    <n v="209210115.02000001"/>
    <n v="208701830.31999999"/>
    <x v="8"/>
    <n v="0.95682011432303815"/>
  </r>
  <r>
    <x v="1"/>
    <x v="5"/>
    <n v="6915490.25"/>
    <n v="0"/>
    <n v="0"/>
    <n v="0"/>
    <x v="8"/>
    <n v="0"/>
  </r>
  <r>
    <x v="1"/>
    <x v="5"/>
    <n v="27968865"/>
    <n v="28021365"/>
    <n v="26019870.73"/>
    <n v="26002002.719999999"/>
    <x v="8"/>
    <n v="1.0018770872539875"/>
  </r>
  <r>
    <x v="1"/>
    <x v="5"/>
    <n v="4446175"/>
    <n v="0"/>
    <n v="0"/>
    <n v="0"/>
    <x v="8"/>
    <n v="0"/>
  </r>
  <r>
    <x v="1"/>
    <x v="5"/>
    <n v="16877804.5"/>
    <n v="17025874.920000002"/>
    <n v="15153851.369999999"/>
    <n v="14919253.32"/>
    <x v="8"/>
    <n v="1.0087730853856023"/>
  </r>
  <r>
    <x v="1"/>
    <x v="5"/>
    <n v="63335083.75"/>
    <n v="73710361.459999993"/>
    <n v="70884754.379999995"/>
    <n v="69902316.909999996"/>
    <x v="8"/>
    <n v="1.1638156468057088"/>
  </r>
  <r>
    <x v="1"/>
    <x v="5"/>
    <n v="2007777.25"/>
    <n v="2049062.4"/>
    <n v="1617394.33"/>
    <n v="1562094.86"/>
    <x v="8"/>
    <n v="1.0205626147024027"/>
  </r>
  <r>
    <x v="1"/>
    <x v="5"/>
    <n v="2551433.75"/>
    <n v="687117.58"/>
    <n v="605792.46"/>
    <n v="591978.09"/>
    <x v="8"/>
    <n v="0.26930645563499345"/>
  </r>
  <r>
    <x v="1"/>
    <x v="5"/>
    <n v="144906134.25"/>
    <n v="150053780.31"/>
    <n v="127017897.88"/>
    <n v="119146303.17"/>
    <x v="8"/>
    <n v="1.035524003774188"/>
  </r>
  <r>
    <x v="1"/>
    <x v="5"/>
    <n v="1710000"/>
    <n v="1905020.63"/>
    <n v="1754933.32"/>
    <n v="1754933.32"/>
    <x v="8"/>
    <n v="1.1140471520467836"/>
  </r>
  <r>
    <x v="1"/>
    <x v="5"/>
    <n v="41160318.25"/>
    <n v="38270137.880000003"/>
    <n v="38020137.880000003"/>
    <n v="37997202.649999999"/>
    <x v="8"/>
    <n v="0.92978236095149736"/>
  </r>
  <r>
    <x v="1"/>
    <x v="5"/>
    <n v="10495525"/>
    <n v="7511843.7000000002"/>
    <n v="5776185.8399999999"/>
    <n v="4137818.5"/>
    <x v="8"/>
    <n v="0.7157187182156205"/>
  </r>
  <r>
    <x v="1"/>
    <x v="5"/>
    <n v="50000"/>
    <n v="0"/>
    <n v="0"/>
    <n v="0"/>
    <x v="8"/>
    <n v="0"/>
  </r>
  <r>
    <x v="1"/>
    <x v="5"/>
    <n v="870250"/>
    <n v="805021.08"/>
    <n v="642109.59"/>
    <n v="642109.59"/>
    <x v="8"/>
    <n v="0.92504576845733977"/>
  </r>
  <r>
    <x v="1"/>
    <x v="5"/>
    <n v="25944673.25"/>
    <n v="45518895.719999999"/>
    <n v="15812367.5"/>
    <n v="13445309.75"/>
    <x v="8"/>
    <n v="1.7544601653443448"/>
  </r>
  <r>
    <x v="1"/>
    <x v="5"/>
    <n v="2926801"/>
    <n v="3059965.11"/>
    <n v="2836690.31"/>
    <n v="2836690.31"/>
    <x v="8"/>
    <n v="1.045498177019893"/>
  </r>
  <r>
    <x v="1"/>
    <x v="5"/>
    <n v="4970904.5"/>
    <n v="4696424.9400000004"/>
    <n v="3903837.59"/>
    <n v="3903837.59"/>
    <x v="8"/>
    <n v="0.94478277343690675"/>
  </r>
  <r>
    <x v="1"/>
    <x v="5"/>
    <n v="84799521.25"/>
    <n v="84019571.859999999"/>
    <n v="83486718.780000001"/>
    <n v="83332679.760000005"/>
    <x v="8"/>
    <n v="0.99080243168236048"/>
  </r>
  <r>
    <x v="1"/>
    <x v="5"/>
    <n v="2844519.25"/>
    <n v="0"/>
    <n v="0"/>
    <n v="0"/>
    <x v="8"/>
    <n v="0"/>
  </r>
  <r>
    <x v="1"/>
    <x v="5"/>
    <n v="15138.5"/>
    <n v="75000"/>
    <n v="45000"/>
    <n v="45000"/>
    <x v="8"/>
    <n v="4.9542557056511543"/>
  </r>
  <r>
    <x v="1"/>
    <x v="5"/>
    <n v="345903750"/>
    <n v="386971807.69999999"/>
    <n v="365478249.58999997"/>
    <n v="350252058.20999998"/>
    <x v="8"/>
    <n v="1.1187268357165829"/>
  </r>
  <r>
    <x v="1"/>
    <x v="5"/>
    <n v="91827298"/>
    <n v="104163399.94"/>
    <n v="101702044.62"/>
    <n v="101702044.62"/>
    <x v="8"/>
    <n v="1.1343402474937245"/>
  </r>
  <r>
    <x v="1"/>
    <x v="5"/>
    <n v="48519733.75"/>
    <n v="48654147.82"/>
    <n v="42842142.619999997"/>
    <n v="42842142.619999997"/>
    <x v="8"/>
    <n v="1.0027702969412935"/>
  </r>
  <r>
    <x v="1"/>
    <x v="5"/>
    <n v="2725000"/>
    <n v="0"/>
    <n v="0"/>
    <n v="0"/>
    <x v="8"/>
    <n v="0"/>
  </r>
  <r>
    <x v="1"/>
    <x v="5"/>
    <n v="33461358.5"/>
    <n v="32322871.350000001"/>
    <n v="29530066.02"/>
    <n v="29530066.02"/>
    <x v="8"/>
    <n v="0.96597606310574635"/>
  </r>
  <r>
    <x v="1"/>
    <x v="5"/>
    <n v="2500"/>
    <n v="0"/>
    <n v="0"/>
    <n v="0"/>
    <x v="8"/>
    <n v="0"/>
  </r>
  <r>
    <x v="1"/>
    <x v="5"/>
    <n v="8785319.25"/>
    <n v="9383734.6600000001"/>
    <n v="6817210.8200000003"/>
    <n v="5807910.21"/>
    <x v="8"/>
    <n v="1.0681153857897652"/>
  </r>
  <r>
    <x v="1"/>
    <x v="5"/>
    <n v="112254.25"/>
    <n v="137580.79"/>
    <n v="93950.34"/>
    <n v="66653.67"/>
    <x v="8"/>
    <n v="1.2256176492204083"/>
  </r>
  <r>
    <x v="1"/>
    <x v="5"/>
    <n v="1625660.75"/>
    <n v="4288575.6900000004"/>
    <n v="454627.79"/>
    <n v="386164.43"/>
    <x v="8"/>
    <n v="2.6380508294857954"/>
  </r>
  <r>
    <x v="1"/>
    <x v="5"/>
    <n v="5073249.25"/>
    <n v="6036485.9500000002"/>
    <n v="4949217.2"/>
    <n v="3169149.19"/>
    <x v="8"/>
    <n v="1.1898658340116051"/>
  </r>
  <r>
    <x v="1"/>
    <x v="5"/>
    <n v="29755481.5"/>
    <n v="28232839.870000001"/>
    <n v="28188787.390000001"/>
    <n v="26796705.399999999"/>
    <x v="8"/>
    <n v="0.94882819725165601"/>
  </r>
  <r>
    <x v="1"/>
    <x v="5"/>
    <n v="5409615.25"/>
    <n v="2829090.28"/>
    <n v="2212578.89"/>
    <n v="2017427.62"/>
    <x v="8"/>
    <n v="0.52297439822545599"/>
  </r>
  <r>
    <x v="1"/>
    <x v="5"/>
    <n v="787381.5"/>
    <n v="671005.16"/>
    <n v="585971.36"/>
    <n v="487002.36"/>
    <x v="8"/>
    <n v="0.85219827999514852"/>
  </r>
  <r>
    <x v="1"/>
    <x v="5"/>
    <n v="152500"/>
    <n v="0"/>
    <n v="0"/>
    <n v="0"/>
    <x v="8"/>
    <n v="0"/>
  </r>
  <r>
    <x v="1"/>
    <x v="5"/>
    <n v="75000"/>
    <n v="0"/>
    <n v="0"/>
    <n v="0"/>
    <x v="8"/>
    <n v="0"/>
  </r>
  <r>
    <x v="1"/>
    <x v="5"/>
    <n v="190000"/>
    <n v="0"/>
    <n v="0"/>
    <n v="0"/>
    <x v="1"/>
    <n v="0"/>
  </r>
  <r>
    <x v="1"/>
    <x v="5"/>
    <n v="75000"/>
    <n v="75000"/>
    <n v="0"/>
    <n v="0"/>
    <x v="1"/>
    <n v="1"/>
  </r>
  <r>
    <x v="1"/>
    <x v="5"/>
    <n v="25000"/>
    <n v="0"/>
    <n v="0"/>
    <n v="0"/>
    <x v="1"/>
    <n v="0"/>
  </r>
  <r>
    <x v="1"/>
    <x v="5"/>
    <n v="25000"/>
    <n v="25000"/>
    <n v="9383.5400000000009"/>
    <n v="313.63499999999999"/>
    <x v="1"/>
    <n v="1"/>
  </r>
  <r>
    <x v="1"/>
    <x v="5"/>
    <n v="25000"/>
    <n v="25000"/>
    <n v="25000"/>
    <n v="25000"/>
    <x v="1"/>
    <n v="1"/>
  </r>
  <r>
    <x v="1"/>
    <x v="5"/>
    <n v="25000"/>
    <n v="25000"/>
    <n v="0"/>
    <n v="0"/>
    <x v="1"/>
    <n v="1"/>
  </r>
  <r>
    <x v="1"/>
    <x v="5"/>
    <n v="25000"/>
    <n v="25000"/>
    <n v="0"/>
    <n v="0"/>
    <x v="1"/>
    <n v="1"/>
  </r>
  <r>
    <x v="1"/>
    <x v="5"/>
    <n v="50000"/>
    <n v="45505.427499999998"/>
    <n v="0"/>
    <n v="0"/>
    <x v="1"/>
    <n v="0.91010854999999991"/>
  </r>
  <r>
    <x v="1"/>
    <x v="5"/>
    <n v="50000"/>
    <n v="50000"/>
    <n v="50000"/>
    <n v="50000"/>
    <x v="1"/>
    <n v="1"/>
  </r>
  <r>
    <x v="1"/>
    <x v="5"/>
    <n v="37500"/>
    <n v="37500"/>
    <n v="37500"/>
    <n v="37500"/>
    <x v="1"/>
    <n v="1"/>
  </r>
  <r>
    <x v="1"/>
    <x v="5"/>
    <n v="75000"/>
    <n v="0"/>
    <n v="0"/>
    <n v="0"/>
    <x v="1"/>
    <n v="0"/>
  </r>
  <r>
    <x v="1"/>
    <x v="5"/>
    <n v="72305"/>
    <n v="54805"/>
    <n v="0"/>
    <n v="0"/>
    <x v="1"/>
    <n v="0.75796971163819926"/>
  </r>
  <r>
    <x v="1"/>
    <x v="5"/>
    <n v="37500"/>
    <n v="37500"/>
    <n v="1584.7550000000001"/>
    <n v="1584.7550000000001"/>
    <x v="1"/>
    <n v="1"/>
  </r>
  <r>
    <x v="1"/>
    <x v="5"/>
    <n v="100000"/>
    <n v="100000"/>
    <n v="0"/>
    <n v="0"/>
    <x v="1"/>
    <n v="1"/>
  </r>
  <r>
    <x v="1"/>
    <x v="5"/>
    <n v="16250"/>
    <n v="14969.5"/>
    <n v="5335.7650000000003"/>
    <n v="5335.7650000000003"/>
    <x v="1"/>
    <n v="0.92120000000000002"/>
  </r>
  <r>
    <x v="1"/>
    <x v="5"/>
    <n v="62500"/>
    <n v="0"/>
    <n v="0"/>
    <n v="0"/>
    <x v="1"/>
    <n v="0"/>
  </r>
  <r>
    <x v="1"/>
    <x v="5"/>
    <n v="87500"/>
    <n v="0"/>
    <n v="0"/>
    <n v="0"/>
    <x v="1"/>
    <n v="0"/>
  </r>
  <r>
    <x v="1"/>
    <x v="5"/>
    <n v="50000"/>
    <n v="0"/>
    <n v="0"/>
    <n v="0"/>
    <x v="1"/>
    <n v="0"/>
  </r>
  <r>
    <x v="1"/>
    <x v="5"/>
    <n v="37500"/>
    <n v="0"/>
    <n v="0"/>
    <n v="0"/>
    <x v="1"/>
    <n v="0"/>
  </r>
  <r>
    <x v="1"/>
    <x v="5"/>
    <n v="322305"/>
    <n v="0"/>
    <n v="0"/>
    <n v="0"/>
    <x v="1"/>
    <n v="0"/>
  </r>
  <r>
    <x v="1"/>
    <x v="5"/>
    <n v="62500"/>
    <n v="62500"/>
    <n v="0"/>
    <n v="0"/>
    <x v="1"/>
    <n v="1"/>
  </r>
  <r>
    <x v="1"/>
    <x v="5"/>
    <n v="25000"/>
    <n v="0"/>
    <n v="0"/>
    <n v="0"/>
    <x v="1"/>
    <n v="0"/>
  </r>
  <r>
    <x v="1"/>
    <x v="5"/>
    <n v="25000"/>
    <n v="25000"/>
    <n v="0"/>
    <n v="0"/>
    <x v="1"/>
    <n v="1"/>
  </r>
  <r>
    <x v="1"/>
    <x v="5"/>
    <n v="150000"/>
    <n v="150000"/>
    <n v="0"/>
    <n v="0"/>
    <x v="1"/>
    <n v="1"/>
  </r>
  <r>
    <x v="1"/>
    <x v="5"/>
    <n v="75000"/>
    <n v="0"/>
    <n v="0"/>
    <n v="0"/>
    <x v="1"/>
    <n v="0"/>
  </r>
  <r>
    <x v="1"/>
    <x v="5"/>
    <n v="62500"/>
    <n v="62500"/>
    <n v="57267.504999999997"/>
    <n v="57267.504999999997"/>
    <x v="1"/>
    <n v="1"/>
  </r>
  <r>
    <x v="1"/>
    <x v="5"/>
    <n v="62500"/>
    <n v="21171.6175"/>
    <n v="16356.535"/>
    <n v="16356.535"/>
    <x v="1"/>
    <n v="0.33874588"/>
  </r>
  <r>
    <x v="1"/>
    <x v="5"/>
    <n v="75000"/>
    <n v="0"/>
    <n v="0"/>
    <n v="0"/>
    <x v="1"/>
    <n v="0"/>
  </r>
  <r>
    <x v="1"/>
    <x v="5"/>
    <n v="50152.5"/>
    <n v="0"/>
    <n v="0"/>
    <n v="0"/>
    <x v="1"/>
    <n v="0"/>
  </r>
  <r>
    <x v="1"/>
    <x v="5"/>
    <n v="36750"/>
    <n v="0"/>
    <n v="0"/>
    <n v="0"/>
    <x v="1"/>
    <n v="0"/>
  </r>
  <r>
    <x v="1"/>
    <x v="5"/>
    <n v="36750"/>
    <n v="0"/>
    <n v="0"/>
    <n v="0"/>
    <x v="1"/>
    <n v="0"/>
  </r>
  <r>
    <x v="1"/>
    <x v="5"/>
    <n v="95812.25"/>
    <n v="24815.88"/>
    <n v="11641.02"/>
    <n v="11641.02"/>
    <x v="1"/>
    <n v="0.25900529420820406"/>
  </r>
  <r>
    <x v="1"/>
    <x v="5"/>
    <n v="163000"/>
    <n v="299461.30499999999"/>
    <n v="142900.9325"/>
    <n v="112616.83"/>
    <x v="1"/>
    <n v="1.8371859202453988"/>
  </r>
  <r>
    <x v="1"/>
    <x v="5"/>
    <n v="12395449.699999999"/>
    <n v="2988173.1214999999"/>
    <n v="835639.5135"/>
    <n v="286149.33799999999"/>
    <x v="1"/>
    <n v="0.24107016637726342"/>
  </r>
  <r>
    <x v="1"/>
    <x v="5"/>
    <n v="29886"/>
    <n v="4595.3999999999996"/>
    <n v="2243.4"/>
    <n v="2243.4"/>
    <x v="1"/>
    <n v="0.15376430435655489"/>
  </r>
  <r>
    <x v="1"/>
    <x v="5"/>
    <n v="108714.75"/>
    <n v="25125"/>
    <n v="4032.6125000000002"/>
    <n v="4032.6125000000002"/>
    <x v="1"/>
    <n v="0.23110939407946024"/>
  </r>
  <r>
    <x v="1"/>
    <x v="5"/>
    <n v="3107558.75"/>
    <n v="681898.35"/>
    <n v="669047.13500000001"/>
    <n v="661627.13500000001"/>
    <x v="1"/>
    <n v="0.21943216680939659"/>
  </r>
  <r>
    <x v="1"/>
    <x v="5"/>
    <n v="4998012.75"/>
    <n v="2116667.2999999998"/>
    <n v="1617301.6225000001"/>
    <n v="1587835.4524999999"/>
    <x v="1"/>
    <n v="0.42350178078277206"/>
  </r>
  <r>
    <x v="1"/>
    <x v="5"/>
    <n v="0"/>
    <n v="509074.1225"/>
    <n v="425267.1225"/>
    <n v="425267.1225"/>
    <x v="1"/>
    <n v="0"/>
  </r>
  <r>
    <x v="1"/>
    <x v="5"/>
    <n v="1245702.25"/>
    <n v="0"/>
    <n v="0"/>
    <n v="0"/>
    <x v="1"/>
    <n v="0"/>
  </r>
  <r>
    <x v="1"/>
    <x v="5"/>
    <n v="8000"/>
    <n v="0"/>
    <n v="0"/>
    <n v="0"/>
    <x v="1"/>
    <n v="0"/>
  </r>
  <r>
    <x v="1"/>
    <x v="5"/>
    <n v="425617"/>
    <n v="332745.15749999997"/>
    <n v="210660.7525"/>
    <n v="206914.92499999999"/>
    <x v="1"/>
    <n v="0.78179480025468906"/>
  </r>
  <r>
    <x v="1"/>
    <x v="5"/>
    <n v="131206.25"/>
    <n v="6672.25"/>
    <n v="6672.25"/>
    <n v="6672.25"/>
    <x v="1"/>
    <n v="5.0853141523364932E-2"/>
  </r>
  <r>
    <x v="1"/>
    <x v="5"/>
    <n v="27500"/>
    <n v="0"/>
    <n v="0"/>
    <n v="0"/>
    <x v="1"/>
    <n v="0"/>
  </r>
  <r>
    <x v="1"/>
    <x v="5"/>
    <n v="15000"/>
    <n v="0"/>
    <n v="0"/>
    <n v="0"/>
    <x v="1"/>
    <n v="0"/>
  </r>
  <r>
    <x v="1"/>
    <x v="5"/>
    <n v="3750"/>
    <n v="0"/>
    <n v="0"/>
    <n v="0"/>
    <x v="1"/>
    <n v="0"/>
  </r>
  <r>
    <x v="1"/>
    <x v="5"/>
    <n v="1700500"/>
    <n v="1915249.5024999999"/>
    <n v="1767200.7649999999"/>
    <n v="1760486.1825000001"/>
    <x v="1"/>
    <n v="1.1262860937959422"/>
  </r>
  <r>
    <x v="1"/>
    <x v="5"/>
    <n v="690500.25"/>
    <n v="546915.27749999997"/>
    <n v="491251.79749999999"/>
    <n v="489948.17749999999"/>
    <x v="1"/>
    <n v="0.79205659592447641"/>
  </r>
  <r>
    <x v="1"/>
    <x v="5"/>
    <n v="31364260.75"/>
    <n v="33920223.960000001"/>
    <n v="33749470.127499998"/>
    <n v="33747862.377499998"/>
    <x v="1"/>
    <n v="1.0814928568019893"/>
  </r>
  <r>
    <x v="1"/>
    <x v="5"/>
    <n v="322305"/>
    <n v="0"/>
    <n v="0"/>
    <n v="0"/>
    <x v="1"/>
    <n v="0"/>
  </r>
  <r>
    <x v="1"/>
    <x v="5"/>
    <n v="75852.5"/>
    <n v="0"/>
    <n v="0"/>
    <n v="0"/>
    <x v="1"/>
    <n v="0"/>
  </r>
  <r>
    <x v="1"/>
    <x v="5"/>
    <n v="300000"/>
    <n v="0"/>
    <n v="0"/>
    <n v="0"/>
    <x v="1"/>
    <n v="0"/>
  </r>
  <r>
    <x v="1"/>
    <x v="5"/>
    <n v="50000"/>
    <n v="0"/>
    <n v="0"/>
    <n v="0"/>
    <x v="1"/>
    <n v="0"/>
  </r>
  <r>
    <x v="1"/>
    <x v="5"/>
    <n v="26647.5"/>
    <n v="0"/>
    <n v="0"/>
    <n v="0"/>
    <x v="1"/>
    <n v="0"/>
  </r>
  <r>
    <x v="1"/>
    <x v="5"/>
    <n v="30805"/>
    <n v="0"/>
    <n v="0"/>
    <n v="0"/>
    <x v="1"/>
    <n v="0"/>
  </r>
  <r>
    <x v="1"/>
    <x v="5"/>
    <n v="37500"/>
    <n v="0"/>
    <n v="0"/>
    <n v="0"/>
    <x v="1"/>
    <n v="0"/>
  </r>
  <r>
    <x v="1"/>
    <x v="5"/>
    <n v="6000"/>
    <n v="0"/>
    <n v="0"/>
    <n v="0"/>
    <x v="1"/>
    <n v="0"/>
  </r>
  <r>
    <x v="1"/>
    <x v="5"/>
    <n v="25000"/>
    <n v="0"/>
    <n v="0"/>
    <n v="0"/>
    <x v="1"/>
    <n v="0"/>
  </r>
  <r>
    <x v="1"/>
    <x v="5"/>
    <n v="59038"/>
    <n v="0"/>
    <n v="0"/>
    <n v="0"/>
    <x v="1"/>
    <n v="0"/>
  </r>
  <r>
    <x v="1"/>
    <x v="5"/>
    <n v="59038"/>
    <n v="0"/>
    <n v="0"/>
    <n v="0"/>
    <x v="1"/>
    <n v="0"/>
  </r>
  <r>
    <x v="1"/>
    <x v="5"/>
    <n v="59038"/>
    <n v="0"/>
    <n v="0"/>
    <n v="0"/>
    <x v="1"/>
    <n v="0"/>
  </r>
  <r>
    <x v="1"/>
    <x v="5"/>
    <n v="59038"/>
    <n v="0"/>
    <n v="0"/>
    <n v="0"/>
    <x v="1"/>
    <n v="0"/>
  </r>
  <r>
    <x v="1"/>
    <x v="5"/>
    <n v="62500"/>
    <n v="0"/>
    <n v="0"/>
    <n v="0"/>
    <x v="1"/>
    <n v="0"/>
  </r>
  <r>
    <x v="1"/>
    <x v="5"/>
    <n v="67500"/>
    <n v="0"/>
    <n v="0"/>
    <n v="0"/>
    <x v="1"/>
    <n v="0"/>
  </r>
  <r>
    <x v="1"/>
    <x v="5"/>
    <n v="75000"/>
    <n v="0"/>
    <n v="0"/>
    <n v="0"/>
    <x v="1"/>
    <n v="0"/>
  </r>
  <r>
    <x v="1"/>
    <x v="5"/>
    <n v="82250"/>
    <n v="0"/>
    <n v="0"/>
    <n v="0"/>
    <x v="1"/>
    <n v="0"/>
  </r>
  <r>
    <x v="1"/>
    <x v="5"/>
    <n v="59096839.75"/>
    <n v="32969389.440000001"/>
    <n v="26897318.727499999"/>
    <n v="21746477.795000002"/>
    <x v="1"/>
    <n v="0.55788752121893292"/>
  </r>
  <r>
    <x v="1"/>
    <x v="5"/>
    <n v="196534000"/>
    <n v="193296431.23750001"/>
    <n v="192667852.60249999"/>
    <n v="192666412.64750001"/>
    <x v="1"/>
    <n v="0.98352667343818378"/>
  </r>
  <r>
    <x v="1"/>
    <x v="5"/>
    <n v="7029908.75"/>
    <n v="2767069.7075"/>
    <n v="2643323.1"/>
    <n v="2637330.15"/>
    <x v="1"/>
    <n v="0.39361388688011062"/>
  </r>
  <r>
    <x v="1"/>
    <x v="5"/>
    <n v="2500"/>
    <n v="0"/>
    <n v="0"/>
    <n v="0"/>
    <x v="1"/>
    <n v="0"/>
  </r>
  <r>
    <x v="1"/>
    <x v="5"/>
    <n v="107400"/>
    <n v="0"/>
    <n v="0"/>
    <n v="0"/>
    <x v="1"/>
    <n v="0"/>
  </r>
  <r>
    <x v="1"/>
    <x v="5"/>
    <n v="17500"/>
    <n v="0"/>
    <n v="0"/>
    <n v="0"/>
    <x v="1"/>
    <n v="0"/>
  </r>
  <r>
    <x v="1"/>
    <x v="5"/>
    <n v="11750"/>
    <n v="0"/>
    <n v="0"/>
    <n v="0"/>
    <x v="1"/>
    <n v="0"/>
  </r>
  <r>
    <x v="1"/>
    <x v="5"/>
    <n v="25000"/>
    <n v="22462.43"/>
    <n v="4500.3"/>
    <n v="727.8"/>
    <x v="1"/>
    <n v="0.8984972"/>
  </r>
  <r>
    <x v="1"/>
    <x v="5"/>
    <n v="12500"/>
    <n v="7529.125"/>
    <n v="199.5"/>
    <n v="199.5"/>
    <x v="1"/>
    <n v="0.60233000000000003"/>
  </r>
  <r>
    <x v="1"/>
    <x v="5"/>
    <n v="12500"/>
    <n v="6387.3"/>
    <n v="1017.8"/>
    <n v="1017.8"/>
    <x v="1"/>
    <n v="0.51098399999999999"/>
  </r>
  <r>
    <x v="1"/>
    <x v="5"/>
    <n v="84805"/>
    <n v="84779.792499999996"/>
    <n v="84028.18"/>
    <n v="0"/>
    <x v="1"/>
    <n v="0.99970275927126928"/>
  </r>
  <r>
    <x v="1"/>
    <x v="5"/>
    <n v="12500"/>
    <n v="7873.875"/>
    <n v="487.25"/>
    <n v="487.25"/>
    <x v="1"/>
    <n v="0.62990999999999997"/>
  </r>
  <r>
    <x v="1"/>
    <x v="5"/>
    <n v="12500"/>
    <n v="7873.875"/>
    <n v="2062.25"/>
    <n v="487.25"/>
    <x v="1"/>
    <n v="0.62990999999999997"/>
  </r>
  <r>
    <x v="1"/>
    <x v="5"/>
    <n v="12500"/>
    <n v="10395.9"/>
    <n v="3256.9"/>
    <n v="1681.9"/>
    <x v="1"/>
    <n v="0.83167199999999997"/>
  </r>
  <r>
    <x v="1"/>
    <x v="5"/>
    <n v="12500"/>
    <n v="6769.5"/>
    <n v="487.25"/>
    <n v="0"/>
    <x v="1"/>
    <n v="0.54156000000000004"/>
  </r>
  <r>
    <x v="1"/>
    <x v="5"/>
    <n v="17500"/>
    <n v="0"/>
    <n v="0"/>
    <n v="0"/>
    <x v="1"/>
    <n v="0"/>
  </r>
  <r>
    <x v="1"/>
    <x v="5"/>
    <n v="17500"/>
    <n v="17493.28"/>
    <n v="4038.42"/>
    <n v="909.57"/>
    <x v="1"/>
    <n v="0.99961599999999995"/>
  </r>
  <r>
    <x v="1"/>
    <x v="5"/>
    <n v="17500"/>
    <n v="17471.740000000002"/>
    <n v="3593.07"/>
    <n v="797.07"/>
    <x v="1"/>
    <n v="0.99838514285714297"/>
  </r>
  <r>
    <x v="1"/>
    <x v="5"/>
    <n v="17500"/>
    <n v="13404.05"/>
    <n v="2614.29"/>
    <n v="752.07"/>
    <x v="1"/>
    <n v="0.76594571428571423"/>
  </r>
  <r>
    <x v="1"/>
    <x v="5"/>
    <n v="17500"/>
    <n v="17486.28"/>
    <n v="3328.17"/>
    <n v="789.57"/>
    <x v="1"/>
    <n v="0.99921599999999988"/>
  </r>
  <r>
    <x v="1"/>
    <x v="5"/>
    <n v="17500"/>
    <n v="17450.97"/>
    <n v="8145.47"/>
    <n v="1710.17"/>
    <x v="1"/>
    <n v="0.99719828571428581"/>
  </r>
  <r>
    <x v="1"/>
    <x v="5"/>
    <n v="17500"/>
    <n v="0"/>
    <n v="0"/>
    <n v="0"/>
    <x v="1"/>
    <n v="0"/>
  </r>
  <r>
    <x v="1"/>
    <x v="5"/>
    <n v="17500"/>
    <n v="17493.75"/>
    <n v="5985.63"/>
    <n v="1428.57"/>
    <x v="1"/>
    <n v="0.99964285714285717"/>
  </r>
  <r>
    <x v="1"/>
    <x v="5"/>
    <n v="17500"/>
    <n v="17473.32"/>
    <n v="4174"/>
    <n v="576.49"/>
    <x v="1"/>
    <n v="0.99847542857142857"/>
  </r>
  <r>
    <x v="1"/>
    <x v="5"/>
    <n v="37500"/>
    <n v="37466.4375"/>
    <n v="3818.1"/>
    <n v="3818.1"/>
    <x v="1"/>
    <n v="0.99910500000000002"/>
  </r>
  <r>
    <x v="1"/>
    <x v="5"/>
    <n v="17500"/>
    <n v="0"/>
    <n v="0"/>
    <n v="0"/>
    <x v="1"/>
    <n v="0"/>
  </r>
  <r>
    <x v="1"/>
    <x v="5"/>
    <n v="17500"/>
    <n v="17474.349999999999"/>
    <n v="1573.9"/>
    <n v="773.32"/>
    <x v="1"/>
    <n v="0.9985342857142856"/>
  </r>
  <r>
    <x v="1"/>
    <x v="5"/>
    <n v="17500"/>
    <n v="17499.97"/>
    <n v="2257.67"/>
    <n v="802.07"/>
    <x v="1"/>
    <n v="0.99999828571428573"/>
  </r>
  <r>
    <x v="1"/>
    <x v="5"/>
    <n v="1250"/>
    <n v="0"/>
    <n v="0"/>
    <n v="0"/>
    <x v="1"/>
    <n v="0"/>
  </r>
  <r>
    <x v="1"/>
    <x v="5"/>
    <n v="1250"/>
    <n v="0"/>
    <n v="0"/>
    <n v="0"/>
    <x v="1"/>
    <n v="0"/>
  </r>
  <r>
    <x v="1"/>
    <x v="5"/>
    <n v="1250"/>
    <n v="0"/>
    <n v="0"/>
    <n v="0"/>
    <x v="1"/>
    <n v="0"/>
  </r>
  <r>
    <x v="1"/>
    <x v="5"/>
    <n v="1250"/>
    <n v="0"/>
    <n v="0"/>
    <n v="0"/>
    <x v="1"/>
    <n v="0"/>
  </r>
  <r>
    <x v="1"/>
    <x v="5"/>
    <n v="1250"/>
    <n v="0"/>
    <n v="0"/>
    <n v="0"/>
    <x v="1"/>
    <n v="0"/>
  </r>
  <r>
    <x v="1"/>
    <x v="5"/>
    <n v="107400"/>
    <n v="6122.4849999999997"/>
    <n v="984.98500000000001"/>
    <n v="420.5625"/>
    <x v="1"/>
    <n v="5.700637802607076E-2"/>
  </r>
  <r>
    <x v="1"/>
    <x v="5"/>
    <n v="37500"/>
    <n v="0"/>
    <n v="0"/>
    <n v="0"/>
    <x v="1"/>
    <n v="0"/>
  </r>
  <r>
    <x v="1"/>
    <x v="5"/>
    <n v="10000"/>
    <n v="5263.4250000000002"/>
    <n v="1663.425"/>
    <n v="88.424999999999997"/>
    <x v="1"/>
    <n v="0.52634250000000005"/>
  </r>
  <r>
    <x v="1"/>
    <x v="5"/>
    <n v="12500"/>
    <n v="0"/>
    <n v="0"/>
    <n v="0"/>
    <x v="1"/>
    <n v="0"/>
  </r>
  <r>
    <x v="1"/>
    <x v="5"/>
    <n v="12500"/>
    <n v="0"/>
    <n v="0"/>
    <n v="0"/>
    <x v="1"/>
    <n v="0"/>
  </r>
  <r>
    <x v="1"/>
    <x v="5"/>
    <n v="12500"/>
    <n v="0"/>
    <n v="0"/>
    <n v="0"/>
    <x v="1"/>
    <n v="0"/>
  </r>
  <r>
    <x v="1"/>
    <x v="5"/>
    <n v="12500"/>
    <n v="0"/>
    <n v="0"/>
    <n v="0"/>
    <x v="1"/>
    <n v="0"/>
  </r>
  <r>
    <x v="1"/>
    <x v="5"/>
    <n v="25000"/>
    <n v="24996.837500000001"/>
    <n v="21857.75"/>
    <n v="9257.75"/>
    <x v="1"/>
    <n v="0.99987350000000008"/>
  </r>
  <r>
    <x v="1"/>
    <x v="5"/>
    <n v="25000"/>
    <n v="24970.587500000001"/>
    <n v="14209.25"/>
    <n v="6334.25"/>
    <x v="1"/>
    <n v="0.99882350000000009"/>
  </r>
  <r>
    <x v="1"/>
    <x v="5"/>
    <n v="25000"/>
    <n v="24979.3125"/>
    <n v="17733.25"/>
    <n v="8283.25"/>
    <x v="1"/>
    <n v="0.99917250000000002"/>
  </r>
  <r>
    <x v="1"/>
    <x v="5"/>
    <n v="12500"/>
    <n v="0"/>
    <n v="0"/>
    <n v="0"/>
    <x v="1"/>
    <n v="0"/>
  </r>
  <r>
    <x v="1"/>
    <x v="5"/>
    <n v="12500"/>
    <n v="0"/>
    <n v="0"/>
    <n v="0"/>
    <x v="1"/>
    <n v="0"/>
  </r>
  <r>
    <x v="1"/>
    <x v="5"/>
    <n v="25000"/>
    <n v="24661.875"/>
    <n v="7048"/>
    <n v="3898"/>
    <x v="1"/>
    <n v="0.98647499999999999"/>
  </r>
  <r>
    <x v="1"/>
    <x v="5"/>
    <n v="12500"/>
    <n v="0"/>
    <n v="0"/>
    <n v="0"/>
    <x v="1"/>
    <n v="0"/>
  </r>
  <r>
    <x v="1"/>
    <x v="5"/>
    <n v="12500"/>
    <n v="0"/>
    <n v="0"/>
    <n v="0"/>
    <x v="1"/>
    <n v="0"/>
  </r>
  <r>
    <x v="1"/>
    <x v="5"/>
    <n v="12500"/>
    <n v="0"/>
    <n v="0"/>
    <n v="0"/>
    <x v="1"/>
    <n v="0"/>
  </r>
  <r>
    <x v="1"/>
    <x v="5"/>
    <n v="107400"/>
    <n v="12069.2125"/>
    <n v="0"/>
    <n v="0"/>
    <x v="1"/>
    <n v="0.11237628026070763"/>
  </r>
  <r>
    <x v="1"/>
    <x v="5"/>
    <n v="12500"/>
    <n v="0"/>
    <n v="0"/>
    <n v="0"/>
    <x v="1"/>
    <n v="0"/>
  </r>
  <r>
    <x v="1"/>
    <x v="5"/>
    <n v="12500"/>
    <n v="0"/>
    <n v="0"/>
    <n v="0"/>
    <x v="1"/>
    <n v="0"/>
  </r>
  <r>
    <x v="1"/>
    <x v="5"/>
    <n v="12500"/>
    <n v="0"/>
    <n v="0"/>
    <n v="0"/>
    <x v="1"/>
    <n v="0"/>
  </r>
  <r>
    <x v="1"/>
    <x v="5"/>
    <n v="11152.5"/>
    <n v="0"/>
    <n v="0"/>
    <n v="0"/>
    <x v="1"/>
    <n v="0"/>
  </r>
  <r>
    <x v="1"/>
    <x v="5"/>
    <n v="25000"/>
    <n v="0"/>
    <n v="0"/>
    <n v="0"/>
    <x v="1"/>
    <n v="0"/>
  </r>
  <r>
    <x v="1"/>
    <x v="5"/>
    <n v="37500"/>
    <n v="0"/>
    <n v="0"/>
    <n v="0"/>
    <x v="1"/>
    <n v="0"/>
  </r>
  <r>
    <x v="1"/>
    <x v="5"/>
    <n v="37500"/>
    <n v="0"/>
    <n v="0"/>
    <n v="0"/>
    <x v="1"/>
    <n v="0"/>
  </r>
  <r>
    <x v="1"/>
    <x v="5"/>
    <n v="1250"/>
    <n v="0"/>
    <n v="0"/>
    <n v="0"/>
    <x v="1"/>
    <n v="0"/>
  </r>
  <r>
    <x v="1"/>
    <x v="5"/>
    <n v="25000"/>
    <n v="0"/>
    <n v="0"/>
    <n v="0"/>
    <x v="1"/>
    <n v="0"/>
  </r>
  <r>
    <x v="1"/>
    <x v="5"/>
    <n v="2500"/>
    <n v="1712.5"/>
    <n v="0"/>
    <n v="0"/>
    <x v="1"/>
    <n v="0.68500000000000005"/>
  </r>
  <r>
    <x v="1"/>
    <x v="5"/>
    <n v="20000"/>
    <n v="9586.375"/>
    <n v="929.375"/>
    <n v="929.375"/>
    <x v="1"/>
    <n v="0.47931875000000002"/>
  </r>
  <r>
    <x v="1"/>
    <x v="5"/>
    <n v="80000"/>
    <n v="22940.3"/>
    <n v="0"/>
    <n v="0"/>
    <x v="1"/>
    <n v="0.28675374999999997"/>
  </r>
  <r>
    <x v="1"/>
    <x v="5"/>
    <n v="20000"/>
    <n v="9409.5249999999996"/>
    <n v="2384.5250000000001"/>
    <n v="752.52499999999998"/>
    <x v="1"/>
    <n v="0.47047624999999998"/>
  </r>
  <r>
    <x v="1"/>
    <x v="5"/>
    <n v="37500"/>
    <n v="11498.375"/>
    <n v="2703.875"/>
    <n v="1128.875"/>
    <x v="1"/>
    <n v="0.30662333333333336"/>
  </r>
  <r>
    <x v="1"/>
    <x v="5"/>
    <n v="20000"/>
    <n v="7962.3"/>
    <n v="2592.8000000000002"/>
    <n v="1017.8"/>
    <x v="1"/>
    <n v="0.398115"/>
  </r>
  <r>
    <x v="1"/>
    <x v="5"/>
    <n v="25000"/>
    <n v="8320.8624999999993"/>
    <n v="487.25"/>
    <n v="487.25"/>
    <x v="1"/>
    <n v="0.33283449999999998"/>
  </r>
  <r>
    <x v="1"/>
    <x v="5"/>
    <n v="25000"/>
    <n v="18406.224999999999"/>
    <n v="1106.2249999999999"/>
    <n v="1106.2249999999999"/>
    <x v="1"/>
    <n v="0.73624899999999993"/>
  </r>
  <r>
    <x v="1"/>
    <x v="5"/>
    <n v="37500"/>
    <n v="0"/>
    <n v="0"/>
    <n v="0"/>
    <x v="1"/>
    <n v="0"/>
  </r>
  <r>
    <x v="1"/>
    <x v="5"/>
    <n v="33617"/>
    <n v="0"/>
    <n v="0"/>
    <n v="0"/>
    <x v="1"/>
    <n v="0"/>
  </r>
  <r>
    <x v="1"/>
    <x v="5"/>
    <n v="45333.25"/>
    <n v="7017.6724999999997"/>
    <n v="1591.1724999999999"/>
    <n v="1083.75"/>
    <x v="1"/>
    <n v="0.15480188382699231"/>
  </r>
  <r>
    <x v="1"/>
    <x v="5"/>
    <n v="45333.25"/>
    <n v="7877.3474999999999"/>
    <n v="795.34749999999997"/>
    <n v="287.92500000000001"/>
    <x v="1"/>
    <n v="0.17376533780392978"/>
  </r>
  <r>
    <x v="1"/>
    <x v="5"/>
    <n v="45333.25"/>
    <n v="13174.047500000001"/>
    <n v="2724.0475000000001"/>
    <n v="641.625"/>
    <x v="1"/>
    <n v="0.29060452317007934"/>
  </r>
  <r>
    <x v="1"/>
    <x v="5"/>
    <n v="23805"/>
    <n v="23805"/>
    <n v="21286.435000000001"/>
    <n v="21286.435000000001"/>
    <x v="1"/>
    <n v="1"/>
  </r>
  <r>
    <x v="1"/>
    <x v="5"/>
    <n v="23553.5"/>
    <n v="0"/>
    <n v="0"/>
    <n v="0"/>
    <x v="1"/>
    <n v="0"/>
  </r>
  <r>
    <x v="1"/>
    <x v="5"/>
    <n v="7500"/>
    <n v="0"/>
    <n v="0"/>
    <n v="0"/>
    <x v="1"/>
    <n v="0"/>
  </r>
  <r>
    <x v="1"/>
    <x v="5"/>
    <n v="7500"/>
    <n v="1888.5"/>
    <n v="1774.5"/>
    <n v="199.5"/>
    <x v="1"/>
    <n v="0.25180000000000002"/>
  </r>
  <r>
    <x v="1"/>
    <x v="5"/>
    <n v="7500"/>
    <n v="3989.4225000000001"/>
    <n v="507.42250000000001"/>
    <n v="0"/>
    <x v="1"/>
    <n v="0.53192300000000003"/>
  </r>
  <r>
    <x v="1"/>
    <x v="5"/>
    <n v="7500"/>
    <n v="0"/>
    <n v="0"/>
    <n v="0"/>
    <x v="1"/>
    <n v="0"/>
  </r>
  <r>
    <x v="1"/>
    <x v="5"/>
    <n v="35000"/>
    <n v="0"/>
    <n v="0"/>
    <n v="0"/>
    <x v="1"/>
    <n v="0"/>
  </r>
  <r>
    <x v="1"/>
    <x v="5"/>
    <n v="25000"/>
    <n v="14934.98"/>
    <n v="0"/>
    <n v="0"/>
    <x v="1"/>
    <n v="0.59739920000000002"/>
  </r>
  <r>
    <x v="1"/>
    <x v="5"/>
    <n v="25000"/>
    <n v="25000"/>
    <n v="0"/>
    <n v="0"/>
    <x v="1"/>
    <n v="1"/>
  </r>
  <r>
    <x v="1"/>
    <x v="5"/>
    <n v="3555"/>
    <n v="0"/>
    <n v="0"/>
    <n v="0"/>
    <x v="1"/>
    <n v="0"/>
  </r>
  <r>
    <x v="1"/>
    <x v="5"/>
    <n v="7500"/>
    <n v="1887.5"/>
    <n v="0"/>
    <n v="0"/>
    <x v="1"/>
    <n v="0.25166666666666665"/>
  </r>
  <r>
    <x v="1"/>
    <x v="5"/>
    <n v="147000"/>
    <n v="0"/>
    <n v="0"/>
    <n v="0"/>
    <x v="1"/>
    <n v="0"/>
  </r>
  <r>
    <x v="1"/>
    <x v="5"/>
    <n v="10000"/>
    <n v="9853.5"/>
    <n v="2062.25"/>
    <n v="487.25"/>
    <x v="1"/>
    <n v="0.98534999999999995"/>
  </r>
  <r>
    <x v="1"/>
    <x v="5"/>
    <n v="20749424.5"/>
    <n v="19287430.745000001"/>
    <n v="17360837.967500001"/>
    <n v="17360837.967500001"/>
    <x v="1"/>
    <n v="0.92954051544899474"/>
  </r>
  <r>
    <x v="1"/>
    <x v="5"/>
    <n v="13753036.5"/>
    <n v="15461892.715"/>
    <n v="13472908.32"/>
    <n v="13018044.7775"/>
    <x v="1"/>
    <n v="1.1242530124165671"/>
  </r>
  <r>
    <x v="1"/>
    <x v="5"/>
    <n v="60368232.5"/>
    <n v="65798471.2425"/>
    <n v="62673735.572499998"/>
    <n v="61077853.420000002"/>
    <x v="1"/>
    <n v="1.0899519253358958"/>
  </r>
  <r>
    <x v="1"/>
    <x v="5"/>
    <n v="1828466.75"/>
    <n v="1952144.2649999999"/>
    <n v="1366134.42"/>
    <n v="1309078.3774999999"/>
    <x v="1"/>
    <n v="1.0676400131421586"/>
  </r>
  <r>
    <x v="1"/>
    <x v="5"/>
    <n v="4956500"/>
    <n v="2553679.8325"/>
    <n v="2153559.7374999998"/>
    <n v="2019187.3274999999"/>
    <x v="1"/>
    <n v="0.51521836628669426"/>
  </r>
  <r>
    <x v="1"/>
    <x v="5"/>
    <n v="119215284.75"/>
    <n v="141607329.79750001"/>
    <n v="122195239.8125"/>
    <n v="112504010.715"/>
    <x v="1"/>
    <n v="1.1878286420609334"/>
  </r>
  <r>
    <x v="1"/>
    <x v="5"/>
    <n v="2088437.5"/>
    <n v="1689778.1850000001"/>
    <n v="1585539.1425000001"/>
    <n v="1449450.6875"/>
    <x v="1"/>
    <n v="0.8091112063444561"/>
  </r>
  <r>
    <x v="1"/>
    <x v="5"/>
    <n v="36955500"/>
    <n v="34879373.104999997"/>
    <n v="34866873.104999997"/>
    <n v="34866873.104999997"/>
    <x v="1"/>
    <n v="0.9438208955365236"/>
  </r>
  <r>
    <x v="1"/>
    <x v="5"/>
    <n v="9706783.25"/>
    <n v="9225107.6074999999"/>
    <n v="7380424.6974999998"/>
    <n v="6878374.5674999999"/>
    <x v="1"/>
    <n v="0.95037741854388269"/>
  </r>
  <r>
    <x v="1"/>
    <x v="5"/>
    <n v="100000"/>
    <n v="0"/>
    <n v="0"/>
    <n v="0"/>
    <x v="1"/>
    <n v="0"/>
  </r>
  <r>
    <x v="1"/>
    <x v="5"/>
    <n v="100000"/>
    <n v="21033.5"/>
    <n v="21033.5"/>
    <n v="21033.5"/>
    <x v="1"/>
    <n v="0.21033499999999999"/>
  </r>
  <r>
    <x v="1"/>
    <x v="5"/>
    <n v="633750"/>
    <n v="592149.3175"/>
    <n v="366590.41749999998"/>
    <n v="366590.41749999998"/>
    <x v="1"/>
    <n v="0.93435789743589748"/>
  </r>
  <r>
    <x v="1"/>
    <x v="5"/>
    <n v="300000"/>
    <n v="0"/>
    <n v="0"/>
    <n v="0"/>
    <x v="1"/>
    <n v="0"/>
  </r>
  <r>
    <x v="1"/>
    <x v="5"/>
    <n v="50000"/>
    <n v="50000"/>
    <n v="0"/>
    <n v="0"/>
    <x v="1"/>
    <n v="1"/>
  </r>
  <r>
    <x v="1"/>
    <x v="5"/>
    <n v="250000"/>
    <n v="250000"/>
    <n v="250000"/>
    <n v="250000"/>
    <x v="1"/>
    <n v="1"/>
  </r>
  <r>
    <x v="1"/>
    <x v="5"/>
    <n v="322305"/>
    <n v="322305"/>
    <n v="0"/>
    <n v="0"/>
    <x v="1"/>
    <n v="1"/>
  </r>
  <r>
    <x v="1"/>
    <x v="5"/>
    <n v="266079.75"/>
    <n v="266079.75"/>
    <n v="266079.75"/>
    <n v="80561.55"/>
    <x v="1"/>
    <n v="1"/>
  </r>
  <r>
    <x v="1"/>
    <x v="5"/>
    <n v="6152.5"/>
    <n v="6152.5"/>
    <n v="6152.5"/>
    <n v="6152.5"/>
    <x v="1"/>
    <n v="1"/>
  </r>
  <r>
    <x v="1"/>
    <x v="5"/>
    <n v="25000"/>
    <n v="0"/>
    <n v="0"/>
    <n v="0"/>
    <x v="1"/>
    <n v="0"/>
  </r>
  <r>
    <x v="1"/>
    <x v="5"/>
    <n v="147250"/>
    <n v="147250"/>
    <n v="106533.23"/>
    <n v="89628.772500000006"/>
    <x v="1"/>
    <n v="1"/>
  </r>
  <r>
    <x v="1"/>
    <x v="5"/>
    <n v="20000"/>
    <n v="0"/>
    <n v="0"/>
    <n v="0"/>
    <x v="1"/>
    <n v="0"/>
  </r>
  <r>
    <x v="1"/>
    <x v="5"/>
    <n v="20000"/>
    <n v="0"/>
    <n v="0"/>
    <n v="0"/>
    <x v="1"/>
    <n v="0"/>
  </r>
  <r>
    <x v="1"/>
    <x v="5"/>
    <n v="20000"/>
    <n v="0"/>
    <n v="0"/>
    <n v="0"/>
    <x v="1"/>
    <n v="0"/>
  </r>
  <r>
    <x v="1"/>
    <x v="5"/>
    <n v="20000"/>
    <n v="0"/>
    <n v="0"/>
    <n v="0"/>
    <x v="1"/>
    <n v="0"/>
  </r>
  <r>
    <x v="1"/>
    <x v="5"/>
    <n v="20000"/>
    <n v="0"/>
    <n v="0"/>
    <n v="0"/>
    <x v="1"/>
    <n v="0"/>
  </r>
  <r>
    <x v="1"/>
    <x v="5"/>
    <n v="20000"/>
    <n v="0"/>
    <n v="0"/>
    <n v="0"/>
    <x v="1"/>
    <n v="0"/>
  </r>
  <r>
    <x v="1"/>
    <x v="5"/>
    <n v="10000"/>
    <n v="0"/>
    <n v="0"/>
    <n v="0"/>
    <x v="1"/>
    <n v="0"/>
  </r>
  <r>
    <x v="1"/>
    <x v="5"/>
    <n v="20000"/>
    <n v="0"/>
    <n v="0"/>
    <n v="0"/>
    <x v="1"/>
    <n v="0"/>
  </r>
  <r>
    <x v="1"/>
    <x v="5"/>
    <n v="12000"/>
    <n v="12000"/>
    <n v="12000"/>
    <n v="12000"/>
    <x v="1"/>
    <n v="1"/>
  </r>
  <r>
    <x v="1"/>
    <x v="5"/>
    <n v="61152.5"/>
    <n v="0"/>
    <n v="0"/>
    <n v="0"/>
    <x v="1"/>
    <n v="0"/>
  </r>
  <r>
    <x v="1"/>
    <x v="5"/>
    <n v="56225.25"/>
    <n v="56225.25"/>
    <n v="56225.25"/>
    <n v="56225.25"/>
    <x v="1"/>
    <n v="1"/>
  </r>
  <r>
    <x v="1"/>
    <x v="5"/>
    <n v="25000"/>
    <n v="25000"/>
    <n v="25000"/>
    <n v="25000"/>
    <x v="1"/>
    <n v="1"/>
  </r>
  <r>
    <x v="1"/>
    <x v="5"/>
    <n v="50000"/>
    <n v="0"/>
    <n v="0"/>
    <n v="0"/>
    <x v="1"/>
    <n v="0"/>
  </r>
  <r>
    <x v="1"/>
    <x v="5"/>
    <n v="50000"/>
    <n v="0"/>
    <n v="0"/>
    <n v="0"/>
    <x v="1"/>
    <n v="0"/>
  </r>
  <r>
    <x v="1"/>
    <x v="5"/>
    <n v="25889017"/>
    <n v="19248838.8675"/>
    <n v="15645512.619999999"/>
    <n v="13224149.615"/>
    <x v="1"/>
    <n v="0.74351370187211052"/>
  </r>
  <r>
    <x v="1"/>
    <x v="5"/>
    <n v="2985125"/>
    <n v="2663068.7875000001"/>
    <n v="2443558.6074999999"/>
    <n v="1982872.2975000001"/>
    <x v="1"/>
    <n v="0.89211298940580386"/>
  </r>
  <r>
    <x v="1"/>
    <x v="5"/>
    <n v="5051613.5"/>
    <n v="4407586.7450000001"/>
    <n v="4032911.8075000001"/>
    <n v="3485255.8174999999"/>
    <x v="1"/>
    <n v="0.87251068297287593"/>
  </r>
  <r>
    <x v="1"/>
    <x v="5"/>
    <n v="80444100"/>
    <n v="60906171.482500002"/>
    <n v="57591302.297499999"/>
    <n v="57587532.064999998"/>
    <x v="1"/>
    <n v="0.75712415804888122"/>
  </r>
  <r>
    <x v="1"/>
    <x v="5"/>
    <n v="2378000"/>
    <n v="10074405.737500001"/>
    <n v="10038693.875"/>
    <n v="10038693.875"/>
    <x v="1"/>
    <n v="4.2365036743061397"/>
  </r>
  <r>
    <x v="1"/>
    <x v="5"/>
    <n v="16250"/>
    <n v="0"/>
    <n v="0"/>
    <n v="0"/>
    <x v="1"/>
    <n v="0"/>
  </r>
  <r>
    <x v="1"/>
    <x v="5"/>
    <n v="20000"/>
    <n v="0"/>
    <n v="0"/>
    <n v="0"/>
    <x v="1"/>
    <n v="0"/>
  </r>
  <r>
    <x v="1"/>
    <x v="5"/>
    <n v="80576.25"/>
    <n v="0"/>
    <n v="0"/>
    <n v="0"/>
    <x v="1"/>
    <n v="0"/>
  </r>
  <r>
    <x v="1"/>
    <x v="5"/>
    <n v="25000"/>
    <n v="24951.53"/>
    <n v="7505.6750000000002"/>
    <n v="5069.4250000000002"/>
    <x v="1"/>
    <n v="0.99806119999999998"/>
  </r>
  <r>
    <x v="1"/>
    <x v="5"/>
    <n v="25000"/>
    <n v="24817.037499999999"/>
    <n v="7606.5375000000004"/>
    <n v="5069.4250000000002"/>
    <x v="1"/>
    <n v="0.99268149999999999"/>
  </r>
  <r>
    <x v="1"/>
    <x v="5"/>
    <n v="80576.25"/>
    <n v="0"/>
    <n v="0"/>
    <n v="0"/>
    <x v="1"/>
    <n v="0"/>
  </r>
  <r>
    <x v="1"/>
    <x v="5"/>
    <n v="37500"/>
    <n v="0"/>
    <n v="0"/>
    <n v="0"/>
    <x v="1"/>
    <n v="0"/>
  </r>
  <r>
    <x v="1"/>
    <x v="5"/>
    <n v="307663253.5"/>
    <n v="375192176.87"/>
    <n v="338795729.125"/>
    <n v="322716983.685"/>
    <x v="1"/>
    <n v="1.2194897265168523"/>
  </r>
  <r>
    <x v="1"/>
    <x v="5"/>
    <n v="86783550.5"/>
    <n v="89861130.629999995"/>
    <n v="87713164.557500005"/>
    <n v="86360078.3125"/>
    <x v="1"/>
    <n v="1.0354627128328886"/>
  </r>
  <r>
    <x v="1"/>
    <x v="5"/>
    <n v="39990879.25"/>
    <n v="45316441.68"/>
    <n v="42491966.68"/>
    <n v="42294806.017499998"/>
    <x v="1"/>
    <n v="1.1331694258760265"/>
  </r>
  <r>
    <x v="1"/>
    <x v="5"/>
    <n v="50010750"/>
    <n v="12001831.3125"/>
    <n v="11833998.4275"/>
    <n v="11554165.5425"/>
    <x v="1"/>
    <n v="0.23998502946866423"/>
  </r>
  <r>
    <x v="1"/>
    <x v="5"/>
    <n v="37500"/>
    <n v="37500"/>
    <n v="37500"/>
    <n v="37500"/>
    <x v="1"/>
    <n v="1"/>
  </r>
  <r>
    <x v="1"/>
    <x v="5"/>
    <n v="50000"/>
    <n v="50000"/>
    <n v="50000"/>
    <n v="50000"/>
    <x v="1"/>
    <n v="1"/>
  </r>
  <r>
    <x v="1"/>
    <x v="5"/>
    <n v="161152.5"/>
    <n v="161152.5"/>
    <n v="161152.5"/>
    <n v="161152.5"/>
    <x v="1"/>
    <n v="1"/>
  </r>
  <r>
    <x v="1"/>
    <x v="5"/>
    <n v="80576.25"/>
    <n v="80576.25"/>
    <n v="80576.25"/>
    <n v="80576.25"/>
    <x v="1"/>
    <n v="1"/>
  </r>
  <r>
    <x v="1"/>
    <x v="5"/>
    <n v="75000"/>
    <n v="75000"/>
    <n v="75000"/>
    <n v="75000"/>
    <x v="1"/>
    <n v="1"/>
  </r>
  <r>
    <x v="1"/>
    <x v="5"/>
    <n v="75000"/>
    <n v="75000"/>
    <n v="75000"/>
    <n v="75000"/>
    <x v="1"/>
    <n v="1"/>
  </r>
  <r>
    <x v="1"/>
    <x v="5"/>
    <n v="11000"/>
    <n v="11000"/>
    <n v="11000"/>
    <n v="11000"/>
    <x v="1"/>
    <n v="1"/>
  </r>
  <r>
    <x v="1"/>
    <x v="5"/>
    <n v="15000"/>
    <n v="15000"/>
    <n v="15000"/>
    <n v="15000"/>
    <x v="1"/>
    <n v="1"/>
  </r>
  <r>
    <x v="1"/>
    <x v="5"/>
    <n v="15000"/>
    <n v="15000"/>
    <n v="15000"/>
    <n v="15000"/>
    <x v="1"/>
    <n v="1"/>
  </r>
  <r>
    <x v="1"/>
    <x v="5"/>
    <n v="15000"/>
    <n v="15000"/>
    <n v="15000"/>
    <n v="15000"/>
    <x v="1"/>
    <n v="1"/>
  </r>
  <r>
    <x v="1"/>
    <x v="5"/>
    <n v="15000"/>
    <n v="15000"/>
    <n v="15000"/>
    <n v="15000"/>
    <x v="1"/>
    <n v="1"/>
  </r>
  <r>
    <x v="1"/>
    <x v="5"/>
    <n v="15000"/>
    <n v="15000"/>
    <n v="15000"/>
    <n v="15000"/>
    <x v="1"/>
    <n v="1"/>
  </r>
  <r>
    <x v="1"/>
    <x v="5"/>
    <n v="36305"/>
    <n v="36305"/>
    <n v="36305"/>
    <n v="36305"/>
    <x v="1"/>
    <n v="1"/>
  </r>
  <r>
    <x v="1"/>
    <x v="5"/>
    <n v="37500"/>
    <n v="37500"/>
    <n v="37500"/>
    <n v="37500"/>
    <x v="1"/>
    <n v="1"/>
  </r>
  <r>
    <x v="1"/>
    <x v="5"/>
    <n v="37500"/>
    <n v="37500"/>
    <n v="37500"/>
    <n v="37500"/>
    <x v="1"/>
    <n v="1"/>
  </r>
  <r>
    <x v="1"/>
    <x v="5"/>
    <n v="10000"/>
    <n v="10000"/>
    <n v="10000"/>
    <n v="10000"/>
    <x v="1"/>
    <n v="1"/>
  </r>
  <r>
    <x v="1"/>
    <x v="5"/>
    <n v="25000"/>
    <n v="25000"/>
    <n v="25000"/>
    <n v="25000"/>
    <x v="1"/>
    <n v="1"/>
  </r>
  <r>
    <x v="1"/>
    <x v="5"/>
    <n v="127500"/>
    <n v="127500"/>
    <n v="127500"/>
    <n v="127500"/>
    <x v="1"/>
    <n v="1"/>
  </r>
  <r>
    <x v="1"/>
    <x v="5"/>
    <n v="135000"/>
    <n v="135000"/>
    <n v="135000"/>
    <n v="135000"/>
    <x v="1"/>
    <n v="1"/>
  </r>
  <r>
    <x v="1"/>
    <x v="5"/>
    <n v="272305"/>
    <n v="272305"/>
    <n v="272305"/>
    <n v="272305"/>
    <x v="1"/>
    <n v="1"/>
  </r>
  <r>
    <x v="1"/>
    <x v="5"/>
    <n v="62500"/>
    <n v="62500"/>
    <n v="62500"/>
    <n v="62500"/>
    <x v="1"/>
    <n v="1"/>
  </r>
  <r>
    <x v="1"/>
    <x v="5"/>
    <n v="37500"/>
    <n v="37500"/>
    <n v="37500"/>
    <n v="37500"/>
    <x v="1"/>
    <n v="1"/>
  </r>
  <r>
    <x v="1"/>
    <x v="5"/>
    <n v="50000"/>
    <n v="50000"/>
    <n v="50000"/>
    <n v="50000"/>
    <x v="1"/>
    <n v="1"/>
  </r>
  <r>
    <x v="1"/>
    <x v="5"/>
    <n v="37250"/>
    <n v="37250"/>
    <n v="37250"/>
    <n v="37250"/>
    <x v="1"/>
    <n v="1"/>
  </r>
  <r>
    <x v="1"/>
    <x v="5"/>
    <n v="12500"/>
    <n v="12500"/>
    <n v="12500"/>
    <n v="12500"/>
    <x v="1"/>
    <n v="1"/>
  </r>
  <r>
    <x v="1"/>
    <x v="5"/>
    <n v="12500"/>
    <n v="12500"/>
    <n v="12500"/>
    <n v="12500"/>
    <x v="1"/>
    <n v="1"/>
  </r>
  <r>
    <x v="1"/>
    <x v="5"/>
    <n v="12500"/>
    <n v="12500"/>
    <n v="12500"/>
    <n v="12500"/>
    <x v="1"/>
    <n v="1"/>
  </r>
  <r>
    <x v="1"/>
    <x v="5"/>
    <n v="12500"/>
    <n v="12500"/>
    <n v="12500"/>
    <n v="12500"/>
    <x v="1"/>
    <n v="1"/>
  </r>
  <r>
    <x v="1"/>
    <x v="5"/>
    <n v="50000"/>
    <n v="50000"/>
    <n v="50000"/>
    <n v="50000"/>
    <x v="1"/>
    <n v="1"/>
  </r>
  <r>
    <x v="1"/>
    <x v="5"/>
    <n v="50152.5"/>
    <n v="50152.5"/>
    <n v="50152.5"/>
    <n v="50152.5"/>
    <x v="1"/>
    <n v="1"/>
  </r>
  <r>
    <x v="1"/>
    <x v="5"/>
    <n v="50000"/>
    <n v="50000"/>
    <n v="50000"/>
    <n v="50000"/>
    <x v="1"/>
    <n v="1"/>
  </r>
  <r>
    <x v="1"/>
    <x v="5"/>
    <n v="7500"/>
    <n v="7500"/>
    <n v="7500"/>
    <n v="7500"/>
    <x v="1"/>
    <n v="1"/>
  </r>
  <r>
    <x v="1"/>
    <x v="5"/>
    <n v="37500"/>
    <n v="37500"/>
    <n v="37500"/>
    <n v="37500"/>
    <x v="1"/>
    <n v="1"/>
  </r>
  <r>
    <x v="1"/>
    <x v="5"/>
    <n v="25000"/>
    <n v="25000"/>
    <n v="25000"/>
    <n v="25000"/>
    <x v="1"/>
    <n v="1"/>
  </r>
  <r>
    <x v="1"/>
    <x v="5"/>
    <n v="12500"/>
    <n v="12500"/>
    <n v="12500"/>
    <n v="12500"/>
    <x v="1"/>
    <n v="1"/>
  </r>
  <r>
    <x v="1"/>
    <x v="5"/>
    <n v="12500"/>
    <n v="12500"/>
    <n v="12500"/>
    <n v="12500"/>
    <x v="1"/>
    <n v="1"/>
  </r>
  <r>
    <x v="1"/>
    <x v="5"/>
    <n v="12500"/>
    <n v="12500"/>
    <n v="12500"/>
    <n v="12500"/>
    <x v="1"/>
    <n v="1"/>
  </r>
  <r>
    <x v="1"/>
    <x v="5"/>
    <n v="11000"/>
    <n v="11000"/>
    <n v="11000"/>
    <n v="11000"/>
    <x v="1"/>
    <n v="1"/>
  </r>
  <r>
    <x v="1"/>
    <x v="5"/>
    <n v="62500"/>
    <n v="62500"/>
    <n v="62500"/>
    <n v="62500"/>
    <x v="1"/>
    <n v="1"/>
  </r>
  <r>
    <x v="1"/>
    <x v="5"/>
    <n v="62500"/>
    <n v="62500"/>
    <n v="62500"/>
    <n v="62500"/>
    <x v="1"/>
    <n v="1"/>
  </r>
  <r>
    <x v="1"/>
    <x v="5"/>
    <n v="62500"/>
    <n v="62500"/>
    <n v="62500"/>
    <n v="62500"/>
    <x v="1"/>
    <n v="1"/>
  </r>
  <r>
    <x v="1"/>
    <x v="5"/>
    <n v="15000"/>
    <n v="15000"/>
    <n v="15000"/>
    <n v="15000"/>
    <x v="1"/>
    <n v="1"/>
  </r>
  <r>
    <x v="1"/>
    <x v="5"/>
    <n v="15000"/>
    <n v="15000"/>
    <n v="15000"/>
    <n v="15000"/>
    <x v="1"/>
    <n v="1"/>
  </r>
  <r>
    <x v="1"/>
    <x v="5"/>
    <n v="15000"/>
    <n v="15000"/>
    <n v="15000"/>
    <n v="15000"/>
    <x v="1"/>
    <n v="1"/>
  </r>
  <r>
    <x v="1"/>
    <x v="5"/>
    <n v="37500"/>
    <n v="37500"/>
    <n v="37500"/>
    <n v="37500"/>
    <x v="1"/>
    <n v="1"/>
  </r>
  <r>
    <x v="1"/>
    <x v="5"/>
    <n v="37500"/>
    <n v="37500"/>
    <n v="37500"/>
    <n v="37500"/>
    <x v="1"/>
    <n v="1"/>
  </r>
  <r>
    <x v="1"/>
    <x v="5"/>
    <n v="50000"/>
    <n v="50000"/>
    <n v="50000"/>
    <n v="50000"/>
    <x v="1"/>
    <n v="1"/>
  </r>
  <r>
    <x v="1"/>
    <x v="5"/>
    <n v="25000"/>
    <n v="25000"/>
    <n v="25000"/>
    <n v="25000"/>
    <x v="1"/>
    <n v="1"/>
  </r>
  <r>
    <x v="1"/>
    <x v="5"/>
    <n v="25000"/>
    <n v="25000"/>
    <n v="25000"/>
    <n v="25000"/>
    <x v="1"/>
    <n v="1"/>
  </r>
  <r>
    <x v="1"/>
    <x v="5"/>
    <n v="25000"/>
    <n v="25000"/>
    <n v="25000"/>
    <n v="25000"/>
    <x v="1"/>
    <n v="1"/>
  </r>
  <r>
    <x v="1"/>
    <x v="5"/>
    <n v="72250"/>
    <n v="72250"/>
    <n v="72250"/>
    <n v="72250"/>
    <x v="1"/>
    <n v="1"/>
  </r>
  <r>
    <x v="1"/>
    <x v="5"/>
    <n v="37500"/>
    <n v="37500"/>
    <n v="37500"/>
    <n v="37500"/>
    <x v="1"/>
    <n v="1"/>
  </r>
  <r>
    <x v="1"/>
    <x v="5"/>
    <n v="25000"/>
    <n v="25000"/>
    <n v="25000"/>
    <n v="25000"/>
    <x v="1"/>
    <n v="1"/>
  </r>
  <r>
    <x v="1"/>
    <x v="5"/>
    <n v="25000"/>
    <n v="25000"/>
    <n v="25000"/>
    <n v="25000"/>
    <x v="1"/>
    <n v="1"/>
  </r>
  <r>
    <x v="1"/>
    <x v="5"/>
    <n v="25000"/>
    <n v="25000"/>
    <n v="25000"/>
    <n v="25000"/>
    <x v="1"/>
    <n v="1"/>
  </r>
  <r>
    <x v="1"/>
    <x v="5"/>
    <n v="135000"/>
    <n v="135000"/>
    <n v="135000"/>
    <n v="135000"/>
    <x v="1"/>
    <n v="1"/>
  </r>
  <r>
    <x v="1"/>
    <x v="5"/>
    <n v="161000"/>
    <n v="161000"/>
    <n v="161000"/>
    <n v="161000"/>
    <x v="1"/>
    <n v="1"/>
  </r>
  <r>
    <x v="1"/>
    <x v="5"/>
    <n v="80500"/>
    <n v="80500"/>
    <n v="80500"/>
    <n v="80500"/>
    <x v="1"/>
    <n v="1"/>
  </r>
  <r>
    <x v="1"/>
    <x v="5"/>
    <n v="23750"/>
    <n v="23750"/>
    <n v="23750"/>
    <n v="23750"/>
    <x v="1"/>
    <n v="1"/>
  </r>
  <r>
    <x v="1"/>
    <x v="5"/>
    <n v="12500"/>
    <n v="12500"/>
    <n v="12500"/>
    <n v="12500"/>
    <x v="1"/>
    <n v="1"/>
  </r>
  <r>
    <x v="1"/>
    <x v="5"/>
    <n v="12500"/>
    <n v="12500"/>
    <n v="12500"/>
    <n v="12500"/>
    <x v="1"/>
    <n v="1"/>
  </r>
  <r>
    <x v="1"/>
    <x v="5"/>
    <n v="37500"/>
    <n v="37500"/>
    <n v="37500"/>
    <n v="37500"/>
    <x v="1"/>
    <n v="1"/>
  </r>
  <r>
    <x v="1"/>
    <x v="5"/>
    <n v="161152.5"/>
    <n v="161152.5"/>
    <n v="161152.5"/>
    <n v="161152.5"/>
    <x v="1"/>
    <n v="1"/>
  </r>
  <r>
    <x v="1"/>
    <x v="5"/>
    <n v="39500"/>
    <n v="39500"/>
    <n v="39500"/>
    <n v="39500"/>
    <x v="1"/>
    <n v="1"/>
  </r>
  <r>
    <x v="1"/>
    <x v="5"/>
    <n v="30250"/>
    <n v="30250"/>
    <n v="30250"/>
    <n v="30250"/>
    <x v="1"/>
    <n v="1"/>
  </r>
  <r>
    <x v="1"/>
    <x v="5"/>
    <n v="37500"/>
    <n v="37500"/>
    <n v="37500"/>
    <n v="37500"/>
    <x v="1"/>
    <n v="1"/>
  </r>
  <r>
    <x v="1"/>
    <x v="5"/>
    <n v="10000"/>
    <n v="10000"/>
    <n v="10000"/>
    <n v="10000"/>
    <x v="1"/>
    <n v="1"/>
  </r>
  <r>
    <x v="1"/>
    <x v="5"/>
    <n v="50000"/>
    <n v="50000"/>
    <n v="50000"/>
    <n v="50000"/>
    <x v="1"/>
    <n v="1"/>
  </r>
  <r>
    <x v="1"/>
    <x v="5"/>
    <n v="38500"/>
    <n v="38500"/>
    <n v="38500"/>
    <n v="38500"/>
    <x v="1"/>
    <n v="1"/>
  </r>
  <r>
    <x v="1"/>
    <x v="5"/>
    <n v="37500"/>
    <n v="37500"/>
    <n v="37500"/>
    <n v="37500"/>
    <x v="1"/>
    <n v="1"/>
  </r>
  <r>
    <x v="1"/>
    <x v="5"/>
    <n v="62500"/>
    <n v="62500"/>
    <n v="62500"/>
    <n v="62500"/>
    <x v="1"/>
    <n v="1"/>
  </r>
  <r>
    <x v="1"/>
    <x v="5"/>
    <n v="29671578"/>
    <n v="30447478.640000001"/>
    <n v="27666491.397500001"/>
    <n v="27666491.397500001"/>
    <x v="1"/>
    <n v="1.026149625072182"/>
  </r>
  <r>
    <x v="1"/>
    <x v="5"/>
    <n v="250000"/>
    <n v="21321.5975"/>
    <n v="21321.5975"/>
    <n v="21321.5975"/>
    <x v="1"/>
    <n v="8.5286390000000004E-2"/>
  </r>
  <r>
    <x v="1"/>
    <x v="5"/>
    <n v="8654417.5"/>
    <n v="8041767.3099999996"/>
    <n v="6201962.2050000001"/>
    <n v="5192772.0525000002"/>
    <x v="1"/>
    <n v="0.92920954067676997"/>
  </r>
  <r>
    <x v="1"/>
    <x v="5"/>
    <n v="10000"/>
    <n v="0"/>
    <n v="0"/>
    <n v="0"/>
    <x v="1"/>
    <n v="0"/>
  </r>
  <r>
    <x v="1"/>
    <x v="5"/>
    <n v="50000"/>
    <n v="0"/>
    <n v="0"/>
    <n v="0"/>
    <x v="1"/>
    <n v="0"/>
  </r>
  <r>
    <x v="1"/>
    <x v="5"/>
    <n v="10000"/>
    <n v="0"/>
    <n v="0"/>
    <n v="0"/>
    <x v="1"/>
    <n v="0"/>
  </r>
  <r>
    <x v="1"/>
    <x v="5"/>
    <n v="8750"/>
    <n v="0"/>
    <n v="0"/>
    <n v="0"/>
    <x v="1"/>
    <n v="0"/>
  </r>
  <r>
    <x v="1"/>
    <x v="5"/>
    <n v="7500"/>
    <n v="0"/>
    <n v="0"/>
    <n v="0"/>
    <x v="1"/>
    <n v="0"/>
  </r>
  <r>
    <x v="1"/>
    <x v="5"/>
    <n v="108798"/>
    <n v="94783.294999999998"/>
    <n v="68836.472500000003"/>
    <n v="54350.462500000001"/>
    <x v="1"/>
    <n v="0.8711860052574496"/>
  </r>
  <r>
    <x v="1"/>
    <x v="5"/>
    <n v="30000"/>
    <n v="0"/>
    <n v="0"/>
    <n v="0"/>
    <x v="1"/>
    <n v="0"/>
  </r>
  <r>
    <x v="1"/>
    <x v="5"/>
    <n v="153555"/>
    <n v="82603.73"/>
    <n v="14587.165000000001"/>
    <n v="14587.165000000001"/>
    <x v="1"/>
    <n v="0.53794230080427208"/>
  </r>
  <r>
    <x v="1"/>
    <x v="5"/>
    <n v="10000"/>
    <n v="0"/>
    <n v="0"/>
    <n v="0"/>
    <x v="1"/>
    <n v="0"/>
  </r>
  <r>
    <x v="1"/>
    <x v="5"/>
    <n v="10000"/>
    <n v="4999.335"/>
    <n v="4999.335"/>
    <n v="4999.335"/>
    <x v="1"/>
    <n v="0.49993350000000003"/>
  </r>
  <r>
    <x v="1"/>
    <x v="5"/>
    <n v="40000"/>
    <n v="0"/>
    <n v="0"/>
    <n v="0"/>
    <x v="1"/>
    <n v="0"/>
  </r>
  <r>
    <x v="1"/>
    <x v="5"/>
    <n v="40000"/>
    <n v="0"/>
    <n v="0"/>
    <n v="0"/>
    <x v="1"/>
    <n v="0"/>
  </r>
  <r>
    <x v="1"/>
    <x v="5"/>
    <n v="6250"/>
    <n v="0"/>
    <n v="0"/>
    <n v="0"/>
    <x v="1"/>
    <n v="0"/>
  </r>
  <r>
    <x v="1"/>
    <x v="5"/>
    <n v="894830.5"/>
    <n v="738435.3125"/>
    <n v="635407.3125"/>
    <n v="567463.79"/>
    <x v="1"/>
    <n v="0.82522367364545579"/>
  </r>
  <r>
    <x v="1"/>
    <x v="5"/>
    <n v="4434369.5"/>
    <n v="3563180.3174999999"/>
    <n v="2986931.3275000001"/>
    <n v="2647023.1225000001"/>
    <x v="1"/>
    <n v="0.80353707951040165"/>
  </r>
  <r>
    <x v="1"/>
    <x v="5"/>
    <n v="26550650"/>
    <n v="27632663.837499999"/>
    <n v="27628539.289999999"/>
    <n v="27628519.227499999"/>
    <x v="1"/>
    <n v="1.040752819140021"/>
  </r>
  <r>
    <x v="1"/>
    <x v="5"/>
    <n v="3154249.75"/>
    <n v="2753325.46"/>
    <n v="2221329.4474999998"/>
    <n v="2019046.5549999999"/>
    <x v="1"/>
    <n v="0.87289392984813585"/>
  </r>
  <r>
    <x v="1"/>
    <x v="5"/>
    <n v="927865.5"/>
    <n v="648525.03749999998"/>
    <n v="570541.54749999999"/>
    <n v="496934.92"/>
    <x v="1"/>
    <n v="0.69894293677262487"/>
  </r>
  <r>
    <x v="1"/>
    <x v="5"/>
    <n v="461750"/>
    <n v="3471591.5750000002"/>
    <n v="3471591.5750000002"/>
    <n v="3471591.5750000002"/>
    <x v="1"/>
    <n v="7.5183358419057935"/>
  </r>
  <r>
    <x v="1"/>
    <x v="5"/>
    <n v="75000"/>
    <n v="0"/>
    <n v="0"/>
    <n v="0"/>
    <x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6" cacheId="65" applyNumberFormats="0" applyBorderFormats="0" applyFontFormats="0" applyPatternFormats="0" applyAlignmentFormats="0" applyWidthHeightFormats="1" dataCaption="Dados" updatedVersion="7" showDrill="0" showMemberPropertyTips="0" useAutoFormatting="1" colGrandTotals="0" itemPrintTitles="1" createdVersion="1" indent="0" showHeaders="0" compact="0" compactData="0" gridDropZones="1">
  <location ref="A3:T20" firstHeaderRow="1" firstDataRow="3" firstDataCol="2"/>
  <pivotFields count="8">
    <pivotField axis="axisRow" compact="0" showAll="0" insertBlankRow="1" includeNewItemsInFilter="1">
      <items count="4">
        <item x="0"/>
        <item x="2"/>
        <item x="1"/>
        <item t="default"/>
      </items>
    </pivotField>
    <pivotField axis="axisRow" compact="0" outline="0" showAll="0" includeNewItemsInFilter="1">
      <items count="9">
        <item x="6"/>
        <item x="0"/>
        <item x="1"/>
        <item x="7"/>
        <item x="2"/>
        <item x="3"/>
        <item x="4"/>
        <item x="5"/>
        <item t="default"/>
      </items>
    </pivotField>
    <pivotField dataField="1" compact="0" numFmtId="2" outline="0" showAll="0" includeNewItemsInFilter="1"/>
    <pivotField dataField="1" compact="0" numFmtId="2" outline="0" showAll="0" includeNewItemsInFilter="1"/>
    <pivotField compact="0" numFmtId="2" outline="0" showAll="0" includeNewItemsInFilter="1"/>
    <pivotField compact="0" numFmtId="2" outline="0" showAll="0" includeNewItemsInFilter="1"/>
    <pivotField axis="axisCol" compact="0" outline="0" showAll="0" includeNewItemsInFilter="1">
      <items count="10">
        <item x="7"/>
        <item x="6"/>
        <item x="5"/>
        <item x="4"/>
        <item x="3"/>
        <item x="2"/>
        <item x="1"/>
        <item x="8"/>
        <item x="0"/>
        <item t="default"/>
      </items>
    </pivotField>
    <pivotField compact="0" outline="0" showAll="0" includeNewItemsInFilter="1"/>
  </pivotFields>
  <rowFields count="2">
    <field x="0"/>
    <field x="1"/>
  </rowFields>
  <rowItems count="15">
    <i>
      <x/>
    </i>
    <i r="1">
      <x v="1"/>
    </i>
    <i r="1">
      <x v="2"/>
    </i>
    <i r="1">
      <x v="4"/>
    </i>
    <i t="blank">
      <x/>
    </i>
    <i>
      <x v="1"/>
    </i>
    <i r="1">
      <x/>
    </i>
    <i r="1">
      <x v="3"/>
    </i>
    <i t="blank">
      <x v="1"/>
    </i>
    <i>
      <x v="2"/>
    </i>
    <i r="1">
      <x v="5"/>
    </i>
    <i r="1">
      <x v="6"/>
    </i>
    <i r="1">
      <x v="7"/>
    </i>
    <i t="blank">
      <x v="2"/>
    </i>
    <i t="grand">
      <x/>
    </i>
  </rowItems>
  <colFields count="2">
    <field x="6"/>
    <field x="-2"/>
  </colFields>
  <colItems count="18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>
      <x v="7"/>
      <x/>
    </i>
    <i r="1" i="1">
      <x v="1"/>
    </i>
    <i>
      <x v="8"/>
      <x/>
    </i>
    <i r="1" i="1">
      <x v="1"/>
    </i>
  </colItems>
  <dataFields count="2">
    <dataField name="Valor orçado" fld="2" baseField="1" baseItem="1"/>
    <dataField name="Valor Empenhado" fld="3" baseField="1" baseItem="1"/>
  </dataFields>
  <formats count="1">
    <format dxfId="9">
      <pivotArea outline="0" fieldPosition="0"/>
    </format>
  </formats>
  <pivotTableStyleInfo name="PivotStyleLight1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ela_base" displayName="Tabela_base" ref="A1:H3805" totalsRowShown="0" dataDxfId="0">
  <autoFilter ref="A1:H3805"/>
  <tableColumns count="8">
    <tableColumn id="1" name="eixo_normalizado" dataDxfId="8"/>
    <tableColumn id="2" name="sub_eixo_normalizado" dataDxfId="7"/>
    <tableColumn id="3" name="valor_orcado" dataDxfId="6" dataCellStyle="Moeda"/>
    <tableColumn id="4" name="valor_empenhado" dataDxfId="5" dataCellStyle="Moeda"/>
    <tableColumn id="5" name="valor_liquidado" dataDxfId="4" dataCellStyle="Moeda"/>
    <tableColumn id="6" name="valor_pago" dataDxfId="3" dataCellStyle="Moeda"/>
    <tableColumn id="7" name="exercicio" dataDxfId="2"/>
    <tableColumn id="8" name="e/o" dataDxfId="1">
      <calculatedColumnFormula>IF(OR(ISNA($D2),ISNA($C2),$C2=0),0,$D2/$C2)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4:T22"/>
  <sheetViews>
    <sheetView workbookViewId="0">
      <selection activeCell="D21" sqref="D21"/>
    </sheetView>
  </sheetViews>
  <sheetFormatPr defaultRowHeight="13.2" x14ac:dyDescent="0.25"/>
  <cols>
    <col min="1" max="1" width="46.109375" bestFit="1" customWidth="1"/>
    <col min="2" max="2" width="22.109375" bestFit="1" customWidth="1"/>
    <col min="3" max="20" width="19.6640625" bestFit="1" customWidth="1"/>
    <col min="21" max="21" width="20.6640625" bestFit="1" customWidth="1"/>
    <col min="22" max="22" width="21.6640625" bestFit="1" customWidth="1"/>
  </cols>
  <sheetData>
    <row r="4" spans="1:20" x14ac:dyDescent="0.25">
      <c r="C4" t="s">
        <v>25</v>
      </c>
      <c r="E4" t="s">
        <v>24</v>
      </c>
      <c r="G4" t="s">
        <v>23</v>
      </c>
      <c r="I4" t="s">
        <v>22</v>
      </c>
      <c r="K4" t="s">
        <v>21</v>
      </c>
      <c r="M4" t="s">
        <v>20</v>
      </c>
      <c r="O4" t="s">
        <v>18</v>
      </c>
      <c r="Q4" t="s">
        <v>26</v>
      </c>
      <c r="S4" t="s">
        <v>9</v>
      </c>
    </row>
    <row r="5" spans="1:20" x14ac:dyDescent="0.25">
      <c r="C5" t="s">
        <v>33</v>
      </c>
      <c r="D5" t="s">
        <v>34</v>
      </c>
      <c r="E5" t="s">
        <v>33</v>
      </c>
      <c r="F5" t="s">
        <v>34</v>
      </c>
      <c r="G5" t="s">
        <v>33</v>
      </c>
      <c r="H5" t="s">
        <v>34</v>
      </c>
      <c r="I5" t="s">
        <v>33</v>
      </c>
      <c r="J5" t="s">
        <v>34</v>
      </c>
      <c r="K5" t="s">
        <v>33</v>
      </c>
      <c r="L5" t="s">
        <v>34</v>
      </c>
      <c r="M5" t="s">
        <v>33</v>
      </c>
      <c r="N5" t="s">
        <v>34</v>
      </c>
      <c r="O5" t="s">
        <v>33</v>
      </c>
      <c r="P5" t="s">
        <v>34</v>
      </c>
      <c r="Q5" t="s">
        <v>33</v>
      </c>
      <c r="R5" t="s">
        <v>34</v>
      </c>
      <c r="S5" t="s">
        <v>33</v>
      </c>
      <c r="T5" t="s">
        <v>34</v>
      </c>
    </row>
    <row r="6" spans="1:20" x14ac:dyDescent="0.25">
      <c r="A6" t="s">
        <v>7</v>
      </c>
      <c r="C6" s="3">
        <v>1869890320</v>
      </c>
      <c r="D6" s="3">
        <v>1561444858.1000001</v>
      </c>
      <c r="E6" s="3">
        <v>1865406205</v>
      </c>
      <c r="F6" s="3">
        <v>1815912498.9145002</v>
      </c>
      <c r="G6" s="3">
        <v>1872768474</v>
      </c>
      <c r="H6" s="3">
        <v>1721497892.2249999</v>
      </c>
      <c r="I6" s="3">
        <v>2042373422</v>
      </c>
      <c r="J6" s="3">
        <v>2058329395.9299998</v>
      </c>
      <c r="K6" s="3">
        <v>2214985462</v>
      </c>
      <c r="L6" s="3">
        <v>2075394841.8664997</v>
      </c>
      <c r="M6" s="3">
        <v>2371821926.1999998</v>
      </c>
      <c r="N6" s="3">
        <v>2487385844.8204994</v>
      </c>
      <c r="O6" s="3">
        <v>2684047369.3000002</v>
      </c>
      <c r="P6" s="3">
        <v>3085471208.4594998</v>
      </c>
      <c r="Q6" s="3">
        <v>3021318545</v>
      </c>
      <c r="R6" s="3">
        <v>3222902067.789999</v>
      </c>
      <c r="S6" s="3">
        <v>3457346272.5</v>
      </c>
      <c r="T6" s="3">
        <v>3690677023.7425003</v>
      </c>
    </row>
    <row r="7" spans="1:20" x14ac:dyDescent="0.25">
      <c r="B7" t="s">
        <v>8</v>
      </c>
      <c r="C7" s="3">
        <v>28266165</v>
      </c>
      <c r="D7" s="3">
        <v>14763945.43</v>
      </c>
      <c r="E7" s="3">
        <v>28416079</v>
      </c>
      <c r="F7" s="3">
        <v>14072266.757000001</v>
      </c>
      <c r="G7" s="3">
        <v>22261726</v>
      </c>
      <c r="H7" s="3">
        <v>15399426.539999999</v>
      </c>
      <c r="I7" s="3">
        <v>26893108</v>
      </c>
      <c r="J7" s="3">
        <v>19261039.48</v>
      </c>
      <c r="K7" s="3">
        <v>30299957</v>
      </c>
      <c r="L7" s="3">
        <v>16232096.187500002</v>
      </c>
      <c r="M7" s="3">
        <v>30192748.75</v>
      </c>
      <c r="N7" s="3">
        <v>18359361.662500001</v>
      </c>
      <c r="O7" s="3">
        <v>18494890</v>
      </c>
      <c r="P7" s="3">
        <v>19108361.792500004</v>
      </c>
      <c r="Q7" s="3">
        <v>20630342.5</v>
      </c>
      <c r="R7" s="3">
        <v>20131536.93</v>
      </c>
      <c r="S7" s="3">
        <v>17914943.5</v>
      </c>
      <c r="T7" s="3">
        <v>14843176.797500001</v>
      </c>
    </row>
    <row r="8" spans="1:20" x14ac:dyDescent="0.25">
      <c r="B8" t="s">
        <v>10</v>
      </c>
      <c r="C8" s="3">
        <v>25576317</v>
      </c>
      <c r="D8" s="3">
        <v>14906910.369999999</v>
      </c>
      <c r="E8" s="3">
        <v>23028941</v>
      </c>
      <c r="F8" s="3">
        <v>8933135.6500000004</v>
      </c>
      <c r="G8" s="3">
        <v>15426040</v>
      </c>
      <c r="H8" s="3">
        <v>6299177.1600000011</v>
      </c>
      <c r="I8" s="3">
        <v>15419123</v>
      </c>
      <c r="J8" s="3">
        <v>6333521.8824999994</v>
      </c>
      <c r="K8" s="3">
        <v>13318919</v>
      </c>
      <c r="L8" s="3">
        <v>5865939.6974999998</v>
      </c>
      <c r="M8" s="3">
        <v>9828713</v>
      </c>
      <c r="N8" s="3">
        <v>5506591.1875000009</v>
      </c>
      <c r="O8" s="3">
        <v>8978084.5</v>
      </c>
      <c r="P8" s="3">
        <v>6610474.2999999998</v>
      </c>
      <c r="Q8" s="3">
        <v>10209705.5</v>
      </c>
      <c r="R8" s="3">
        <v>8900816.5399999991</v>
      </c>
      <c r="S8" s="3">
        <v>13764150</v>
      </c>
      <c r="T8" s="3">
        <v>10086938.975000001</v>
      </c>
    </row>
    <row r="9" spans="1:20" x14ac:dyDescent="0.25">
      <c r="B9" t="s">
        <v>11</v>
      </c>
      <c r="C9" s="3">
        <v>1816047838</v>
      </c>
      <c r="D9" s="3">
        <v>1531774002.3000002</v>
      </c>
      <c r="E9" s="3">
        <v>1813961185</v>
      </c>
      <c r="F9" s="3">
        <v>1792907096.5075002</v>
      </c>
      <c r="G9" s="3">
        <v>1835080708</v>
      </c>
      <c r="H9" s="3">
        <v>1699799288.5249999</v>
      </c>
      <c r="I9" s="3">
        <v>2000061191</v>
      </c>
      <c r="J9" s="3">
        <v>2032734834.5674999</v>
      </c>
      <c r="K9" s="3">
        <v>2171366586</v>
      </c>
      <c r="L9" s="3">
        <v>2053296805.9814997</v>
      </c>
      <c r="M9" s="3">
        <v>2331800464.4499998</v>
      </c>
      <c r="N9" s="3">
        <v>2463519891.9704995</v>
      </c>
      <c r="O9" s="3">
        <v>2656574394.8000002</v>
      </c>
      <c r="P9" s="3">
        <v>3059752372.3669996</v>
      </c>
      <c r="Q9" s="3">
        <v>2990478497</v>
      </c>
      <c r="R9" s="3">
        <v>3193869714.3199992</v>
      </c>
      <c r="S9" s="3">
        <v>3425667179</v>
      </c>
      <c r="T9" s="3">
        <v>3665746907.9700003</v>
      </c>
    </row>
    <row r="10" spans="1:20" x14ac:dyDescent="0.25"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0" x14ac:dyDescent="0.25">
      <c r="A11" t="s">
        <v>16</v>
      </c>
      <c r="C11" s="3">
        <v>158843325</v>
      </c>
      <c r="D11" s="3">
        <v>109682876.64000003</v>
      </c>
      <c r="E11" s="3">
        <v>152829865</v>
      </c>
      <c r="F11" s="3">
        <v>109691757.13150002</v>
      </c>
      <c r="G11" s="3">
        <v>111736410</v>
      </c>
      <c r="H11" s="3">
        <v>92352103.142999962</v>
      </c>
      <c r="I11" s="3">
        <v>113081375</v>
      </c>
      <c r="J11" s="3">
        <v>96275569.741500035</v>
      </c>
      <c r="K11" s="3">
        <v>120630718</v>
      </c>
      <c r="L11" s="3">
        <v>104006608.31249999</v>
      </c>
      <c r="M11" s="3">
        <v>118066353.5</v>
      </c>
      <c r="N11" s="3">
        <v>102598974.9875</v>
      </c>
      <c r="O11" s="3">
        <v>132177703.25</v>
      </c>
      <c r="P11" s="3">
        <v>150921664.52750003</v>
      </c>
      <c r="Q11" s="3">
        <v>156568322</v>
      </c>
      <c r="R11" s="3">
        <v>128856110.45999993</v>
      </c>
      <c r="S11" s="3">
        <v>156519609.05000001</v>
      </c>
      <c r="T11" s="3">
        <v>161766535.59849998</v>
      </c>
    </row>
    <row r="12" spans="1:20" x14ac:dyDescent="0.25">
      <c r="B12" t="s">
        <v>17</v>
      </c>
      <c r="C12" s="3">
        <v>154545629</v>
      </c>
      <c r="D12" s="3">
        <v>107932768.07000004</v>
      </c>
      <c r="E12" s="3">
        <v>149672949</v>
      </c>
      <c r="F12" s="3">
        <v>108088162.48400003</v>
      </c>
      <c r="G12" s="3">
        <v>109070148</v>
      </c>
      <c r="H12" s="3">
        <v>89528060.490499958</v>
      </c>
      <c r="I12" s="3">
        <v>110772949</v>
      </c>
      <c r="J12" s="3">
        <v>94555913.499000028</v>
      </c>
      <c r="K12" s="3">
        <v>115147160</v>
      </c>
      <c r="L12" s="3">
        <v>101782401.26749998</v>
      </c>
      <c r="M12" s="3">
        <v>112588982.5</v>
      </c>
      <c r="N12" s="3">
        <v>100699500.36999999</v>
      </c>
      <c r="O12" s="3">
        <v>120224685.25</v>
      </c>
      <c r="P12" s="3">
        <v>147815122.77500004</v>
      </c>
      <c r="Q12" s="3">
        <v>143668280.75</v>
      </c>
      <c r="R12" s="3">
        <v>124938098.78999993</v>
      </c>
      <c r="S12" s="3">
        <v>144675335.30000001</v>
      </c>
      <c r="T12" s="3">
        <v>151986450.12349999</v>
      </c>
    </row>
    <row r="13" spans="1:20" x14ac:dyDescent="0.25">
      <c r="B13" t="s">
        <v>19</v>
      </c>
      <c r="C13" s="3">
        <v>4297696</v>
      </c>
      <c r="D13" s="3">
        <v>1750108.57</v>
      </c>
      <c r="E13" s="3">
        <v>3156916</v>
      </c>
      <c r="F13" s="3">
        <v>1603594.6475</v>
      </c>
      <c r="G13" s="3">
        <v>2666262</v>
      </c>
      <c r="H13" s="3">
        <v>2824042.6524999999</v>
      </c>
      <c r="I13" s="3">
        <v>2308426</v>
      </c>
      <c r="J13" s="3">
        <v>1719656.2425000002</v>
      </c>
      <c r="K13" s="3">
        <v>5483558</v>
      </c>
      <c r="L13" s="3">
        <v>2224207.0449999999</v>
      </c>
      <c r="M13" s="3">
        <v>5477371</v>
      </c>
      <c r="N13" s="3">
        <v>1899474.6174999999</v>
      </c>
      <c r="O13" s="3">
        <v>11953018</v>
      </c>
      <c r="P13" s="3">
        <v>3106541.7524999999</v>
      </c>
      <c r="Q13" s="3">
        <v>12900041.25</v>
      </c>
      <c r="R13" s="3">
        <v>3918011.6700000004</v>
      </c>
      <c r="S13" s="3">
        <v>11844273.75</v>
      </c>
      <c r="T13" s="3">
        <v>9780085.4749999978</v>
      </c>
    </row>
    <row r="14" spans="1:20" x14ac:dyDescent="0.25"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0" x14ac:dyDescent="0.25">
      <c r="A15" t="s">
        <v>12</v>
      </c>
      <c r="C15" s="3">
        <v>1288655808</v>
      </c>
      <c r="D15" s="3">
        <v>898580734.61000001</v>
      </c>
      <c r="E15" s="3">
        <v>1159920061</v>
      </c>
      <c r="F15" s="3">
        <v>1007610953.3100001</v>
      </c>
      <c r="G15" s="3">
        <v>1268760160</v>
      </c>
      <c r="H15" s="3">
        <v>1048496657.4100001</v>
      </c>
      <c r="I15" s="3">
        <v>1270270606</v>
      </c>
      <c r="J15" s="3">
        <v>1138840277.0300002</v>
      </c>
      <c r="K15" s="3">
        <v>1285034798</v>
      </c>
      <c r="L15" s="3">
        <v>1034184241.6104999</v>
      </c>
      <c r="M15" s="3">
        <v>1296737027.5</v>
      </c>
      <c r="N15" s="3">
        <v>1219527889.6770003</v>
      </c>
      <c r="O15" s="3">
        <v>1444383299.45</v>
      </c>
      <c r="P15" s="3">
        <v>1421197635.6840005</v>
      </c>
      <c r="Q15" s="3">
        <v>1537835581.8</v>
      </c>
      <c r="R15" s="3">
        <v>1553288391.4000001</v>
      </c>
      <c r="S15" s="3">
        <v>1596155560.5</v>
      </c>
      <c r="T15" s="3">
        <v>1616523065.4325004</v>
      </c>
    </row>
    <row r="16" spans="1:20" x14ac:dyDescent="0.25">
      <c r="B16" t="s">
        <v>13</v>
      </c>
      <c r="C16" s="3">
        <v>95203803</v>
      </c>
      <c r="D16" s="3">
        <v>20865973.870000005</v>
      </c>
      <c r="E16" s="3">
        <v>61867418</v>
      </c>
      <c r="F16" s="3">
        <v>28206389.907499999</v>
      </c>
      <c r="G16" s="3">
        <v>56381363</v>
      </c>
      <c r="H16" s="3">
        <v>30745358.527499996</v>
      </c>
      <c r="I16" s="3">
        <v>61786418</v>
      </c>
      <c r="J16" s="3">
        <v>27055502.7925</v>
      </c>
      <c r="K16" s="3">
        <v>51771040</v>
      </c>
      <c r="L16" s="3">
        <v>23631464.157500003</v>
      </c>
      <c r="M16" s="3">
        <v>41772310.75</v>
      </c>
      <c r="N16" s="3">
        <v>21210107.542499997</v>
      </c>
      <c r="O16" s="3">
        <v>36320246.5</v>
      </c>
      <c r="P16" s="3">
        <v>17239656.395</v>
      </c>
      <c r="Q16" s="3">
        <v>56190622.75</v>
      </c>
      <c r="R16" s="3">
        <v>43340922.739999995</v>
      </c>
      <c r="S16" s="3">
        <v>64457970.5</v>
      </c>
      <c r="T16" s="3">
        <v>31973058.399999995</v>
      </c>
    </row>
    <row r="17" spans="1:20" x14ac:dyDescent="0.25">
      <c r="B17" t="s">
        <v>14</v>
      </c>
      <c r="C17" s="3">
        <v>248625412</v>
      </c>
      <c r="D17" s="3">
        <v>106532152.30999999</v>
      </c>
      <c r="E17" s="3">
        <v>228115596</v>
      </c>
      <c r="F17" s="3">
        <v>124065459.20250002</v>
      </c>
      <c r="G17" s="3">
        <v>268988324</v>
      </c>
      <c r="H17" s="3">
        <v>128657729.8775</v>
      </c>
      <c r="I17" s="3">
        <v>195451665</v>
      </c>
      <c r="J17" s="3">
        <v>138010956.83500001</v>
      </c>
      <c r="K17" s="3">
        <v>240299555</v>
      </c>
      <c r="L17" s="3">
        <v>133657216.91249998</v>
      </c>
      <c r="M17" s="3">
        <v>193646686</v>
      </c>
      <c r="N17" s="3">
        <v>134948119.64249998</v>
      </c>
      <c r="O17" s="3">
        <v>113864415</v>
      </c>
      <c r="P17" s="3">
        <v>121977098.8725</v>
      </c>
      <c r="Q17" s="3">
        <v>143119540</v>
      </c>
      <c r="R17" s="3">
        <v>141648447.86000001</v>
      </c>
      <c r="S17" s="3">
        <v>170064336.75</v>
      </c>
      <c r="T17" s="3">
        <v>169136357.5</v>
      </c>
    </row>
    <row r="18" spans="1:20" x14ac:dyDescent="0.25">
      <c r="B18" t="s">
        <v>15</v>
      </c>
      <c r="C18" s="3">
        <v>944826593</v>
      </c>
      <c r="D18" s="3">
        <v>771182608.43000007</v>
      </c>
      <c r="E18" s="3">
        <v>869937047</v>
      </c>
      <c r="F18" s="3">
        <v>855339104.20000005</v>
      </c>
      <c r="G18" s="3">
        <v>943390473</v>
      </c>
      <c r="H18" s="3">
        <v>889093569.00500011</v>
      </c>
      <c r="I18" s="3">
        <v>1013032523</v>
      </c>
      <c r="J18" s="3">
        <v>973773817.40250027</v>
      </c>
      <c r="K18" s="3">
        <v>992964203</v>
      </c>
      <c r="L18" s="3">
        <v>876895560.54049993</v>
      </c>
      <c r="M18" s="3">
        <v>1061318030.75</v>
      </c>
      <c r="N18" s="3">
        <v>1063369662.4920003</v>
      </c>
      <c r="O18" s="3">
        <v>1294198637.95</v>
      </c>
      <c r="P18" s="3">
        <v>1281980880.4165006</v>
      </c>
      <c r="Q18" s="3">
        <v>1338525419.05</v>
      </c>
      <c r="R18" s="3">
        <v>1368299020.8000002</v>
      </c>
      <c r="S18" s="3">
        <v>1361633253.25</v>
      </c>
      <c r="T18" s="3">
        <v>1415413649.5325003</v>
      </c>
    </row>
    <row r="19" spans="1:20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t="s">
        <v>28</v>
      </c>
      <c r="C20" s="3">
        <v>3317389453</v>
      </c>
      <c r="D20" s="3">
        <v>2569708469.3500004</v>
      </c>
      <c r="E20" s="3">
        <v>3178156131</v>
      </c>
      <c r="F20" s="3">
        <v>2933215209.3560004</v>
      </c>
      <c r="G20" s="3">
        <v>3253265044</v>
      </c>
      <c r="H20" s="3">
        <v>2862346652.7779999</v>
      </c>
      <c r="I20" s="3">
        <v>3425725403</v>
      </c>
      <c r="J20" s="3">
        <v>3293445242.7014999</v>
      </c>
      <c r="K20" s="3">
        <v>3620650978</v>
      </c>
      <c r="L20" s="3">
        <v>3213585691.7894993</v>
      </c>
      <c r="M20" s="3">
        <v>3786625307.1999998</v>
      </c>
      <c r="N20" s="3">
        <v>3809512709.4849997</v>
      </c>
      <c r="O20" s="3">
        <v>4260608372</v>
      </c>
      <c r="P20" s="3">
        <v>4657590508.6710005</v>
      </c>
      <c r="Q20" s="3">
        <v>4715722448.8000002</v>
      </c>
      <c r="R20" s="3">
        <v>4905046569.6499996</v>
      </c>
      <c r="S20" s="3">
        <v>5210021442.0500002</v>
      </c>
      <c r="T20" s="3">
        <v>5468966624.7735004</v>
      </c>
    </row>
    <row r="22" spans="1:20" x14ac:dyDescent="0.25">
      <c r="A22" s="4" t="s">
        <v>35</v>
      </c>
      <c r="D22" s="5">
        <f>(GETPIVOTDATA("Valor Empenhado",$A$3,"exercicio","2016")/GETPIVOTDATA("Valor orçado",$A$3,"exercicio","2016"))</f>
        <v>0.77461766420766409</v>
      </c>
      <c r="E22" s="5"/>
      <c r="F22" s="5">
        <f>(GETPIVOTDATA("Valor Empenhado",$A$3,"exercicio","2017")/GETPIVOTDATA("Valor orçado",$A$3,"exercicio","2017"))</f>
        <v>0.9229298651331741</v>
      </c>
      <c r="G22" s="5"/>
      <c r="H22" s="5">
        <f>(GETPIVOTDATA("Valor Empenhado",$A$3,"exercicio","2018")/GETPIVOTDATA("Valor orçado",$A$3,"exercicio","2018"))</f>
        <v>0.87983813616939344</v>
      </c>
      <c r="I22" s="5"/>
      <c r="J22" s="5">
        <f>(GETPIVOTDATA("Valor Empenhado",$A$3,"exercicio","2019")/GETPIVOTDATA("Valor orçado",$A$3,"exercicio","2019"))</f>
        <v>0.96138623364772358</v>
      </c>
      <c r="K22" s="5"/>
      <c r="L22" s="5">
        <f>(GETPIVOTDATA("Valor Empenhado",$A$3,"exercicio","2020")/GETPIVOTDATA("Valor orçado",$A$3,"exercicio","2020"))</f>
        <v>0.88757124376695429</v>
      </c>
      <c r="M22" s="5"/>
      <c r="N22" s="5">
        <f>(GETPIVOTDATA("Valor Empenhado",$A$3,"exercicio","2021")/GETPIVOTDATA("Valor orçado",$A$3,"exercicio","2021"))</f>
        <v>1.0060442743678601</v>
      </c>
      <c r="O22" s="5"/>
      <c r="P22" s="5">
        <f>(GETPIVOTDATA("Valor Empenhado",$A$3,"exercicio","2022")/GETPIVOTDATA("Valor orçado",$A$3,"exercicio","2022"))</f>
        <v>1.0931749886424438</v>
      </c>
      <c r="Q22" s="5"/>
      <c r="R22" s="5">
        <f>(GETPIVOTDATA("Valor Empenhado",$A$3,"exercicio","2023")/GETPIVOTDATA("Valor orçado",$A$3,"exercicio","2023"))</f>
        <v>1.0401474265938142</v>
      </c>
      <c r="S22" s="5"/>
      <c r="T22" s="5">
        <f>(GETPIVOTDATA("Valor Empenhado",$A$3,"exercicio","2024")/GETPIVOTDATA("Valor orçado",$A$3,"exercicio","2024"))</f>
        <v>1.0497013660315402</v>
      </c>
    </row>
  </sheetData>
  <pageMargins left="0.25" right="0.25" top="0.75" bottom="0.75" header="0.3" footer="0.3"/>
  <pageSetup paperSize="5" scale="41" fitToHeight="0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05"/>
  <sheetViews>
    <sheetView tabSelected="1" topLeftCell="A2" workbookViewId="0">
      <selection activeCell="H2" sqref="A2:H3805"/>
    </sheetView>
  </sheetViews>
  <sheetFormatPr defaultRowHeight="13.2" x14ac:dyDescent="0.25"/>
  <cols>
    <col min="1" max="1" width="18.109375" customWidth="1"/>
    <col min="2" max="2" width="22.33203125" customWidth="1"/>
    <col min="3" max="3" width="14.33203125" style="2" customWidth="1"/>
    <col min="4" max="4" width="18.33203125" style="2" customWidth="1"/>
    <col min="5" max="5" width="16.109375" style="2" customWidth="1"/>
    <col min="6" max="6" width="12.5546875" style="2" customWidth="1"/>
    <col min="7" max="7" width="10.6640625" customWidth="1"/>
  </cols>
  <sheetData>
    <row r="1" spans="1:8" x14ac:dyDescent="0.25">
      <c r="A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t="s">
        <v>6</v>
      </c>
      <c r="H1" t="s">
        <v>27</v>
      </c>
    </row>
    <row r="2" spans="1:8" x14ac:dyDescent="0.25">
      <c r="A2" s="1" t="s">
        <v>7</v>
      </c>
      <c r="B2" s="1" t="s">
        <v>8</v>
      </c>
      <c r="C2" s="6">
        <v>1314633</v>
      </c>
      <c r="D2" s="6">
        <v>676243.7</v>
      </c>
      <c r="E2" s="6">
        <v>650564.47499999998</v>
      </c>
      <c r="F2" s="6">
        <v>542452.375</v>
      </c>
      <c r="G2" s="7" t="s">
        <v>9</v>
      </c>
      <c r="H2" s="1">
        <f t="shared" ref="H2:H65" si="0">IF(OR(ISNA($D2),ISNA($C2),$C2=0),0,$D2/$C2)</f>
        <v>0.51439732609785394</v>
      </c>
    </row>
    <row r="3" spans="1:8" x14ac:dyDescent="0.25">
      <c r="A3" s="1" t="s">
        <v>7</v>
      </c>
      <c r="B3" s="1" t="s">
        <v>8</v>
      </c>
      <c r="C3" s="6">
        <v>72391.25</v>
      </c>
      <c r="D3" s="6">
        <v>0</v>
      </c>
      <c r="E3" s="6">
        <v>0</v>
      </c>
      <c r="F3" s="6">
        <v>0</v>
      </c>
      <c r="G3" s="7" t="s">
        <v>9</v>
      </c>
      <c r="H3" s="1">
        <f t="shared" si="0"/>
        <v>0</v>
      </c>
    </row>
    <row r="4" spans="1:8" x14ac:dyDescent="0.25">
      <c r="A4" s="1" t="s">
        <v>7</v>
      </c>
      <c r="B4" s="1" t="s">
        <v>8</v>
      </c>
      <c r="C4" s="6">
        <v>6000</v>
      </c>
      <c r="D4" s="6">
        <v>0</v>
      </c>
      <c r="E4" s="6">
        <v>0</v>
      </c>
      <c r="F4" s="6">
        <v>0</v>
      </c>
      <c r="G4" s="7" t="s">
        <v>9</v>
      </c>
      <c r="H4" s="1">
        <f t="shared" si="0"/>
        <v>0</v>
      </c>
    </row>
    <row r="5" spans="1:8" x14ac:dyDescent="0.25">
      <c r="A5" s="1" t="s">
        <v>7</v>
      </c>
      <c r="B5" s="1" t="s">
        <v>8</v>
      </c>
      <c r="C5" s="6">
        <v>27167</v>
      </c>
      <c r="D5" s="6">
        <v>24672.3</v>
      </c>
      <c r="E5" s="6">
        <v>24672.3</v>
      </c>
      <c r="F5" s="6">
        <v>23659.8</v>
      </c>
      <c r="G5" s="7" t="s">
        <v>9</v>
      </c>
      <c r="H5" s="1">
        <f t="shared" si="0"/>
        <v>0.90817167887510575</v>
      </c>
    </row>
    <row r="6" spans="1:8" x14ac:dyDescent="0.25">
      <c r="A6" s="1" t="s">
        <v>7</v>
      </c>
      <c r="B6" s="1" t="s">
        <v>8</v>
      </c>
      <c r="C6" s="6">
        <v>86012.75</v>
      </c>
      <c r="D6" s="6">
        <v>93833.667499999996</v>
      </c>
      <c r="E6" s="6">
        <v>67068.417499999996</v>
      </c>
      <c r="F6" s="6">
        <v>67068.417499999996</v>
      </c>
      <c r="G6" s="7" t="s">
        <v>9</v>
      </c>
      <c r="H6" s="1">
        <f t="shared" si="0"/>
        <v>1.0909274206440325</v>
      </c>
    </row>
    <row r="7" spans="1:8" x14ac:dyDescent="0.25">
      <c r="A7" s="1" t="s">
        <v>7</v>
      </c>
      <c r="B7" s="1" t="s">
        <v>8</v>
      </c>
      <c r="C7" s="6">
        <v>303585</v>
      </c>
      <c r="D7" s="6">
        <v>37500</v>
      </c>
      <c r="E7" s="6">
        <v>33750</v>
      </c>
      <c r="F7" s="6">
        <v>33750</v>
      </c>
      <c r="G7" s="7" t="s">
        <v>9</v>
      </c>
      <c r="H7" s="1">
        <f t="shared" si="0"/>
        <v>0.12352388952023322</v>
      </c>
    </row>
    <row r="8" spans="1:8" x14ac:dyDescent="0.25">
      <c r="A8" s="1" t="s">
        <v>7</v>
      </c>
      <c r="B8" s="1" t="s">
        <v>8</v>
      </c>
      <c r="C8" s="6">
        <v>3800250</v>
      </c>
      <c r="D8" s="6">
        <v>5014887.1500000004</v>
      </c>
      <c r="E8" s="6">
        <v>5014887.1500000004</v>
      </c>
      <c r="F8" s="6">
        <v>5014887.1500000004</v>
      </c>
      <c r="G8" s="7" t="s">
        <v>9</v>
      </c>
      <c r="H8" s="1">
        <f t="shared" si="0"/>
        <v>1.3196203276100258</v>
      </c>
    </row>
    <row r="9" spans="1:8" x14ac:dyDescent="0.25">
      <c r="A9" s="1" t="s">
        <v>7</v>
      </c>
      <c r="B9" s="1" t="s">
        <v>8</v>
      </c>
      <c r="C9" s="6">
        <v>45000</v>
      </c>
      <c r="D9" s="6">
        <v>32022.5</v>
      </c>
      <c r="E9" s="6">
        <v>20682.452499999999</v>
      </c>
      <c r="F9" s="6">
        <v>20682.452499999999</v>
      </c>
      <c r="G9" s="7" t="s">
        <v>9</v>
      </c>
      <c r="H9" s="1">
        <f t="shared" si="0"/>
        <v>0.71161111111111108</v>
      </c>
    </row>
    <row r="10" spans="1:8" x14ac:dyDescent="0.25">
      <c r="A10" s="1" t="s">
        <v>7</v>
      </c>
      <c r="B10" s="1" t="s">
        <v>8</v>
      </c>
      <c r="C10" s="6">
        <v>459700.25</v>
      </c>
      <c r="D10" s="6">
        <v>526922.5</v>
      </c>
      <c r="E10" s="6">
        <v>456112.07500000001</v>
      </c>
      <c r="F10" s="6">
        <v>456112.07500000001</v>
      </c>
      <c r="G10" s="7" t="s">
        <v>9</v>
      </c>
      <c r="H10" s="1">
        <f t="shared" si="0"/>
        <v>1.1462306144058003</v>
      </c>
    </row>
    <row r="11" spans="1:8" x14ac:dyDescent="0.25">
      <c r="A11" s="1" t="s">
        <v>7</v>
      </c>
      <c r="B11" s="1" t="s">
        <v>8</v>
      </c>
      <c r="C11" s="6">
        <v>6936687</v>
      </c>
      <c r="D11" s="6">
        <v>1359341.395</v>
      </c>
      <c r="E11" s="6">
        <v>1359341.395</v>
      </c>
      <c r="F11" s="6">
        <v>1359341.395</v>
      </c>
      <c r="G11" s="7" t="s">
        <v>9</v>
      </c>
      <c r="H11" s="1">
        <f t="shared" si="0"/>
        <v>0.19596406685208659</v>
      </c>
    </row>
    <row r="12" spans="1:8" x14ac:dyDescent="0.25">
      <c r="A12" s="1" t="s">
        <v>7</v>
      </c>
      <c r="B12" s="1" t="s">
        <v>8</v>
      </c>
      <c r="C12" s="6">
        <v>250000</v>
      </c>
      <c r="D12" s="6">
        <v>119698.13</v>
      </c>
      <c r="E12" s="6">
        <v>119698.13</v>
      </c>
      <c r="F12" s="6">
        <v>119698.13</v>
      </c>
      <c r="G12" s="7" t="s">
        <v>9</v>
      </c>
      <c r="H12" s="1">
        <f t="shared" si="0"/>
        <v>0.47879252</v>
      </c>
    </row>
    <row r="13" spans="1:8" x14ac:dyDescent="0.25">
      <c r="A13" s="1" t="s">
        <v>7</v>
      </c>
      <c r="B13" s="1" t="s">
        <v>8</v>
      </c>
      <c r="C13" s="6">
        <v>25600</v>
      </c>
      <c r="D13" s="6">
        <v>4425</v>
      </c>
      <c r="E13" s="6">
        <v>0</v>
      </c>
      <c r="F13" s="6">
        <v>0</v>
      </c>
      <c r="G13" s="7" t="s">
        <v>9</v>
      </c>
      <c r="H13" s="1">
        <f t="shared" si="0"/>
        <v>0.1728515625</v>
      </c>
    </row>
    <row r="14" spans="1:8" x14ac:dyDescent="0.25">
      <c r="A14" s="1" t="s">
        <v>7</v>
      </c>
      <c r="B14" s="1" t="s">
        <v>8</v>
      </c>
      <c r="C14" s="6">
        <v>3750</v>
      </c>
      <c r="D14" s="6">
        <v>0</v>
      </c>
      <c r="E14" s="6">
        <v>0</v>
      </c>
      <c r="F14" s="6">
        <v>0</v>
      </c>
      <c r="G14" s="7" t="s">
        <v>9</v>
      </c>
      <c r="H14" s="1">
        <f t="shared" si="0"/>
        <v>0</v>
      </c>
    </row>
    <row r="15" spans="1:8" x14ac:dyDescent="0.25">
      <c r="A15" s="1" t="s">
        <v>7</v>
      </c>
      <c r="B15" s="1" t="s">
        <v>8</v>
      </c>
      <c r="C15" s="6">
        <v>68443.25</v>
      </c>
      <c r="D15" s="6">
        <v>23505.525000000001</v>
      </c>
      <c r="E15" s="6">
        <v>20083.965</v>
      </c>
      <c r="F15" s="6">
        <v>12297.945</v>
      </c>
      <c r="G15" s="7" t="s">
        <v>9</v>
      </c>
      <c r="H15" s="1">
        <f t="shared" si="0"/>
        <v>0.34343087156147611</v>
      </c>
    </row>
    <row r="16" spans="1:8" x14ac:dyDescent="0.25">
      <c r="A16" s="1" t="s">
        <v>7</v>
      </c>
      <c r="B16" s="1" t="s">
        <v>8</v>
      </c>
      <c r="C16" s="6">
        <v>777591</v>
      </c>
      <c r="D16" s="6">
        <v>2308046.1800000002</v>
      </c>
      <c r="E16" s="6">
        <v>2299046.1800000002</v>
      </c>
      <c r="F16" s="6">
        <v>2279546.1800000002</v>
      </c>
      <c r="G16" s="7" t="s">
        <v>9</v>
      </c>
      <c r="H16" s="1">
        <f t="shared" si="0"/>
        <v>2.9682007379200637</v>
      </c>
    </row>
    <row r="17" spans="1:8" x14ac:dyDescent="0.25">
      <c r="A17" s="1" t="s">
        <v>7</v>
      </c>
      <c r="B17" s="1" t="s">
        <v>8</v>
      </c>
      <c r="C17" s="6">
        <v>20000</v>
      </c>
      <c r="D17" s="6">
        <v>21500</v>
      </c>
      <c r="E17" s="6">
        <v>12500</v>
      </c>
      <c r="F17" s="6">
        <v>12500</v>
      </c>
      <c r="G17" s="7" t="s">
        <v>9</v>
      </c>
      <c r="H17" s="1">
        <f t="shared" si="0"/>
        <v>1.075</v>
      </c>
    </row>
    <row r="18" spans="1:8" x14ac:dyDescent="0.25">
      <c r="A18" s="1" t="s">
        <v>7</v>
      </c>
      <c r="B18" s="1" t="s">
        <v>8</v>
      </c>
      <c r="C18" s="6">
        <v>90000</v>
      </c>
      <c r="D18" s="6">
        <v>86000</v>
      </c>
      <c r="E18" s="6">
        <v>50000</v>
      </c>
      <c r="F18" s="6">
        <v>50000</v>
      </c>
      <c r="G18" s="7" t="s">
        <v>9</v>
      </c>
      <c r="H18" s="1">
        <f t="shared" si="0"/>
        <v>0.9555555555555556</v>
      </c>
    </row>
    <row r="19" spans="1:8" x14ac:dyDescent="0.25">
      <c r="A19" s="1" t="s">
        <v>7</v>
      </c>
      <c r="B19" s="1" t="s">
        <v>8</v>
      </c>
      <c r="C19" s="6">
        <v>250000</v>
      </c>
      <c r="D19" s="6">
        <v>250000</v>
      </c>
      <c r="E19" s="6">
        <v>250000</v>
      </c>
      <c r="F19" s="6">
        <v>250000</v>
      </c>
      <c r="G19" s="7" t="s">
        <v>9</v>
      </c>
      <c r="H19" s="1">
        <f t="shared" si="0"/>
        <v>1</v>
      </c>
    </row>
    <row r="20" spans="1:8" x14ac:dyDescent="0.25">
      <c r="A20" s="1" t="s">
        <v>7</v>
      </c>
      <c r="B20" s="1" t="s">
        <v>8</v>
      </c>
      <c r="C20" s="6">
        <v>600000</v>
      </c>
      <c r="D20" s="6">
        <v>600000</v>
      </c>
      <c r="E20" s="6">
        <v>600000</v>
      </c>
      <c r="F20" s="6">
        <v>600000</v>
      </c>
      <c r="G20" s="7" t="s">
        <v>9</v>
      </c>
      <c r="H20" s="1">
        <f t="shared" si="0"/>
        <v>1</v>
      </c>
    </row>
    <row r="21" spans="1:8" x14ac:dyDescent="0.25">
      <c r="A21" s="1" t="s">
        <v>7</v>
      </c>
      <c r="B21" s="1" t="s">
        <v>8</v>
      </c>
      <c r="C21" s="6">
        <v>600000</v>
      </c>
      <c r="D21" s="6">
        <v>675000</v>
      </c>
      <c r="E21" s="6">
        <v>675000</v>
      </c>
      <c r="F21" s="6">
        <v>675000</v>
      </c>
      <c r="G21" s="7" t="s">
        <v>9</v>
      </c>
      <c r="H21" s="1">
        <f t="shared" si="0"/>
        <v>1.125</v>
      </c>
    </row>
    <row r="22" spans="1:8" x14ac:dyDescent="0.25">
      <c r="A22" s="1" t="s">
        <v>7</v>
      </c>
      <c r="B22" s="1" t="s">
        <v>8</v>
      </c>
      <c r="C22" s="6">
        <v>20000</v>
      </c>
      <c r="D22" s="6">
        <v>11000</v>
      </c>
      <c r="E22" s="6">
        <v>11000</v>
      </c>
      <c r="F22" s="6">
        <v>11000</v>
      </c>
      <c r="G22" s="7" t="s">
        <v>9</v>
      </c>
      <c r="H22" s="1">
        <f t="shared" si="0"/>
        <v>0.55000000000000004</v>
      </c>
    </row>
    <row r="23" spans="1:8" x14ac:dyDescent="0.25">
      <c r="A23" s="1" t="s">
        <v>7</v>
      </c>
      <c r="B23" s="1" t="s">
        <v>8</v>
      </c>
      <c r="C23" s="6">
        <v>388997.5</v>
      </c>
      <c r="D23" s="6">
        <v>673750</v>
      </c>
      <c r="E23" s="6">
        <v>630000</v>
      </c>
      <c r="F23" s="6">
        <v>630000</v>
      </c>
      <c r="G23" s="7" t="s">
        <v>9</v>
      </c>
      <c r="H23" s="1">
        <f t="shared" si="0"/>
        <v>1.7320162725981529</v>
      </c>
    </row>
    <row r="24" spans="1:8" x14ac:dyDescent="0.25">
      <c r="A24" s="1" t="s">
        <v>7</v>
      </c>
      <c r="B24" s="1" t="s">
        <v>8</v>
      </c>
      <c r="C24" s="6">
        <v>101212.5</v>
      </c>
      <c r="D24" s="6">
        <v>267080.25</v>
      </c>
      <c r="E24" s="6">
        <v>262000</v>
      </c>
      <c r="F24" s="6">
        <v>262000</v>
      </c>
      <c r="G24" s="7" t="s">
        <v>9</v>
      </c>
      <c r="H24" s="1">
        <f t="shared" si="0"/>
        <v>2.6388069655427935</v>
      </c>
    </row>
    <row r="25" spans="1:8" x14ac:dyDescent="0.25">
      <c r="A25" s="1" t="s">
        <v>7</v>
      </c>
      <c r="B25" s="1" t="s">
        <v>8</v>
      </c>
      <c r="C25" s="6">
        <v>7500</v>
      </c>
      <c r="D25" s="6">
        <v>6997.5</v>
      </c>
      <c r="E25" s="6">
        <v>6997.5</v>
      </c>
      <c r="F25" s="6">
        <v>6997.5</v>
      </c>
      <c r="G25" s="7" t="s">
        <v>9</v>
      </c>
      <c r="H25" s="1">
        <f t="shared" si="0"/>
        <v>0.93300000000000005</v>
      </c>
    </row>
    <row r="26" spans="1:8" x14ac:dyDescent="0.25">
      <c r="A26" s="1" t="s">
        <v>7</v>
      </c>
      <c r="B26" s="1" t="s">
        <v>8</v>
      </c>
      <c r="C26" s="6">
        <v>866057</v>
      </c>
      <c r="D26" s="6">
        <v>1066057</v>
      </c>
      <c r="E26" s="6">
        <v>1066057</v>
      </c>
      <c r="F26" s="6">
        <v>1066057</v>
      </c>
      <c r="G26" s="7" t="s">
        <v>9</v>
      </c>
      <c r="H26" s="1">
        <f t="shared" si="0"/>
        <v>1.2309316823257592</v>
      </c>
    </row>
    <row r="27" spans="1:8" x14ac:dyDescent="0.25">
      <c r="A27" s="1" t="s">
        <v>7</v>
      </c>
      <c r="B27" s="1" t="s">
        <v>8</v>
      </c>
      <c r="C27" s="6">
        <v>794366</v>
      </c>
      <c r="D27" s="6">
        <v>964694</v>
      </c>
      <c r="E27" s="6">
        <v>964694</v>
      </c>
      <c r="F27" s="6">
        <v>964694</v>
      </c>
      <c r="G27" s="7" t="s">
        <v>9</v>
      </c>
      <c r="H27" s="1">
        <f t="shared" si="0"/>
        <v>1.2144200532248359</v>
      </c>
    </row>
    <row r="28" spans="1:8" x14ac:dyDescent="0.25">
      <c r="A28" s="1" t="s">
        <v>7</v>
      </c>
      <c r="B28" s="1" t="s">
        <v>10</v>
      </c>
      <c r="C28" s="6">
        <v>977565.5</v>
      </c>
      <c r="D28" s="6">
        <v>1175216.845</v>
      </c>
      <c r="E28" s="6">
        <v>941403.05500000005</v>
      </c>
      <c r="F28" s="6">
        <v>941403.05500000005</v>
      </c>
      <c r="G28" s="7" t="s">
        <v>9</v>
      </c>
      <c r="H28" s="1">
        <f t="shared" si="0"/>
        <v>1.2021873163486232</v>
      </c>
    </row>
    <row r="29" spans="1:8" x14ac:dyDescent="0.25">
      <c r="A29" s="1" t="s">
        <v>7</v>
      </c>
      <c r="B29" s="1" t="s">
        <v>10</v>
      </c>
      <c r="C29" s="6">
        <v>142675.75</v>
      </c>
      <c r="D29" s="6">
        <v>191326.41250000001</v>
      </c>
      <c r="E29" s="6">
        <v>121326.41250000001</v>
      </c>
      <c r="F29" s="6">
        <v>111326.41250000001</v>
      </c>
      <c r="G29" s="7" t="s">
        <v>9</v>
      </c>
      <c r="H29" s="1">
        <f t="shared" si="0"/>
        <v>1.3409876065133703</v>
      </c>
    </row>
    <row r="30" spans="1:8" x14ac:dyDescent="0.25">
      <c r="A30" s="1" t="s">
        <v>7</v>
      </c>
      <c r="B30" s="1" t="s">
        <v>10</v>
      </c>
      <c r="C30" s="6">
        <v>5255114.25</v>
      </c>
      <c r="D30" s="6">
        <v>5308739.49</v>
      </c>
      <c r="E30" s="6">
        <v>5200646.6825000001</v>
      </c>
      <c r="F30" s="6">
        <v>4813888.7074999996</v>
      </c>
      <c r="G30" s="7" t="s">
        <v>9</v>
      </c>
      <c r="H30" s="1">
        <f t="shared" si="0"/>
        <v>1.0102043908940705</v>
      </c>
    </row>
    <row r="31" spans="1:8" x14ac:dyDescent="0.25">
      <c r="A31" s="1" t="s">
        <v>7</v>
      </c>
      <c r="B31" s="1" t="s">
        <v>10</v>
      </c>
      <c r="C31" s="6">
        <v>1260671</v>
      </c>
      <c r="D31" s="6">
        <v>1373759.9875</v>
      </c>
      <c r="E31" s="6">
        <v>1203865.835</v>
      </c>
      <c r="F31" s="6">
        <v>1199703.7050000001</v>
      </c>
      <c r="G31" s="7" t="s">
        <v>9</v>
      </c>
      <c r="H31" s="1">
        <f t="shared" si="0"/>
        <v>1.0897053930010288</v>
      </c>
    </row>
    <row r="32" spans="1:8" x14ac:dyDescent="0.25">
      <c r="A32" s="1" t="s">
        <v>7</v>
      </c>
      <c r="B32" s="1" t="s">
        <v>10</v>
      </c>
      <c r="C32" s="6">
        <v>43087.25</v>
      </c>
      <c r="D32" s="6">
        <v>0</v>
      </c>
      <c r="E32" s="6">
        <v>0</v>
      </c>
      <c r="F32" s="6">
        <v>0</v>
      </c>
      <c r="G32" s="7" t="s">
        <v>9</v>
      </c>
      <c r="H32" s="1">
        <f t="shared" si="0"/>
        <v>0</v>
      </c>
    </row>
    <row r="33" spans="1:8" x14ac:dyDescent="0.25">
      <c r="A33" s="1" t="s">
        <v>7</v>
      </c>
      <c r="B33" s="1" t="s">
        <v>10</v>
      </c>
      <c r="C33" s="6">
        <v>415456.5</v>
      </c>
      <c r="D33" s="6">
        <v>105742.2175</v>
      </c>
      <c r="E33" s="6">
        <v>70170.48</v>
      </c>
      <c r="F33" s="6">
        <v>67104.442500000005</v>
      </c>
      <c r="G33" s="7" t="s">
        <v>9</v>
      </c>
      <c r="H33" s="1">
        <f t="shared" si="0"/>
        <v>0.25452055148974684</v>
      </c>
    </row>
    <row r="34" spans="1:8" x14ac:dyDescent="0.25">
      <c r="A34" s="1" t="s">
        <v>7</v>
      </c>
      <c r="B34" s="1" t="s">
        <v>10</v>
      </c>
      <c r="C34" s="6">
        <v>296460</v>
      </c>
      <c r="D34" s="6">
        <v>15400</v>
      </c>
      <c r="E34" s="6">
        <v>15400</v>
      </c>
      <c r="F34" s="6">
        <v>15400</v>
      </c>
      <c r="G34" s="7" t="s">
        <v>9</v>
      </c>
      <c r="H34" s="1">
        <f t="shared" si="0"/>
        <v>5.1946299669432636E-2</v>
      </c>
    </row>
    <row r="35" spans="1:8" x14ac:dyDescent="0.25">
      <c r="A35" s="1" t="s">
        <v>7</v>
      </c>
      <c r="B35" s="1" t="s">
        <v>10</v>
      </c>
      <c r="C35" s="6">
        <v>106387</v>
      </c>
      <c r="D35" s="6">
        <v>119355.69</v>
      </c>
      <c r="E35" s="6">
        <v>89727.96</v>
      </c>
      <c r="F35" s="6">
        <v>89727.96</v>
      </c>
      <c r="G35" s="7" t="s">
        <v>9</v>
      </c>
      <c r="H35" s="1">
        <f t="shared" si="0"/>
        <v>1.1219010781392464</v>
      </c>
    </row>
    <row r="36" spans="1:8" x14ac:dyDescent="0.25">
      <c r="A36" s="1" t="s">
        <v>7</v>
      </c>
      <c r="B36" s="1" t="s">
        <v>10</v>
      </c>
      <c r="C36" s="6">
        <v>732950</v>
      </c>
      <c r="D36" s="6">
        <v>126495.6075</v>
      </c>
      <c r="E36" s="6">
        <v>83161.695000000007</v>
      </c>
      <c r="F36" s="6">
        <v>81616.695000000007</v>
      </c>
      <c r="G36" s="7" t="s">
        <v>9</v>
      </c>
      <c r="H36" s="1">
        <f t="shared" si="0"/>
        <v>0.17258422470837029</v>
      </c>
    </row>
    <row r="37" spans="1:8" x14ac:dyDescent="0.25">
      <c r="A37" s="1" t="s">
        <v>7</v>
      </c>
      <c r="B37" s="1" t="s">
        <v>10</v>
      </c>
      <c r="C37" s="6">
        <v>293467.25</v>
      </c>
      <c r="D37" s="6">
        <v>164010.27499999999</v>
      </c>
      <c r="E37" s="6">
        <v>154421.02499999999</v>
      </c>
      <c r="F37" s="6">
        <v>154421.02499999999</v>
      </c>
      <c r="G37" s="7" t="s">
        <v>9</v>
      </c>
      <c r="H37" s="1">
        <f t="shared" si="0"/>
        <v>0.55887079393015748</v>
      </c>
    </row>
    <row r="38" spans="1:8" x14ac:dyDescent="0.25">
      <c r="A38" s="1" t="s">
        <v>7</v>
      </c>
      <c r="B38" s="1" t="s">
        <v>10</v>
      </c>
      <c r="C38" s="6">
        <v>1122790</v>
      </c>
      <c r="D38" s="6">
        <v>794180.09</v>
      </c>
      <c r="E38" s="6">
        <v>654457.9</v>
      </c>
      <c r="F38" s="6">
        <v>654457.9</v>
      </c>
      <c r="G38" s="7" t="s">
        <v>9</v>
      </c>
      <c r="H38" s="1">
        <f t="shared" si="0"/>
        <v>0.70732736308659672</v>
      </c>
    </row>
    <row r="39" spans="1:8" x14ac:dyDescent="0.25">
      <c r="A39" s="1" t="s">
        <v>7</v>
      </c>
      <c r="B39" s="1" t="s">
        <v>10</v>
      </c>
      <c r="C39" s="6">
        <v>133063</v>
      </c>
      <c r="D39" s="6">
        <v>128383.11</v>
      </c>
      <c r="E39" s="6">
        <v>113807.25</v>
      </c>
      <c r="F39" s="6">
        <v>113807.25</v>
      </c>
      <c r="G39" s="7" t="s">
        <v>9</v>
      </c>
      <c r="H39" s="1">
        <f t="shared" si="0"/>
        <v>0.96482951684540408</v>
      </c>
    </row>
    <row r="40" spans="1:8" x14ac:dyDescent="0.25">
      <c r="A40" s="1" t="s">
        <v>7</v>
      </c>
      <c r="B40" s="1" t="s">
        <v>10</v>
      </c>
      <c r="C40" s="6">
        <v>50000</v>
      </c>
      <c r="D40" s="6">
        <v>0</v>
      </c>
      <c r="E40" s="6">
        <v>0</v>
      </c>
      <c r="F40" s="6">
        <v>0</v>
      </c>
      <c r="G40" s="7" t="s">
        <v>9</v>
      </c>
      <c r="H40" s="1">
        <f t="shared" si="0"/>
        <v>0</v>
      </c>
    </row>
    <row r="41" spans="1:8" x14ac:dyDescent="0.25">
      <c r="A41" s="1" t="s">
        <v>7</v>
      </c>
      <c r="B41" s="1" t="s">
        <v>10</v>
      </c>
      <c r="C41" s="6">
        <v>16562.5</v>
      </c>
      <c r="D41" s="6">
        <v>17950</v>
      </c>
      <c r="E41" s="6">
        <v>17950</v>
      </c>
      <c r="F41" s="6">
        <v>17950</v>
      </c>
      <c r="G41" s="7" t="s">
        <v>9</v>
      </c>
      <c r="H41" s="1">
        <f t="shared" si="0"/>
        <v>1.0837735849056604</v>
      </c>
    </row>
    <row r="42" spans="1:8" x14ac:dyDescent="0.25">
      <c r="A42" s="1" t="s">
        <v>7</v>
      </c>
      <c r="B42" s="1" t="s">
        <v>10</v>
      </c>
      <c r="C42" s="6">
        <v>2410667</v>
      </c>
      <c r="D42" s="6">
        <v>250508.17</v>
      </c>
      <c r="E42" s="6">
        <v>127564.93</v>
      </c>
      <c r="F42" s="6">
        <v>127564.93</v>
      </c>
      <c r="G42" s="7" t="s">
        <v>9</v>
      </c>
      <c r="H42" s="1">
        <f t="shared" si="0"/>
        <v>0.10391653845180608</v>
      </c>
    </row>
    <row r="43" spans="1:8" x14ac:dyDescent="0.25">
      <c r="A43" s="1" t="s">
        <v>7</v>
      </c>
      <c r="B43" s="1" t="s">
        <v>10</v>
      </c>
      <c r="C43" s="6">
        <v>69491.75</v>
      </c>
      <c r="D43" s="6">
        <v>41189.39</v>
      </c>
      <c r="E43" s="6">
        <v>24808.63</v>
      </c>
      <c r="F43" s="6">
        <v>24808.63</v>
      </c>
      <c r="G43" s="7" t="s">
        <v>9</v>
      </c>
      <c r="H43" s="1">
        <f t="shared" si="0"/>
        <v>0.59272345278396354</v>
      </c>
    </row>
    <row r="44" spans="1:8" x14ac:dyDescent="0.25">
      <c r="A44" s="1" t="s">
        <v>7</v>
      </c>
      <c r="B44" s="1" t="s">
        <v>10</v>
      </c>
      <c r="C44" s="6">
        <v>18832.25</v>
      </c>
      <c r="D44" s="6">
        <v>14915.12</v>
      </c>
      <c r="E44" s="6">
        <v>320.36250000000001</v>
      </c>
      <c r="F44" s="6">
        <v>320.36250000000001</v>
      </c>
      <c r="G44" s="7" t="s">
        <v>9</v>
      </c>
      <c r="H44" s="1">
        <f t="shared" si="0"/>
        <v>0.79199883179120922</v>
      </c>
    </row>
    <row r="45" spans="1:8" x14ac:dyDescent="0.25">
      <c r="A45" s="1" t="s">
        <v>7</v>
      </c>
      <c r="B45" s="1" t="s">
        <v>10</v>
      </c>
      <c r="C45" s="6">
        <v>418909</v>
      </c>
      <c r="D45" s="6">
        <v>259766.57</v>
      </c>
      <c r="E45" s="6">
        <v>202910.88500000001</v>
      </c>
      <c r="F45" s="6">
        <v>202910.88500000001</v>
      </c>
      <c r="G45" s="7" t="s">
        <v>9</v>
      </c>
      <c r="H45" s="1">
        <f t="shared" si="0"/>
        <v>0.62010262372018743</v>
      </c>
    </row>
    <row r="46" spans="1:8" x14ac:dyDescent="0.25">
      <c r="A46" s="1" t="s">
        <v>7</v>
      </c>
      <c r="B46" s="1" t="s">
        <v>11</v>
      </c>
      <c r="C46" s="6">
        <v>15452.25</v>
      </c>
      <c r="D46" s="6">
        <v>736.21</v>
      </c>
      <c r="E46" s="6">
        <v>736.21</v>
      </c>
      <c r="F46" s="6">
        <v>736.21</v>
      </c>
      <c r="G46" s="7" t="s">
        <v>9</v>
      </c>
      <c r="H46" s="1">
        <f t="shared" si="0"/>
        <v>4.7644194211199017E-2</v>
      </c>
    </row>
    <row r="47" spans="1:8" x14ac:dyDescent="0.25">
      <c r="A47" s="1" t="s">
        <v>7</v>
      </c>
      <c r="B47" s="1" t="s">
        <v>11</v>
      </c>
      <c r="C47" s="6">
        <v>83592</v>
      </c>
      <c r="D47" s="6">
        <v>39833.97</v>
      </c>
      <c r="E47" s="6">
        <v>38693.184999999998</v>
      </c>
      <c r="F47" s="6">
        <v>38693.184999999998</v>
      </c>
      <c r="G47" s="7" t="s">
        <v>9</v>
      </c>
      <c r="H47" s="1">
        <f t="shared" si="0"/>
        <v>0.47652849554981341</v>
      </c>
    </row>
    <row r="48" spans="1:8" x14ac:dyDescent="0.25">
      <c r="A48" s="1" t="s">
        <v>7</v>
      </c>
      <c r="B48" s="1" t="s">
        <v>11</v>
      </c>
      <c r="C48" s="6">
        <v>53698</v>
      </c>
      <c r="D48" s="6">
        <v>5587.7775000000001</v>
      </c>
      <c r="E48" s="6">
        <v>2333.5500000000002</v>
      </c>
      <c r="F48" s="6">
        <v>2333.5500000000002</v>
      </c>
      <c r="G48" s="7" t="s">
        <v>9</v>
      </c>
      <c r="H48" s="1">
        <f t="shared" si="0"/>
        <v>0.10405932250735596</v>
      </c>
    </row>
    <row r="49" spans="1:8" x14ac:dyDescent="0.25">
      <c r="A49" s="1" t="s">
        <v>7</v>
      </c>
      <c r="B49" s="1" t="s">
        <v>11</v>
      </c>
      <c r="C49" s="6">
        <v>1344231.5</v>
      </c>
      <c r="D49" s="6">
        <v>1293965.8500000001</v>
      </c>
      <c r="E49" s="6">
        <v>1200537.675</v>
      </c>
      <c r="F49" s="6">
        <v>1187229.8149999999</v>
      </c>
      <c r="G49" s="7" t="s">
        <v>9</v>
      </c>
      <c r="H49" s="1">
        <f t="shared" si="0"/>
        <v>0.96260640373328554</v>
      </c>
    </row>
    <row r="50" spans="1:8" x14ac:dyDescent="0.25">
      <c r="A50" s="1" t="s">
        <v>7</v>
      </c>
      <c r="B50" s="1" t="s">
        <v>11</v>
      </c>
      <c r="C50" s="6">
        <v>671687</v>
      </c>
      <c r="D50" s="6">
        <v>358943.46</v>
      </c>
      <c r="E50" s="6">
        <v>192879.51</v>
      </c>
      <c r="F50" s="6">
        <v>176096.21</v>
      </c>
      <c r="G50" s="7" t="s">
        <v>9</v>
      </c>
      <c r="H50" s="1">
        <f t="shared" si="0"/>
        <v>0.53439095888412314</v>
      </c>
    </row>
    <row r="51" spans="1:8" x14ac:dyDescent="0.25">
      <c r="A51" s="1" t="s">
        <v>7</v>
      </c>
      <c r="B51" s="1" t="s">
        <v>11</v>
      </c>
      <c r="C51" s="6">
        <v>2120</v>
      </c>
      <c r="D51" s="6">
        <v>0</v>
      </c>
      <c r="E51" s="6">
        <v>0</v>
      </c>
      <c r="F51" s="6">
        <v>0</v>
      </c>
      <c r="G51" s="7" t="s">
        <v>9</v>
      </c>
      <c r="H51" s="1">
        <f t="shared" si="0"/>
        <v>0</v>
      </c>
    </row>
    <row r="52" spans="1:8" x14ac:dyDescent="0.25">
      <c r="A52" s="1" t="s">
        <v>7</v>
      </c>
      <c r="B52" s="1" t="s">
        <v>11</v>
      </c>
      <c r="C52" s="6">
        <v>88810600</v>
      </c>
      <c r="D52" s="6">
        <v>86787441.650000006</v>
      </c>
      <c r="E52" s="6">
        <v>77206216.019999996</v>
      </c>
      <c r="F52" s="6">
        <v>76470771.180000007</v>
      </c>
      <c r="G52" s="7" t="s">
        <v>9</v>
      </c>
      <c r="H52" s="1">
        <f t="shared" si="0"/>
        <v>0.97721940455306022</v>
      </c>
    </row>
    <row r="53" spans="1:8" x14ac:dyDescent="0.25">
      <c r="A53" s="1" t="s">
        <v>7</v>
      </c>
      <c r="B53" s="1" t="s">
        <v>11</v>
      </c>
      <c r="C53" s="6">
        <v>7423728</v>
      </c>
      <c r="D53" s="6">
        <v>6629943.6900000004</v>
      </c>
      <c r="E53" s="6">
        <v>6626585.9800000004</v>
      </c>
      <c r="F53" s="6">
        <v>6134563.1600000001</v>
      </c>
      <c r="G53" s="7" t="s">
        <v>9</v>
      </c>
      <c r="H53" s="1">
        <f t="shared" si="0"/>
        <v>0.89307470451503612</v>
      </c>
    </row>
    <row r="54" spans="1:8" x14ac:dyDescent="0.25">
      <c r="A54" s="1" t="s">
        <v>7</v>
      </c>
      <c r="B54" s="1" t="s">
        <v>11</v>
      </c>
      <c r="C54" s="6">
        <v>1000</v>
      </c>
      <c r="D54" s="6">
        <v>0</v>
      </c>
      <c r="E54" s="6">
        <v>0</v>
      </c>
      <c r="F54" s="6">
        <v>0</v>
      </c>
      <c r="G54" s="7" t="s">
        <v>9</v>
      </c>
      <c r="H54" s="1">
        <f t="shared" si="0"/>
        <v>0</v>
      </c>
    </row>
    <row r="55" spans="1:8" x14ac:dyDescent="0.25">
      <c r="A55" s="1" t="s">
        <v>7</v>
      </c>
      <c r="B55" s="1" t="s">
        <v>11</v>
      </c>
      <c r="C55" s="6">
        <v>221691</v>
      </c>
      <c r="D55" s="6">
        <v>66835</v>
      </c>
      <c r="E55" s="6">
        <v>48085</v>
      </c>
      <c r="F55" s="6">
        <v>48085</v>
      </c>
      <c r="G55" s="7" t="s">
        <v>9</v>
      </c>
      <c r="H55" s="1">
        <f t="shared" si="0"/>
        <v>0.30147818359789075</v>
      </c>
    </row>
    <row r="56" spans="1:8" x14ac:dyDescent="0.25">
      <c r="A56" s="1" t="s">
        <v>7</v>
      </c>
      <c r="B56" s="1" t="s">
        <v>11</v>
      </c>
      <c r="C56" s="6">
        <v>1000</v>
      </c>
      <c r="D56" s="6">
        <v>0</v>
      </c>
      <c r="E56" s="6">
        <v>0</v>
      </c>
      <c r="F56" s="6">
        <v>0</v>
      </c>
      <c r="G56" s="7" t="s">
        <v>9</v>
      </c>
      <c r="H56" s="1">
        <f t="shared" si="0"/>
        <v>0</v>
      </c>
    </row>
    <row r="57" spans="1:8" x14ac:dyDescent="0.25">
      <c r="A57" s="1" t="s">
        <v>7</v>
      </c>
      <c r="B57" s="1" t="s">
        <v>11</v>
      </c>
      <c r="C57" s="6">
        <v>5000</v>
      </c>
      <c r="D57" s="6">
        <v>0</v>
      </c>
      <c r="E57" s="6">
        <v>0</v>
      </c>
      <c r="F57" s="6">
        <v>0</v>
      </c>
      <c r="G57" s="7" t="s">
        <v>9</v>
      </c>
      <c r="H57" s="1">
        <f t="shared" si="0"/>
        <v>0</v>
      </c>
    </row>
    <row r="58" spans="1:8" x14ac:dyDescent="0.25">
      <c r="A58" s="1" t="s">
        <v>7</v>
      </c>
      <c r="B58" s="1" t="s">
        <v>11</v>
      </c>
      <c r="C58" s="6">
        <v>108926682</v>
      </c>
      <c r="D58" s="6">
        <v>130722411.06</v>
      </c>
      <c r="E58" s="6">
        <v>125101278.14</v>
      </c>
      <c r="F58" s="6">
        <v>116792178.93000001</v>
      </c>
      <c r="G58" s="7" t="s">
        <v>9</v>
      </c>
      <c r="H58" s="1">
        <f t="shared" si="0"/>
        <v>1.2000954096811651</v>
      </c>
    </row>
    <row r="59" spans="1:8" x14ac:dyDescent="0.25">
      <c r="A59" s="1" t="s">
        <v>7</v>
      </c>
      <c r="B59" s="1" t="s">
        <v>11</v>
      </c>
      <c r="C59" s="6">
        <v>5000</v>
      </c>
      <c r="D59" s="6">
        <v>0</v>
      </c>
      <c r="E59" s="6">
        <v>0</v>
      </c>
      <c r="F59" s="6">
        <v>0</v>
      </c>
      <c r="G59" s="7" t="s">
        <v>9</v>
      </c>
      <c r="H59" s="1">
        <f t="shared" si="0"/>
        <v>0</v>
      </c>
    </row>
    <row r="60" spans="1:8" x14ac:dyDescent="0.25">
      <c r="A60" s="1" t="s">
        <v>7</v>
      </c>
      <c r="B60" s="1" t="s">
        <v>11</v>
      </c>
      <c r="C60" s="6">
        <v>1800000</v>
      </c>
      <c r="D60" s="6">
        <v>457970.58</v>
      </c>
      <c r="E60" s="6">
        <v>390468.92</v>
      </c>
      <c r="F60" s="6">
        <v>359671.06</v>
      </c>
      <c r="G60" s="7" t="s">
        <v>9</v>
      </c>
      <c r="H60" s="1">
        <f t="shared" si="0"/>
        <v>0.25442809999999999</v>
      </c>
    </row>
    <row r="61" spans="1:8" x14ac:dyDescent="0.25">
      <c r="A61" s="1" t="s">
        <v>7</v>
      </c>
      <c r="B61" s="1" t="s">
        <v>11</v>
      </c>
      <c r="C61" s="6">
        <v>2907000</v>
      </c>
      <c r="D61" s="6">
        <v>2932968.28</v>
      </c>
      <c r="E61" s="6">
        <v>2653981.2799999998</v>
      </c>
      <c r="F61" s="6">
        <v>2520181.2799999998</v>
      </c>
      <c r="G61" s="7" t="s">
        <v>9</v>
      </c>
      <c r="H61" s="1">
        <f t="shared" si="0"/>
        <v>1.008933016855865</v>
      </c>
    </row>
    <row r="62" spans="1:8" x14ac:dyDescent="0.25">
      <c r="A62" s="1" t="s">
        <v>7</v>
      </c>
      <c r="B62" s="1" t="s">
        <v>11</v>
      </c>
      <c r="C62" s="6">
        <v>20000</v>
      </c>
      <c r="D62" s="6">
        <v>0</v>
      </c>
      <c r="E62" s="6">
        <v>0</v>
      </c>
      <c r="F62" s="6">
        <v>0</v>
      </c>
      <c r="G62" s="7" t="s">
        <v>9</v>
      </c>
      <c r="H62" s="1">
        <f t="shared" si="0"/>
        <v>0</v>
      </c>
    </row>
    <row r="63" spans="1:8" x14ac:dyDescent="0.25">
      <c r="A63" s="1" t="s">
        <v>7</v>
      </c>
      <c r="B63" s="1" t="s">
        <v>11</v>
      </c>
      <c r="C63" s="6">
        <v>120000</v>
      </c>
      <c r="D63" s="6">
        <v>0</v>
      </c>
      <c r="E63" s="6">
        <v>0</v>
      </c>
      <c r="F63" s="6">
        <v>0</v>
      </c>
      <c r="G63" s="7" t="s">
        <v>9</v>
      </c>
      <c r="H63" s="1">
        <f t="shared" si="0"/>
        <v>0</v>
      </c>
    </row>
    <row r="64" spans="1:8" x14ac:dyDescent="0.25">
      <c r="A64" s="1" t="s">
        <v>7</v>
      </c>
      <c r="B64" s="1" t="s">
        <v>11</v>
      </c>
      <c r="C64" s="6">
        <v>5000</v>
      </c>
      <c r="D64" s="6">
        <v>0</v>
      </c>
      <c r="E64" s="6">
        <v>0</v>
      </c>
      <c r="F64" s="6">
        <v>0</v>
      </c>
      <c r="G64" s="7" t="s">
        <v>9</v>
      </c>
      <c r="H64" s="1">
        <f t="shared" si="0"/>
        <v>0</v>
      </c>
    </row>
    <row r="65" spans="1:8" x14ac:dyDescent="0.25">
      <c r="A65" s="1" t="s">
        <v>7</v>
      </c>
      <c r="B65" s="1" t="s">
        <v>11</v>
      </c>
      <c r="C65" s="6">
        <v>5000</v>
      </c>
      <c r="D65" s="6">
        <v>0</v>
      </c>
      <c r="E65" s="6">
        <v>0</v>
      </c>
      <c r="F65" s="6">
        <v>0</v>
      </c>
      <c r="G65" s="7" t="s">
        <v>9</v>
      </c>
      <c r="H65" s="1">
        <f t="shared" si="0"/>
        <v>0</v>
      </c>
    </row>
    <row r="66" spans="1:8" x14ac:dyDescent="0.25">
      <c r="A66" s="1" t="s">
        <v>7</v>
      </c>
      <c r="B66" s="1" t="s">
        <v>11</v>
      </c>
      <c r="C66" s="6">
        <v>5000</v>
      </c>
      <c r="D66" s="6">
        <v>0</v>
      </c>
      <c r="E66" s="6">
        <v>0</v>
      </c>
      <c r="F66" s="6">
        <v>0</v>
      </c>
      <c r="G66" s="7" t="s">
        <v>9</v>
      </c>
      <c r="H66" s="1">
        <f t="shared" ref="H66:H129" si="1">IF(OR(ISNA($D66),ISNA($C66),$C66=0),0,$D66/$C66)</f>
        <v>0</v>
      </c>
    </row>
    <row r="67" spans="1:8" x14ac:dyDescent="0.25">
      <c r="A67" s="1" t="s">
        <v>7</v>
      </c>
      <c r="B67" s="1" t="s">
        <v>11</v>
      </c>
      <c r="C67" s="6">
        <v>5000</v>
      </c>
      <c r="D67" s="6">
        <v>0</v>
      </c>
      <c r="E67" s="6">
        <v>0</v>
      </c>
      <c r="F67" s="6">
        <v>0</v>
      </c>
      <c r="G67" s="7" t="s">
        <v>9</v>
      </c>
      <c r="H67" s="1">
        <f t="shared" si="1"/>
        <v>0</v>
      </c>
    </row>
    <row r="68" spans="1:8" x14ac:dyDescent="0.25">
      <c r="A68" s="1" t="s">
        <v>7</v>
      </c>
      <c r="B68" s="1" t="s">
        <v>11</v>
      </c>
      <c r="C68" s="6">
        <v>313500</v>
      </c>
      <c r="D68" s="6">
        <v>165532.79999999999</v>
      </c>
      <c r="E68" s="6">
        <v>157492.79999999999</v>
      </c>
      <c r="F68" s="6">
        <v>157492.79999999999</v>
      </c>
      <c r="G68" s="7" t="s">
        <v>9</v>
      </c>
      <c r="H68" s="1">
        <f t="shared" si="1"/>
        <v>0.5280153110047846</v>
      </c>
    </row>
    <row r="69" spans="1:8" x14ac:dyDescent="0.25">
      <c r="A69" s="1" t="s">
        <v>7</v>
      </c>
      <c r="B69" s="1" t="s">
        <v>11</v>
      </c>
      <c r="C69" s="6">
        <v>813100</v>
      </c>
      <c r="D69" s="6">
        <v>362204</v>
      </c>
      <c r="E69" s="6">
        <v>362204</v>
      </c>
      <c r="F69" s="6">
        <v>362204</v>
      </c>
      <c r="G69" s="7" t="s">
        <v>9</v>
      </c>
      <c r="H69" s="1">
        <f t="shared" si="1"/>
        <v>0.44546058295412616</v>
      </c>
    </row>
    <row r="70" spans="1:8" x14ac:dyDescent="0.25">
      <c r="A70" s="1" t="s">
        <v>7</v>
      </c>
      <c r="B70" s="1" t="s">
        <v>11</v>
      </c>
      <c r="C70" s="6">
        <v>78900</v>
      </c>
      <c r="D70" s="6">
        <v>0</v>
      </c>
      <c r="E70" s="6">
        <v>0</v>
      </c>
      <c r="F70" s="6">
        <v>0</v>
      </c>
      <c r="G70" s="7" t="s">
        <v>9</v>
      </c>
      <c r="H70" s="1">
        <f t="shared" si="1"/>
        <v>0</v>
      </c>
    </row>
    <row r="71" spans="1:8" x14ac:dyDescent="0.25">
      <c r="A71" s="1" t="s">
        <v>7</v>
      </c>
      <c r="B71" s="1" t="s">
        <v>11</v>
      </c>
      <c r="C71" s="6">
        <v>7141800</v>
      </c>
      <c r="D71" s="6">
        <v>483306</v>
      </c>
      <c r="E71" s="6">
        <v>483306</v>
      </c>
      <c r="F71" s="6">
        <v>483306</v>
      </c>
      <c r="G71" s="7" t="s">
        <v>9</v>
      </c>
      <c r="H71" s="1">
        <f t="shared" si="1"/>
        <v>6.7672855582626229E-2</v>
      </c>
    </row>
    <row r="72" spans="1:8" x14ac:dyDescent="0.25">
      <c r="A72" s="1" t="s">
        <v>7</v>
      </c>
      <c r="B72" s="1" t="s">
        <v>11</v>
      </c>
      <c r="C72" s="6">
        <v>25900</v>
      </c>
      <c r="D72" s="6">
        <v>4664</v>
      </c>
      <c r="E72" s="6">
        <v>4664</v>
      </c>
      <c r="F72" s="6">
        <v>4664</v>
      </c>
      <c r="G72" s="7" t="s">
        <v>9</v>
      </c>
      <c r="H72" s="1">
        <f t="shared" si="1"/>
        <v>0.18007722007722007</v>
      </c>
    </row>
    <row r="73" spans="1:8" x14ac:dyDescent="0.25">
      <c r="A73" s="1" t="s">
        <v>7</v>
      </c>
      <c r="B73" s="1" t="s">
        <v>11</v>
      </c>
      <c r="C73" s="6">
        <v>309900</v>
      </c>
      <c r="D73" s="6">
        <v>0</v>
      </c>
      <c r="E73" s="6">
        <v>0</v>
      </c>
      <c r="F73" s="6">
        <v>0</v>
      </c>
      <c r="G73" s="7" t="s">
        <v>9</v>
      </c>
      <c r="H73" s="1">
        <f t="shared" si="1"/>
        <v>0</v>
      </c>
    </row>
    <row r="74" spans="1:8" x14ac:dyDescent="0.25">
      <c r="A74" s="1" t="s">
        <v>7</v>
      </c>
      <c r="B74" s="1" t="s">
        <v>11</v>
      </c>
      <c r="C74" s="6">
        <v>624100</v>
      </c>
      <c r="D74" s="6">
        <v>0</v>
      </c>
      <c r="E74" s="6">
        <v>0</v>
      </c>
      <c r="F74" s="6">
        <v>0</v>
      </c>
      <c r="G74" s="7" t="s">
        <v>9</v>
      </c>
      <c r="H74" s="1">
        <f t="shared" si="1"/>
        <v>0</v>
      </c>
    </row>
    <row r="75" spans="1:8" x14ac:dyDescent="0.25">
      <c r="A75" s="1" t="s">
        <v>7</v>
      </c>
      <c r="B75" s="1" t="s">
        <v>11</v>
      </c>
      <c r="C75" s="6">
        <v>689000</v>
      </c>
      <c r="D75" s="6">
        <v>378823.04</v>
      </c>
      <c r="E75" s="6">
        <v>378823.04</v>
      </c>
      <c r="F75" s="6">
        <v>378823.04</v>
      </c>
      <c r="G75" s="7" t="s">
        <v>9</v>
      </c>
      <c r="H75" s="1">
        <f t="shared" si="1"/>
        <v>0.54981573294629893</v>
      </c>
    </row>
    <row r="76" spans="1:8" x14ac:dyDescent="0.25">
      <c r="A76" s="1" t="s">
        <v>7</v>
      </c>
      <c r="B76" s="1" t="s">
        <v>11</v>
      </c>
      <c r="C76" s="6">
        <v>561000</v>
      </c>
      <c r="D76" s="6">
        <v>264534.18</v>
      </c>
      <c r="E76" s="6">
        <v>264534.18</v>
      </c>
      <c r="F76" s="6">
        <v>264534.18</v>
      </c>
      <c r="G76" s="7" t="s">
        <v>9</v>
      </c>
      <c r="H76" s="1">
        <f t="shared" si="1"/>
        <v>0.47154042780748662</v>
      </c>
    </row>
    <row r="77" spans="1:8" x14ac:dyDescent="0.25">
      <c r="A77" s="1" t="s">
        <v>7</v>
      </c>
      <c r="B77" s="1" t="s">
        <v>11</v>
      </c>
      <c r="C77" s="6">
        <v>5000</v>
      </c>
      <c r="D77" s="6">
        <v>0</v>
      </c>
      <c r="E77" s="6">
        <v>0</v>
      </c>
      <c r="F77" s="6">
        <v>0</v>
      </c>
      <c r="G77" s="7" t="s">
        <v>9</v>
      </c>
      <c r="H77" s="1">
        <f t="shared" si="1"/>
        <v>0</v>
      </c>
    </row>
    <row r="78" spans="1:8" x14ac:dyDescent="0.25">
      <c r="A78" s="1" t="s">
        <v>7</v>
      </c>
      <c r="B78" s="1" t="s">
        <v>11</v>
      </c>
      <c r="C78" s="6">
        <v>87319600</v>
      </c>
      <c r="D78" s="6">
        <v>204009456.34999999</v>
      </c>
      <c r="E78" s="6">
        <v>204009456.34999999</v>
      </c>
      <c r="F78" s="6">
        <v>187508302.80000001</v>
      </c>
      <c r="G78" s="7" t="s">
        <v>9</v>
      </c>
      <c r="H78" s="1">
        <f t="shared" si="1"/>
        <v>2.33635353746467</v>
      </c>
    </row>
    <row r="79" spans="1:8" x14ac:dyDescent="0.25">
      <c r="A79" s="1" t="s">
        <v>7</v>
      </c>
      <c r="B79" s="1" t="s">
        <v>11</v>
      </c>
      <c r="C79" s="6">
        <v>2351800</v>
      </c>
      <c r="D79" s="6">
        <v>2398999.58</v>
      </c>
      <c r="E79" s="6">
        <v>2199082.94</v>
      </c>
      <c r="F79" s="6">
        <v>2199082.94</v>
      </c>
      <c r="G79" s="7" t="s">
        <v>9</v>
      </c>
      <c r="H79" s="1">
        <f t="shared" si="1"/>
        <v>1.0200695552342887</v>
      </c>
    </row>
    <row r="80" spans="1:8" x14ac:dyDescent="0.25">
      <c r="A80" s="1" t="s">
        <v>7</v>
      </c>
      <c r="B80" s="1" t="s">
        <v>11</v>
      </c>
      <c r="C80" s="6">
        <v>508800</v>
      </c>
      <c r="D80" s="6">
        <v>0</v>
      </c>
      <c r="E80" s="6">
        <v>0</v>
      </c>
      <c r="F80" s="6">
        <v>0</v>
      </c>
      <c r="G80" s="7" t="s">
        <v>9</v>
      </c>
      <c r="H80" s="1">
        <f t="shared" si="1"/>
        <v>0</v>
      </c>
    </row>
    <row r="81" spans="1:8" x14ac:dyDescent="0.25">
      <c r="A81" s="1" t="s">
        <v>7</v>
      </c>
      <c r="B81" s="1" t="s">
        <v>11</v>
      </c>
      <c r="C81" s="6">
        <v>7680600</v>
      </c>
      <c r="D81" s="6">
        <v>4045500.07</v>
      </c>
      <c r="E81" s="6">
        <v>4045500.07</v>
      </c>
      <c r="F81" s="6">
        <v>4045500.07</v>
      </c>
      <c r="G81" s="7" t="s">
        <v>9</v>
      </c>
      <c r="H81" s="1">
        <f t="shared" si="1"/>
        <v>0.52671667187459315</v>
      </c>
    </row>
    <row r="82" spans="1:8" x14ac:dyDescent="0.25">
      <c r="A82" s="1" t="s">
        <v>7</v>
      </c>
      <c r="B82" s="1" t="s">
        <v>11</v>
      </c>
      <c r="C82" s="6">
        <v>45000</v>
      </c>
      <c r="D82" s="6">
        <v>0</v>
      </c>
      <c r="E82" s="6">
        <v>0</v>
      </c>
      <c r="F82" s="6">
        <v>0</v>
      </c>
      <c r="G82" s="7" t="s">
        <v>9</v>
      </c>
      <c r="H82" s="1">
        <f t="shared" si="1"/>
        <v>0</v>
      </c>
    </row>
    <row r="83" spans="1:8" x14ac:dyDescent="0.25">
      <c r="A83" s="1" t="s">
        <v>7</v>
      </c>
      <c r="B83" s="1" t="s">
        <v>11</v>
      </c>
      <c r="C83" s="6">
        <v>1524100</v>
      </c>
      <c r="D83" s="6">
        <v>0</v>
      </c>
      <c r="E83" s="6">
        <v>0</v>
      </c>
      <c r="F83" s="6">
        <v>0</v>
      </c>
      <c r="G83" s="7" t="s">
        <v>9</v>
      </c>
      <c r="H83" s="1">
        <f t="shared" si="1"/>
        <v>0</v>
      </c>
    </row>
    <row r="84" spans="1:8" x14ac:dyDescent="0.25">
      <c r="A84" s="1" t="s">
        <v>7</v>
      </c>
      <c r="B84" s="1" t="s">
        <v>11</v>
      </c>
      <c r="C84" s="6">
        <v>4984820</v>
      </c>
      <c r="D84" s="6">
        <v>242267.41</v>
      </c>
      <c r="E84" s="6">
        <v>242267.41</v>
      </c>
      <c r="F84" s="6">
        <v>239387.41</v>
      </c>
      <c r="G84" s="7" t="s">
        <v>9</v>
      </c>
      <c r="H84" s="1">
        <f t="shared" si="1"/>
        <v>4.8601034741475119E-2</v>
      </c>
    </row>
    <row r="85" spans="1:8" x14ac:dyDescent="0.25">
      <c r="A85" s="1" t="s">
        <v>7</v>
      </c>
      <c r="B85" s="1" t="s">
        <v>11</v>
      </c>
      <c r="C85" s="6">
        <v>5000</v>
      </c>
      <c r="D85" s="6">
        <v>0</v>
      </c>
      <c r="E85" s="6">
        <v>0</v>
      </c>
      <c r="F85" s="6">
        <v>0</v>
      </c>
      <c r="G85" s="7" t="s">
        <v>9</v>
      </c>
      <c r="H85" s="1">
        <f t="shared" si="1"/>
        <v>0</v>
      </c>
    </row>
    <row r="86" spans="1:8" x14ac:dyDescent="0.25">
      <c r="A86" s="1" t="s">
        <v>7</v>
      </c>
      <c r="B86" s="1" t="s">
        <v>11</v>
      </c>
      <c r="C86" s="6">
        <v>4002020</v>
      </c>
      <c r="D86" s="6">
        <v>0</v>
      </c>
      <c r="E86" s="6">
        <v>0</v>
      </c>
      <c r="F86" s="6">
        <v>0</v>
      </c>
      <c r="G86" s="7" t="s">
        <v>9</v>
      </c>
      <c r="H86" s="1">
        <f t="shared" si="1"/>
        <v>0</v>
      </c>
    </row>
    <row r="87" spans="1:8" x14ac:dyDescent="0.25">
      <c r="A87" s="1" t="s">
        <v>7</v>
      </c>
      <c r="B87" s="1" t="s">
        <v>11</v>
      </c>
      <c r="C87" s="6">
        <v>15000</v>
      </c>
      <c r="D87" s="6">
        <v>0</v>
      </c>
      <c r="E87" s="6">
        <v>0</v>
      </c>
      <c r="F87" s="6">
        <v>0</v>
      </c>
      <c r="G87" s="7" t="s">
        <v>9</v>
      </c>
      <c r="H87" s="1">
        <f t="shared" si="1"/>
        <v>0</v>
      </c>
    </row>
    <row r="88" spans="1:8" x14ac:dyDescent="0.25">
      <c r="A88" s="1" t="s">
        <v>7</v>
      </c>
      <c r="B88" s="1" t="s">
        <v>11</v>
      </c>
      <c r="C88" s="6">
        <v>50349000</v>
      </c>
      <c r="D88" s="6">
        <v>70612444.099999994</v>
      </c>
      <c r="E88" s="6">
        <v>70594368.859999999</v>
      </c>
      <c r="F88" s="6">
        <v>70594368.859999999</v>
      </c>
      <c r="G88" s="7" t="s">
        <v>9</v>
      </c>
      <c r="H88" s="1">
        <f t="shared" si="1"/>
        <v>1.402459713201851</v>
      </c>
    </row>
    <row r="89" spans="1:8" x14ac:dyDescent="0.25">
      <c r="A89" s="1" t="s">
        <v>7</v>
      </c>
      <c r="B89" s="1" t="s">
        <v>11</v>
      </c>
      <c r="C89" s="6">
        <v>939900</v>
      </c>
      <c r="D89" s="6">
        <v>0</v>
      </c>
      <c r="E89" s="6">
        <v>0</v>
      </c>
      <c r="F89" s="6">
        <v>0</v>
      </c>
      <c r="G89" s="7" t="s">
        <v>9</v>
      </c>
      <c r="H89" s="1">
        <f t="shared" si="1"/>
        <v>0</v>
      </c>
    </row>
    <row r="90" spans="1:8" x14ac:dyDescent="0.25">
      <c r="A90" s="1" t="s">
        <v>7</v>
      </c>
      <c r="B90" s="1" t="s">
        <v>11</v>
      </c>
      <c r="C90" s="6">
        <v>13965300</v>
      </c>
      <c r="D90" s="6">
        <v>48370960.460000001</v>
      </c>
      <c r="E90" s="6">
        <v>48370960.460000001</v>
      </c>
      <c r="F90" s="6">
        <v>48370960.460000001</v>
      </c>
      <c r="G90" s="7" t="s">
        <v>9</v>
      </c>
      <c r="H90" s="1">
        <f t="shared" si="1"/>
        <v>3.463653516931251</v>
      </c>
    </row>
    <row r="91" spans="1:8" x14ac:dyDescent="0.25">
      <c r="A91" s="1" t="s">
        <v>7</v>
      </c>
      <c r="B91" s="1" t="s">
        <v>11</v>
      </c>
      <c r="C91" s="6">
        <v>26300</v>
      </c>
      <c r="D91" s="6">
        <v>0</v>
      </c>
      <c r="E91" s="6">
        <v>0</v>
      </c>
      <c r="F91" s="6">
        <v>0</v>
      </c>
      <c r="G91" s="7" t="s">
        <v>9</v>
      </c>
      <c r="H91" s="1">
        <f t="shared" si="1"/>
        <v>0</v>
      </c>
    </row>
    <row r="92" spans="1:8" x14ac:dyDescent="0.25">
      <c r="A92" s="1" t="s">
        <v>7</v>
      </c>
      <c r="B92" s="1" t="s">
        <v>11</v>
      </c>
      <c r="C92" s="6">
        <v>49305100</v>
      </c>
      <c r="D92" s="6">
        <v>28373401.190000001</v>
      </c>
      <c r="E92" s="6">
        <v>28373401.190000001</v>
      </c>
      <c r="F92" s="6">
        <v>28373401.190000001</v>
      </c>
      <c r="G92" s="7" t="s">
        <v>9</v>
      </c>
      <c r="H92" s="1">
        <f t="shared" si="1"/>
        <v>0.57546584815769564</v>
      </c>
    </row>
    <row r="93" spans="1:8" x14ac:dyDescent="0.25">
      <c r="A93" s="1" t="s">
        <v>7</v>
      </c>
      <c r="B93" s="1" t="s">
        <v>11</v>
      </c>
      <c r="C93" s="6">
        <v>2338500</v>
      </c>
      <c r="D93" s="6">
        <v>0</v>
      </c>
      <c r="E93" s="6">
        <v>0</v>
      </c>
      <c r="F93" s="6">
        <v>0</v>
      </c>
      <c r="G93" s="7" t="s">
        <v>9</v>
      </c>
      <c r="H93" s="1">
        <f t="shared" si="1"/>
        <v>0</v>
      </c>
    </row>
    <row r="94" spans="1:8" x14ac:dyDescent="0.25">
      <c r="A94" s="1" t="s">
        <v>7</v>
      </c>
      <c r="B94" s="1" t="s">
        <v>11</v>
      </c>
      <c r="C94" s="6">
        <v>4618200</v>
      </c>
      <c r="D94" s="6">
        <v>1842725.75</v>
      </c>
      <c r="E94" s="6">
        <v>1842725.75</v>
      </c>
      <c r="F94" s="6">
        <v>1842725.75</v>
      </c>
      <c r="G94" s="7" t="s">
        <v>9</v>
      </c>
      <c r="H94" s="1">
        <f t="shared" si="1"/>
        <v>0.39901384738642759</v>
      </c>
    </row>
    <row r="95" spans="1:8" x14ac:dyDescent="0.25">
      <c r="A95" s="1" t="s">
        <v>7</v>
      </c>
      <c r="B95" s="1" t="s">
        <v>11</v>
      </c>
      <c r="C95" s="6">
        <v>8500</v>
      </c>
      <c r="D95" s="6">
        <v>0</v>
      </c>
      <c r="E95" s="6">
        <v>0</v>
      </c>
      <c r="F95" s="6">
        <v>0</v>
      </c>
      <c r="G95" s="7" t="s">
        <v>9</v>
      </c>
      <c r="H95" s="1">
        <f t="shared" si="1"/>
        <v>0</v>
      </c>
    </row>
    <row r="96" spans="1:8" x14ac:dyDescent="0.25">
      <c r="A96" s="1" t="s">
        <v>7</v>
      </c>
      <c r="B96" s="1" t="s">
        <v>11</v>
      </c>
      <c r="C96" s="6">
        <v>1483773515</v>
      </c>
      <c r="D96" s="6">
        <v>1628384280.4200001</v>
      </c>
      <c r="E96" s="6">
        <v>1565398453.6700001</v>
      </c>
      <c r="F96" s="6">
        <v>1430465332.2</v>
      </c>
      <c r="G96" s="7" t="s">
        <v>9</v>
      </c>
      <c r="H96" s="1">
        <f t="shared" si="1"/>
        <v>1.0974614817949491</v>
      </c>
    </row>
    <row r="97" spans="1:8" x14ac:dyDescent="0.25">
      <c r="A97" s="1" t="s">
        <v>7</v>
      </c>
      <c r="B97" s="1" t="s">
        <v>11</v>
      </c>
      <c r="C97" s="6">
        <v>29299516</v>
      </c>
      <c r="D97" s="6">
        <v>30607570.780000001</v>
      </c>
      <c r="E97" s="6">
        <v>30607570.780000001</v>
      </c>
      <c r="F97" s="6">
        <v>27815269.219999999</v>
      </c>
      <c r="G97" s="7" t="s">
        <v>9</v>
      </c>
      <c r="H97" s="1">
        <f t="shared" si="1"/>
        <v>1.044644245317909</v>
      </c>
    </row>
    <row r="98" spans="1:8" x14ac:dyDescent="0.25">
      <c r="A98" s="1" t="s">
        <v>7</v>
      </c>
      <c r="B98" s="1" t="s">
        <v>11</v>
      </c>
      <c r="C98" s="6">
        <v>5000</v>
      </c>
      <c r="D98" s="6">
        <v>0</v>
      </c>
      <c r="E98" s="6">
        <v>0</v>
      </c>
      <c r="F98" s="6">
        <v>0</v>
      </c>
      <c r="G98" s="7" t="s">
        <v>9</v>
      </c>
      <c r="H98" s="1">
        <f t="shared" si="1"/>
        <v>0</v>
      </c>
    </row>
    <row r="99" spans="1:8" x14ac:dyDescent="0.25">
      <c r="A99" s="1" t="s">
        <v>7</v>
      </c>
      <c r="B99" s="1" t="s">
        <v>11</v>
      </c>
      <c r="C99" s="6">
        <v>21525900</v>
      </c>
      <c r="D99" s="6">
        <v>0</v>
      </c>
      <c r="E99" s="6">
        <v>0</v>
      </c>
      <c r="F99" s="6">
        <v>0</v>
      </c>
      <c r="G99" s="7" t="s">
        <v>9</v>
      </c>
      <c r="H99" s="1">
        <f t="shared" si="1"/>
        <v>0</v>
      </c>
    </row>
    <row r="100" spans="1:8" x14ac:dyDescent="0.25">
      <c r="A100" s="1" t="s">
        <v>7</v>
      </c>
      <c r="B100" s="1" t="s">
        <v>11</v>
      </c>
      <c r="C100" s="6">
        <v>15000</v>
      </c>
      <c r="D100" s="6">
        <v>0</v>
      </c>
      <c r="E100" s="6">
        <v>0</v>
      </c>
      <c r="F100" s="6">
        <v>0</v>
      </c>
      <c r="G100" s="7" t="s">
        <v>9</v>
      </c>
      <c r="H100" s="1">
        <f t="shared" si="1"/>
        <v>0</v>
      </c>
    </row>
    <row r="101" spans="1:8" x14ac:dyDescent="0.25">
      <c r="A101" s="1" t="s">
        <v>7</v>
      </c>
      <c r="B101" s="1" t="s">
        <v>11</v>
      </c>
      <c r="C101" s="6">
        <v>5000</v>
      </c>
      <c r="D101" s="6">
        <v>0</v>
      </c>
      <c r="E101" s="6">
        <v>0</v>
      </c>
      <c r="F101" s="6">
        <v>0</v>
      </c>
      <c r="G101" s="7" t="s">
        <v>9</v>
      </c>
      <c r="H101" s="1">
        <f t="shared" si="1"/>
        <v>0</v>
      </c>
    </row>
    <row r="102" spans="1:8" x14ac:dyDescent="0.25">
      <c r="A102" s="1" t="s">
        <v>7</v>
      </c>
      <c r="B102" s="1" t="s">
        <v>11</v>
      </c>
      <c r="C102" s="6">
        <v>15000</v>
      </c>
      <c r="D102" s="6">
        <v>0</v>
      </c>
      <c r="E102" s="6">
        <v>0</v>
      </c>
      <c r="F102" s="6">
        <v>0</v>
      </c>
      <c r="G102" s="7" t="s">
        <v>9</v>
      </c>
      <c r="H102" s="1">
        <f t="shared" si="1"/>
        <v>0</v>
      </c>
    </row>
    <row r="103" spans="1:8" x14ac:dyDescent="0.25">
      <c r="A103" s="1" t="s">
        <v>7</v>
      </c>
      <c r="B103" s="1" t="s">
        <v>11</v>
      </c>
      <c r="C103" s="6">
        <v>20000</v>
      </c>
      <c r="D103" s="6">
        <v>0</v>
      </c>
      <c r="E103" s="6">
        <v>0</v>
      </c>
      <c r="F103" s="6">
        <v>0</v>
      </c>
      <c r="G103" s="7" t="s">
        <v>9</v>
      </c>
      <c r="H103" s="1">
        <f t="shared" si="1"/>
        <v>0</v>
      </c>
    </row>
    <row r="104" spans="1:8" x14ac:dyDescent="0.25">
      <c r="A104" s="1" t="s">
        <v>7</v>
      </c>
      <c r="B104" s="1" t="s">
        <v>11</v>
      </c>
      <c r="C104" s="6">
        <v>5370938</v>
      </c>
      <c r="D104" s="6">
        <v>5032069.7</v>
      </c>
      <c r="E104" s="6">
        <v>5032069.7</v>
      </c>
      <c r="F104" s="6">
        <v>5032069.7</v>
      </c>
      <c r="G104" s="7" t="s">
        <v>9</v>
      </c>
      <c r="H104" s="1">
        <f t="shared" si="1"/>
        <v>0.93690705422404807</v>
      </c>
    </row>
    <row r="105" spans="1:8" x14ac:dyDescent="0.25">
      <c r="A105" s="1" t="s">
        <v>7</v>
      </c>
      <c r="B105" s="1" t="s">
        <v>11</v>
      </c>
      <c r="C105" s="6">
        <v>3045006</v>
      </c>
      <c r="D105" s="6">
        <v>0</v>
      </c>
      <c r="E105" s="6">
        <v>0</v>
      </c>
      <c r="F105" s="6">
        <v>0</v>
      </c>
      <c r="G105" s="7" t="s">
        <v>9</v>
      </c>
      <c r="H105" s="1">
        <f t="shared" si="1"/>
        <v>0</v>
      </c>
    </row>
    <row r="106" spans="1:8" x14ac:dyDescent="0.25">
      <c r="A106" s="1" t="s">
        <v>7</v>
      </c>
      <c r="B106" s="1" t="s">
        <v>11</v>
      </c>
      <c r="C106" s="6">
        <v>18529950</v>
      </c>
      <c r="D106" s="6">
        <v>16842936.420000002</v>
      </c>
      <c r="E106" s="6">
        <v>16842936.420000002</v>
      </c>
      <c r="F106" s="6">
        <v>15688925.33</v>
      </c>
      <c r="G106" s="7" t="s">
        <v>9</v>
      </c>
      <c r="H106" s="1">
        <f t="shared" si="1"/>
        <v>0.90895746723547566</v>
      </c>
    </row>
    <row r="107" spans="1:8" x14ac:dyDescent="0.25">
      <c r="A107" s="1" t="s">
        <v>7</v>
      </c>
      <c r="B107" s="1" t="s">
        <v>11</v>
      </c>
      <c r="C107" s="6">
        <v>60000</v>
      </c>
      <c r="D107" s="6">
        <v>0</v>
      </c>
      <c r="E107" s="6">
        <v>0</v>
      </c>
      <c r="F107" s="6">
        <v>0</v>
      </c>
      <c r="G107" s="7" t="s">
        <v>9</v>
      </c>
      <c r="H107" s="1">
        <f t="shared" si="1"/>
        <v>0</v>
      </c>
    </row>
    <row r="108" spans="1:8" x14ac:dyDescent="0.25">
      <c r="A108" s="1" t="s">
        <v>7</v>
      </c>
      <c r="B108" s="1" t="s">
        <v>11</v>
      </c>
      <c r="C108" s="6">
        <v>60000</v>
      </c>
      <c r="D108" s="6">
        <v>0</v>
      </c>
      <c r="E108" s="6">
        <v>0</v>
      </c>
      <c r="F108" s="6">
        <v>0</v>
      </c>
      <c r="G108" s="7" t="s">
        <v>9</v>
      </c>
      <c r="H108" s="1">
        <f t="shared" si="1"/>
        <v>0</v>
      </c>
    </row>
    <row r="109" spans="1:8" x14ac:dyDescent="0.25">
      <c r="A109" s="1" t="s">
        <v>7</v>
      </c>
      <c r="B109" s="1" t="s">
        <v>11</v>
      </c>
      <c r="C109" s="6">
        <v>1434636</v>
      </c>
      <c r="D109" s="6">
        <v>0</v>
      </c>
      <c r="E109" s="6">
        <v>0</v>
      </c>
      <c r="F109" s="6">
        <v>0</v>
      </c>
      <c r="G109" s="7" t="s">
        <v>9</v>
      </c>
      <c r="H109" s="1">
        <f t="shared" si="1"/>
        <v>0</v>
      </c>
    </row>
    <row r="110" spans="1:8" x14ac:dyDescent="0.25">
      <c r="A110" s="1" t="s">
        <v>7</v>
      </c>
      <c r="B110" s="1" t="s">
        <v>11</v>
      </c>
      <c r="C110" s="6">
        <v>300000</v>
      </c>
      <c r="D110" s="6">
        <v>47156.04</v>
      </c>
      <c r="E110" s="6">
        <v>47156.04</v>
      </c>
      <c r="F110" s="6">
        <v>47156.04</v>
      </c>
      <c r="G110" s="7" t="s">
        <v>9</v>
      </c>
      <c r="H110" s="1">
        <f t="shared" si="1"/>
        <v>0.15718680000000002</v>
      </c>
    </row>
    <row r="111" spans="1:8" x14ac:dyDescent="0.25">
      <c r="A111" s="1" t="s">
        <v>7</v>
      </c>
      <c r="B111" s="1" t="s">
        <v>11</v>
      </c>
      <c r="C111" s="6">
        <v>20000</v>
      </c>
      <c r="D111" s="6">
        <v>0</v>
      </c>
      <c r="E111" s="6">
        <v>0</v>
      </c>
      <c r="F111" s="6">
        <v>0</v>
      </c>
      <c r="G111" s="7" t="s">
        <v>9</v>
      </c>
      <c r="H111" s="1">
        <f t="shared" si="1"/>
        <v>0</v>
      </c>
    </row>
    <row r="112" spans="1:8" x14ac:dyDescent="0.25">
      <c r="A112" s="1" t="s">
        <v>7</v>
      </c>
      <c r="B112" s="1" t="s">
        <v>11</v>
      </c>
      <c r="C112" s="6">
        <v>1899300</v>
      </c>
      <c r="D112" s="6">
        <v>1949316</v>
      </c>
      <c r="E112" s="6">
        <v>1949316</v>
      </c>
      <c r="F112" s="6">
        <v>1949316</v>
      </c>
      <c r="G112" s="7" t="s">
        <v>9</v>
      </c>
      <c r="H112" s="1">
        <f t="shared" si="1"/>
        <v>1.0263339124940767</v>
      </c>
    </row>
    <row r="113" spans="1:8" x14ac:dyDescent="0.25">
      <c r="A113" s="1" t="s">
        <v>7</v>
      </c>
      <c r="B113" s="1" t="s">
        <v>11</v>
      </c>
      <c r="C113" s="6">
        <v>2600000</v>
      </c>
      <c r="D113" s="6">
        <v>1912705.82</v>
      </c>
      <c r="E113" s="6">
        <v>1912705.82</v>
      </c>
      <c r="F113" s="6">
        <v>1912705.82</v>
      </c>
      <c r="G113" s="7" t="s">
        <v>9</v>
      </c>
      <c r="H113" s="1">
        <f t="shared" si="1"/>
        <v>0.73565608461538468</v>
      </c>
    </row>
    <row r="114" spans="1:8" x14ac:dyDescent="0.25">
      <c r="A114" s="1" t="s">
        <v>7</v>
      </c>
      <c r="B114" s="1" t="s">
        <v>11</v>
      </c>
      <c r="C114" s="6">
        <v>20000</v>
      </c>
      <c r="D114" s="6">
        <v>0</v>
      </c>
      <c r="E114" s="6">
        <v>0</v>
      </c>
      <c r="F114" s="6">
        <v>0</v>
      </c>
      <c r="G114" s="7" t="s">
        <v>9</v>
      </c>
      <c r="H114" s="1">
        <f t="shared" si="1"/>
        <v>0</v>
      </c>
    </row>
    <row r="115" spans="1:8" x14ac:dyDescent="0.25">
      <c r="A115" s="1" t="s">
        <v>7</v>
      </c>
      <c r="B115" s="1" t="s">
        <v>11</v>
      </c>
      <c r="C115" s="6">
        <v>180000</v>
      </c>
      <c r="D115" s="6">
        <v>0</v>
      </c>
      <c r="E115" s="6">
        <v>0</v>
      </c>
      <c r="F115" s="6">
        <v>0</v>
      </c>
      <c r="G115" s="7" t="s">
        <v>9</v>
      </c>
      <c r="H115" s="1">
        <f t="shared" si="1"/>
        <v>0</v>
      </c>
    </row>
    <row r="116" spans="1:8" x14ac:dyDescent="0.25">
      <c r="A116" s="1" t="s">
        <v>7</v>
      </c>
      <c r="B116" s="1" t="s">
        <v>11</v>
      </c>
      <c r="C116" s="6">
        <v>5000</v>
      </c>
      <c r="D116" s="6">
        <v>0</v>
      </c>
      <c r="E116" s="6">
        <v>0</v>
      </c>
      <c r="F116" s="6">
        <v>0</v>
      </c>
      <c r="G116" s="7" t="s">
        <v>9</v>
      </c>
      <c r="H116" s="1">
        <f t="shared" si="1"/>
        <v>0</v>
      </c>
    </row>
    <row r="117" spans="1:8" x14ac:dyDescent="0.25">
      <c r="A117" s="1" t="s">
        <v>7</v>
      </c>
      <c r="B117" s="1" t="s">
        <v>11</v>
      </c>
      <c r="C117" s="6">
        <v>1200000</v>
      </c>
      <c r="D117" s="6">
        <v>0</v>
      </c>
      <c r="E117" s="6">
        <v>0</v>
      </c>
      <c r="F117" s="6">
        <v>0</v>
      </c>
      <c r="G117" s="7" t="s">
        <v>9</v>
      </c>
      <c r="H117" s="1">
        <f t="shared" si="1"/>
        <v>0</v>
      </c>
    </row>
    <row r="118" spans="1:8" x14ac:dyDescent="0.25">
      <c r="A118" s="1" t="s">
        <v>7</v>
      </c>
      <c r="B118" s="1" t="s">
        <v>11</v>
      </c>
      <c r="C118" s="6">
        <v>5000</v>
      </c>
      <c r="D118" s="6">
        <v>0</v>
      </c>
      <c r="E118" s="6">
        <v>0</v>
      </c>
      <c r="F118" s="6">
        <v>0</v>
      </c>
      <c r="G118" s="7" t="s">
        <v>9</v>
      </c>
      <c r="H118" s="1">
        <f t="shared" si="1"/>
        <v>0</v>
      </c>
    </row>
    <row r="119" spans="1:8" x14ac:dyDescent="0.25">
      <c r="A119" s="1" t="s">
        <v>7</v>
      </c>
      <c r="B119" s="1" t="s">
        <v>11</v>
      </c>
      <c r="C119" s="6">
        <v>2000000</v>
      </c>
      <c r="D119" s="6">
        <v>0</v>
      </c>
      <c r="E119" s="6">
        <v>0</v>
      </c>
      <c r="F119" s="6">
        <v>0</v>
      </c>
      <c r="G119" s="7" t="s">
        <v>9</v>
      </c>
      <c r="H119" s="1">
        <f t="shared" si="1"/>
        <v>0</v>
      </c>
    </row>
    <row r="120" spans="1:8" x14ac:dyDescent="0.25">
      <c r="A120" s="1" t="s">
        <v>7</v>
      </c>
      <c r="B120" s="1" t="s">
        <v>11</v>
      </c>
      <c r="C120" s="6">
        <v>5000</v>
      </c>
      <c r="D120" s="6">
        <v>6720</v>
      </c>
      <c r="E120" s="6">
        <v>6720</v>
      </c>
      <c r="F120" s="6">
        <v>4480</v>
      </c>
      <c r="G120" s="7" t="s">
        <v>9</v>
      </c>
      <c r="H120" s="1">
        <f t="shared" si="1"/>
        <v>1.3440000000000001</v>
      </c>
    </row>
    <row r="121" spans="1:8" x14ac:dyDescent="0.25">
      <c r="A121" s="1" t="s">
        <v>7</v>
      </c>
      <c r="B121" s="1" t="s">
        <v>11</v>
      </c>
      <c r="C121" s="6">
        <v>26877000</v>
      </c>
      <c r="D121" s="6">
        <v>7755324.25</v>
      </c>
      <c r="E121" s="6">
        <v>7755324.25</v>
      </c>
      <c r="F121" s="6">
        <v>7755324.25</v>
      </c>
      <c r="G121" s="7" t="s">
        <v>9</v>
      </c>
      <c r="H121" s="1">
        <f t="shared" si="1"/>
        <v>0.28854873125720876</v>
      </c>
    </row>
    <row r="122" spans="1:8" x14ac:dyDescent="0.25">
      <c r="A122" s="1" t="s">
        <v>7</v>
      </c>
      <c r="B122" s="1" t="s">
        <v>11</v>
      </c>
      <c r="C122" s="6">
        <v>866500</v>
      </c>
      <c r="D122" s="6">
        <v>16378789.74</v>
      </c>
      <c r="E122" s="6">
        <v>16378789.74</v>
      </c>
      <c r="F122" s="6">
        <v>16378789.74</v>
      </c>
      <c r="G122" s="7" t="s">
        <v>9</v>
      </c>
      <c r="H122" s="1">
        <f t="shared" si="1"/>
        <v>18.90223859203693</v>
      </c>
    </row>
    <row r="123" spans="1:8" x14ac:dyDescent="0.25">
      <c r="A123" s="1" t="s">
        <v>7</v>
      </c>
      <c r="B123" s="1" t="s">
        <v>11</v>
      </c>
      <c r="C123" s="6">
        <v>25225700</v>
      </c>
      <c r="D123" s="6">
        <v>1636757.42</v>
      </c>
      <c r="E123" s="6">
        <v>1636757.42</v>
      </c>
      <c r="F123" s="6">
        <v>1636757.42</v>
      </c>
      <c r="G123" s="7" t="s">
        <v>9</v>
      </c>
      <c r="H123" s="1">
        <f t="shared" si="1"/>
        <v>6.4884519359224915E-2</v>
      </c>
    </row>
    <row r="124" spans="1:8" x14ac:dyDescent="0.25">
      <c r="A124" s="1" t="s">
        <v>7</v>
      </c>
      <c r="B124" s="1" t="s">
        <v>11</v>
      </c>
      <c r="C124" s="6">
        <v>1421500</v>
      </c>
      <c r="D124" s="6">
        <v>208983.66</v>
      </c>
      <c r="E124" s="6">
        <v>208983.66</v>
      </c>
      <c r="F124" s="6">
        <v>208983.66</v>
      </c>
      <c r="G124" s="7" t="s">
        <v>9</v>
      </c>
      <c r="H124" s="1">
        <f t="shared" si="1"/>
        <v>0.14701629264861063</v>
      </c>
    </row>
    <row r="125" spans="1:8" x14ac:dyDescent="0.25">
      <c r="A125" s="1" t="s">
        <v>7</v>
      </c>
      <c r="B125" s="1" t="s">
        <v>11</v>
      </c>
      <c r="C125" s="6">
        <v>903457859</v>
      </c>
      <c r="D125" s="6">
        <v>928652110.86000001</v>
      </c>
      <c r="E125" s="6">
        <v>922439359.72000003</v>
      </c>
      <c r="F125" s="6">
        <v>845340784.71000004</v>
      </c>
      <c r="G125" s="7" t="s">
        <v>9</v>
      </c>
      <c r="H125" s="1">
        <f t="shared" si="1"/>
        <v>1.0278864715260616</v>
      </c>
    </row>
    <row r="126" spans="1:8" x14ac:dyDescent="0.25">
      <c r="A126" s="1" t="s">
        <v>7</v>
      </c>
      <c r="B126" s="1" t="s">
        <v>11</v>
      </c>
      <c r="C126" s="6">
        <v>45000</v>
      </c>
      <c r="D126" s="6">
        <v>21568016.370000001</v>
      </c>
      <c r="E126" s="6">
        <v>3596837.37</v>
      </c>
      <c r="F126" s="6">
        <v>3596837.37</v>
      </c>
      <c r="G126" s="7" t="s">
        <v>9</v>
      </c>
      <c r="H126" s="1">
        <f t="shared" si="1"/>
        <v>479.2892526666667</v>
      </c>
    </row>
    <row r="127" spans="1:8" x14ac:dyDescent="0.25">
      <c r="A127" s="1" t="s">
        <v>7</v>
      </c>
      <c r="B127" s="1" t="s">
        <v>11</v>
      </c>
      <c r="C127" s="6">
        <v>424826294</v>
      </c>
      <c r="D127" s="6">
        <v>398280982.47000003</v>
      </c>
      <c r="E127" s="6">
        <v>398229303.47000003</v>
      </c>
      <c r="F127" s="6">
        <v>398194624.88999999</v>
      </c>
      <c r="G127" s="7" t="s">
        <v>9</v>
      </c>
      <c r="H127" s="1">
        <f t="shared" si="1"/>
        <v>0.93751490455061148</v>
      </c>
    </row>
    <row r="128" spans="1:8" x14ac:dyDescent="0.25">
      <c r="A128" s="1" t="s">
        <v>7</v>
      </c>
      <c r="B128" s="1" t="s">
        <v>11</v>
      </c>
      <c r="C128" s="6">
        <v>5000</v>
      </c>
      <c r="D128" s="6">
        <v>0</v>
      </c>
      <c r="E128" s="6">
        <v>0</v>
      </c>
      <c r="F128" s="6">
        <v>0</v>
      </c>
      <c r="G128" s="7" t="s">
        <v>9</v>
      </c>
      <c r="H128" s="1">
        <f t="shared" si="1"/>
        <v>0</v>
      </c>
    </row>
    <row r="129" spans="1:8" x14ac:dyDescent="0.25">
      <c r="A129" s="1" t="s">
        <v>7</v>
      </c>
      <c r="B129" s="1" t="s">
        <v>11</v>
      </c>
      <c r="C129" s="6">
        <v>5000</v>
      </c>
      <c r="D129" s="6">
        <v>0</v>
      </c>
      <c r="E129" s="6">
        <v>0</v>
      </c>
      <c r="F129" s="6">
        <v>0</v>
      </c>
      <c r="G129" s="7" t="s">
        <v>9</v>
      </c>
      <c r="H129" s="1">
        <f t="shared" si="1"/>
        <v>0</v>
      </c>
    </row>
    <row r="130" spans="1:8" x14ac:dyDescent="0.25">
      <c r="A130" s="1" t="s">
        <v>7</v>
      </c>
      <c r="B130" s="1" t="s">
        <v>11</v>
      </c>
      <c r="C130" s="6">
        <v>1558500</v>
      </c>
      <c r="D130" s="6">
        <v>0</v>
      </c>
      <c r="E130" s="6">
        <v>0</v>
      </c>
      <c r="F130" s="6">
        <v>0</v>
      </c>
      <c r="G130" s="7" t="s">
        <v>9</v>
      </c>
      <c r="H130" s="1">
        <f t="shared" ref="H130:H193" si="2">IF(OR(ISNA($D130),ISNA($C130),$C130=0),0,$D130/$C130)</f>
        <v>0</v>
      </c>
    </row>
    <row r="131" spans="1:8" x14ac:dyDescent="0.25">
      <c r="A131" s="1" t="s">
        <v>7</v>
      </c>
      <c r="B131" s="1" t="s">
        <v>11</v>
      </c>
      <c r="C131" s="6">
        <v>45000</v>
      </c>
      <c r="D131" s="6">
        <v>0</v>
      </c>
      <c r="E131" s="6">
        <v>0</v>
      </c>
      <c r="F131" s="6">
        <v>0</v>
      </c>
      <c r="G131" s="7" t="s">
        <v>9</v>
      </c>
      <c r="H131" s="1">
        <f t="shared" si="2"/>
        <v>0</v>
      </c>
    </row>
    <row r="132" spans="1:8" x14ac:dyDescent="0.25">
      <c r="A132" s="1" t="s">
        <v>7</v>
      </c>
      <c r="B132" s="1" t="s">
        <v>11</v>
      </c>
      <c r="C132" s="6">
        <v>1434618</v>
      </c>
      <c r="D132" s="6">
        <v>0</v>
      </c>
      <c r="E132" s="6">
        <v>0</v>
      </c>
      <c r="F132" s="6">
        <v>0</v>
      </c>
      <c r="G132" s="7" t="s">
        <v>9</v>
      </c>
      <c r="H132" s="1">
        <f t="shared" si="2"/>
        <v>0</v>
      </c>
    </row>
    <row r="133" spans="1:8" x14ac:dyDescent="0.25">
      <c r="A133" s="1" t="s">
        <v>7</v>
      </c>
      <c r="B133" s="1" t="s">
        <v>11</v>
      </c>
      <c r="C133" s="6">
        <v>3700000</v>
      </c>
      <c r="D133" s="6">
        <v>141468.21</v>
      </c>
      <c r="E133" s="6">
        <v>141468.21</v>
      </c>
      <c r="F133" s="6">
        <v>141468.21</v>
      </c>
      <c r="G133" s="7" t="s">
        <v>9</v>
      </c>
      <c r="H133" s="1">
        <f t="shared" si="2"/>
        <v>3.8234651351351352E-2</v>
      </c>
    </row>
    <row r="134" spans="1:8" x14ac:dyDescent="0.25">
      <c r="A134" s="1" t="s">
        <v>7</v>
      </c>
      <c r="B134" s="1" t="s">
        <v>11</v>
      </c>
      <c r="C134" s="6">
        <v>5000</v>
      </c>
      <c r="D134" s="6">
        <v>0</v>
      </c>
      <c r="E134" s="6">
        <v>0</v>
      </c>
      <c r="F134" s="6">
        <v>0</v>
      </c>
      <c r="G134" s="7" t="s">
        <v>9</v>
      </c>
      <c r="H134" s="1">
        <f t="shared" si="2"/>
        <v>0</v>
      </c>
    </row>
    <row r="135" spans="1:8" x14ac:dyDescent="0.25">
      <c r="A135" s="1" t="s">
        <v>7</v>
      </c>
      <c r="B135" s="1" t="s">
        <v>11</v>
      </c>
      <c r="C135" s="6">
        <v>45000</v>
      </c>
      <c r="D135" s="6">
        <v>0</v>
      </c>
      <c r="E135" s="6">
        <v>0</v>
      </c>
      <c r="F135" s="6">
        <v>0</v>
      </c>
      <c r="G135" s="7" t="s">
        <v>9</v>
      </c>
      <c r="H135" s="1">
        <f t="shared" si="2"/>
        <v>0</v>
      </c>
    </row>
    <row r="136" spans="1:8" x14ac:dyDescent="0.25">
      <c r="A136" s="1" t="s">
        <v>7</v>
      </c>
      <c r="B136" s="1" t="s">
        <v>11</v>
      </c>
      <c r="C136" s="6">
        <v>4766300</v>
      </c>
      <c r="D136" s="6">
        <v>805929.12</v>
      </c>
      <c r="E136" s="6">
        <v>805929.12</v>
      </c>
      <c r="F136" s="6">
        <v>805929.12</v>
      </c>
      <c r="G136" s="7" t="s">
        <v>9</v>
      </c>
      <c r="H136" s="1">
        <f t="shared" si="2"/>
        <v>0.16908904601053229</v>
      </c>
    </row>
    <row r="137" spans="1:8" x14ac:dyDescent="0.25">
      <c r="A137" s="1" t="s">
        <v>7</v>
      </c>
      <c r="B137" s="1" t="s">
        <v>11</v>
      </c>
      <c r="C137" s="6">
        <v>1320000</v>
      </c>
      <c r="D137" s="6">
        <v>347016.21</v>
      </c>
      <c r="E137" s="6">
        <v>347016.21</v>
      </c>
      <c r="F137" s="6">
        <v>347016.21</v>
      </c>
      <c r="G137" s="7" t="s">
        <v>9</v>
      </c>
      <c r="H137" s="1">
        <f t="shared" si="2"/>
        <v>0.26289106818181818</v>
      </c>
    </row>
    <row r="138" spans="1:8" x14ac:dyDescent="0.25">
      <c r="A138" s="1" t="s">
        <v>7</v>
      </c>
      <c r="B138" s="1" t="s">
        <v>11</v>
      </c>
      <c r="C138" s="6">
        <v>150000</v>
      </c>
      <c r="D138" s="6">
        <v>0</v>
      </c>
      <c r="E138" s="6">
        <v>0</v>
      </c>
      <c r="F138" s="6">
        <v>0</v>
      </c>
      <c r="G138" s="7" t="s">
        <v>9</v>
      </c>
      <c r="H138" s="1">
        <f t="shared" si="2"/>
        <v>0</v>
      </c>
    </row>
    <row r="139" spans="1:8" x14ac:dyDescent="0.25">
      <c r="A139" s="1" t="s">
        <v>7</v>
      </c>
      <c r="B139" s="1" t="s">
        <v>11</v>
      </c>
      <c r="C139" s="6">
        <v>6673.75</v>
      </c>
      <c r="D139" s="6">
        <v>0</v>
      </c>
      <c r="E139" s="6">
        <v>0</v>
      </c>
      <c r="F139" s="6">
        <v>0</v>
      </c>
      <c r="G139" s="7" t="s">
        <v>9</v>
      </c>
      <c r="H139" s="1">
        <f t="shared" si="2"/>
        <v>0</v>
      </c>
    </row>
    <row r="140" spans="1:8" x14ac:dyDescent="0.25">
      <c r="A140" s="1" t="s">
        <v>7</v>
      </c>
      <c r="B140" s="1" t="s">
        <v>11</v>
      </c>
      <c r="C140" s="6">
        <v>1969</v>
      </c>
      <c r="D140" s="6">
        <v>2280</v>
      </c>
      <c r="E140" s="6">
        <v>2280</v>
      </c>
      <c r="F140" s="6">
        <v>2280</v>
      </c>
      <c r="G140" s="7" t="s">
        <v>9</v>
      </c>
      <c r="H140" s="1">
        <f t="shared" si="2"/>
        <v>1.1579481970543424</v>
      </c>
    </row>
    <row r="141" spans="1:8" x14ac:dyDescent="0.25">
      <c r="A141" s="1" t="s">
        <v>7</v>
      </c>
      <c r="B141" s="1" t="s">
        <v>11</v>
      </c>
      <c r="C141" s="6">
        <v>3626.5</v>
      </c>
      <c r="D141" s="6">
        <v>0</v>
      </c>
      <c r="E141" s="6">
        <v>0</v>
      </c>
      <c r="F141" s="6">
        <v>0</v>
      </c>
      <c r="G141" s="7" t="s">
        <v>9</v>
      </c>
      <c r="H141" s="1">
        <f t="shared" si="2"/>
        <v>0</v>
      </c>
    </row>
    <row r="142" spans="1:8" x14ac:dyDescent="0.25">
      <c r="A142" s="1" t="s">
        <v>7</v>
      </c>
      <c r="B142" s="1" t="s">
        <v>11</v>
      </c>
      <c r="C142" s="6">
        <v>405</v>
      </c>
      <c r="D142" s="6">
        <v>0</v>
      </c>
      <c r="E142" s="6">
        <v>0</v>
      </c>
      <c r="F142" s="6">
        <v>0</v>
      </c>
      <c r="G142" s="7" t="s">
        <v>9</v>
      </c>
      <c r="H142" s="1">
        <f t="shared" si="2"/>
        <v>0</v>
      </c>
    </row>
    <row r="143" spans="1:8" x14ac:dyDescent="0.25">
      <c r="A143" s="1" t="s">
        <v>7</v>
      </c>
      <c r="B143" s="1" t="s">
        <v>11</v>
      </c>
      <c r="C143" s="6">
        <v>5343489</v>
      </c>
      <c r="D143" s="6">
        <v>14234804.689999999</v>
      </c>
      <c r="E143" s="6">
        <v>14234804.689999999</v>
      </c>
      <c r="F143" s="6">
        <v>12011539.539999999</v>
      </c>
      <c r="G143" s="7" t="s">
        <v>9</v>
      </c>
      <c r="H143" s="1">
        <f t="shared" si="2"/>
        <v>2.6639532129662848</v>
      </c>
    </row>
    <row r="144" spans="1:8" x14ac:dyDescent="0.25">
      <c r="A144" s="1" t="s">
        <v>7</v>
      </c>
      <c r="B144" s="1" t="s">
        <v>11</v>
      </c>
      <c r="C144" s="6">
        <v>180762</v>
      </c>
      <c r="D144" s="6">
        <v>100233.3325</v>
      </c>
      <c r="E144" s="6">
        <v>100233.3325</v>
      </c>
      <c r="F144" s="6">
        <v>84733.332500000004</v>
      </c>
      <c r="G144" s="7" t="s">
        <v>9</v>
      </c>
      <c r="H144" s="1">
        <f t="shared" si="2"/>
        <v>0.55450444507141994</v>
      </c>
    </row>
    <row r="145" spans="1:8" x14ac:dyDescent="0.25">
      <c r="A145" s="1" t="s">
        <v>12</v>
      </c>
      <c r="B145" s="1" t="s">
        <v>13</v>
      </c>
      <c r="C145" s="6">
        <v>1428305.75</v>
      </c>
      <c r="D145" s="6">
        <v>0</v>
      </c>
      <c r="E145" s="6">
        <v>0</v>
      </c>
      <c r="F145" s="6">
        <v>0</v>
      </c>
      <c r="G145" s="7" t="s">
        <v>9</v>
      </c>
      <c r="H145" s="1">
        <f t="shared" si="2"/>
        <v>0</v>
      </c>
    </row>
    <row r="146" spans="1:8" x14ac:dyDescent="0.25">
      <c r="A146" s="1" t="s">
        <v>12</v>
      </c>
      <c r="B146" s="1" t="s">
        <v>13</v>
      </c>
      <c r="C146" s="6">
        <v>846469</v>
      </c>
      <c r="D146" s="6">
        <v>1926681.3025</v>
      </c>
      <c r="E146" s="6">
        <v>1903967.2075</v>
      </c>
      <c r="F146" s="6">
        <v>1903967.2075</v>
      </c>
      <c r="G146" s="7" t="s">
        <v>9</v>
      </c>
      <c r="H146" s="1">
        <f t="shared" si="2"/>
        <v>2.276139235459302</v>
      </c>
    </row>
    <row r="147" spans="1:8" x14ac:dyDescent="0.25">
      <c r="A147" s="1" t="s">
        <v>12</v>
      </c>
      <c r="B147" s="1" t="s">
        <v>13</v>
      </c>
      <c r="C147" s="6">
        <v>3112</v>
      </c>
      <c r="D147" s="6">
        <v>0</v>
      </c>
      <c r="E147" s="6">
        <v>0</v>
      </c>
      <c r="F147" s="6">
        <v>0</v>
      </c>
      <c r="G147" s="7" t="s">
        <v>9</v>
      </c>
      <c r="H147" s="1">
        <f t="shared" si="2"/>
        <v>0</v>
      </c>
    </row>
    <row r="148" spans="1:8" x14ac:dyDescent="0.25">
      <c r="A148" s="1" t="s">
        <v>12</v>
      </c>
      <c r="B148" s="1" t="s">
        <v>13</v>
      </c>
      <c r="C148" s="6">
        <v>14352.25</v>
      </c>
      <c r="D148" s="6">
        <v>0</v>
      </c>
      <c r="E148" s="6">
        <v>0</v>
      </c>
      <c r="F148" s="6">
        <v>0</v>
      </c>
      <c r="G148" s="7" t="s">
        <v>9</v>
      </c>
      <c r="H148" s="1">
        <f t="shared" si="2"/>
        <v>0</v>
      </c>
    </row>
    <row r="149" spans="1:8" x14ac:dyDescent="0.25">
      <c r="A149" s="1" t="s">
        <v>12</v>
      </c>
      <c r="B149" s="1" t="s">
        <v>13</v>
      </c>
      <c r="C149" s="6">
        <v>2555151.25</v>
      </c>
      <c r="D149" s="6">
        <v>28762.267500000002</v>
      </c>
      <c r="E149" s="6">
        <v>28762.267500000002</v>
      </c>
      <c r="F149" s="6">
        <v>28762.267500000002</v>
      </c>
      <c r="G149" s="7" t="s">
        <v>9</v>
      </c>
      <c r="H149" s="1">
        <f t="shared" si="2"/>
        <v>1.1256581190643803E-2</v>
      </c>
    </row>
    <row r="150" spans="1:8" x14ac:dyDescent="0.25">
      <c r="A150" s="1" t="s">
        <v>12</v>
      </c>
      <c r="B150" s="1" t="s">
        <v>13</v>
      </c>
      <c r="C150" s="6">
        <v>397217.75</v>
      </c>
      <c r="D150" s="6">
        <v>0</v>
      </c>
      <c r="E150" s="6">
        <v>0</v>
      </c>
      <c r="F150" s="6">
        <v>0</v>
      </c>
      <c r="G150" s="7" t="s">
        <v>9</v>
      </c>
      <c r="H150" s="1">
        <f t="shared" si="2"/>
        <v>0</v>
      </c>
    </row>
    <row r="151" spans="1:8" x14ac:dyDescent="0.25">
      <c r="A151" s="1" t="s">
        <v>12</v>
      </c>
      <c r="B151" s="1" t="s">
        <v>13</v>
      </c>
      <c r="C151" s="6">
        <v>12750</v>
      </c>
      <c r="D151" s="6">
        <v>0</v>
      </c>
      <c r="E151" s="6">
        <v>0</v>
      </c>
      <c r="F151" s="6">
        <v>0</v>
      </c>
      <c r="G151" s="7" t="s">
        <v>9</v>
      </c>
      <c r="H151" s="1">
        <f t="shared" si="2"/>
        <v>0</v>
      </c>
    </row>
    <row r="152" spans="1:8" x14ac:dyDescent="0.25">
      <c r="A152" s="1" t="s">
        <v>12</v>
      </c>
      <c r="B152" s="1" t="s">
        <v>13</v>
      </c>
      <c r="C152" s="6">
        <v>150500</v>
      </c>
      <c r="D152" s="6">
        <v>0</v>
      </c>
      <c r="E152" s="6">
        <v>0</v>
      </c>
      <c r="F152" s="6">
        <v>0</v>
      </c>
      <c r="G152" s="7" t="s">
        <v>9</v>
      </c>
      <c r="H152" s="1">
        <f t="shared" si="2"/>
        <v>0</v>
      </c>
    </row>
    <row r="153" spans="1:8" x14ac:dyDescent="0.25">
      <c r="A153" s="1" t="s">
        <v>12</v>
      </c>
      <c r="B153" s="1" t="s">
        <v>13</v>
      </c>
      <c r="C153" s="6">
        <v>17250</v>
      </c>
      <c r="D153" s="6">
        <v>0</v>
      </c>
      <c r="E153" s="6">
        <v>0</v>
      </c>
      <c r="F153" s="6">
        <v>0</v>
      </c>
      <c r="G153" s="7" t="s">
        <v>9</v>
      </c>
      <c r="H153" s="1">
        <f t="shared" si="2"/>
        <v>0</v>
      </c>
    </row>
    <row r="154" spans="1:8" x14ac:dyDescent="0.25">
      <c r="A154" s="1" t="s">
        <v>12</v>
      </c>
      <c r="B154" s="1" t="s">
        <v>13</v>
      </c>
      <c r="C154" s="6">
        <v>1242981.75</v>
      </c>
      <c r="D154" s="6">
        <v>255192.6925</v>
      </c>
      <c r="E154" s="6">
        <v>255192.6925</v>
      </c>
      <c r="F154" s="6">
        <v>255192.6925</v>
      </c>
      <c r="G154" s="7" t="s">
        <v>9</v>
      </c>
      <c r="H154" s="1">
        <f t="shared" si="2"/>
        <v>0.20530686995203268</v>
      </c>
    </row>
    <row r="155" spans="1:8" x14ac:dyDescent="0.25">
      <c r="A155" s="1" t="s">
        <v>12</v>
      </c>
      <c r="B155" s="1" t="s">
        <v>13</v>
      </c>
      <c r="C155" s="6">
        <v>264455.75</v>
      </c>
      <c r="D155" s="6">
        <v>0</v>
      </c>
      <c r="E155" s="6">
        <v>0</v>
      </c>
      <c r="F155" s="6">
        <v>0</v>
      </c>
      <c r="G155" s="7" t="s">
        <v>9</v>
      </c>
      <c r="H155" s="1">
        <f t="shared" si="2"/>
        <v>0</v>
      </c>
    </row>
    <row r="156" spans="1:8" x14ac:dyDescent="0.25">
      <c r="A156" s="1" t="s">
        <v>12</v>
      </c>
      <c r="B156" s="1" t="s">
        <v>13</v>
      </c>
      <c r="C156" s="6">
        <v>2500</v>
      </c>
      <c r="D156" s="6">
        <v>17500</v>
      </c>
      <c r="E156" s="6">
        <v>16162.897499999999</v>
      </c>
      <c r="F156" s="6">
        <v>16162.897499999999</v>
      </c>
      <c r="G156" s="7" t="s">
        <v>9</v>
      </c>
      <c r="H156" s="1">
        <f t="shared" si="2"/>
        <v>7</v>
      </c>
    </row>
    <row r="157" spans="1:8" x14ac:dyDescent="0.25">
      <c r="A157" s="1" t="s">
        <v>12</v>
      </c>
      <c r="B157" s="1" t="s">
        <v>13</v>
      </c>
      <c r="C157" s="6">
        <v>1651082</v>
      </c>
      <c r="D157" s="6">
        <v>96323.85</v>
      </c>
      <c r="E157" s="6">
        <v>40347.07</v>
      </c>
      <c r="F157" s="6">
        <v>40347.07</v>
      </c>
      <c r="G157" s="7" t="s">
        <v>9</v>
      </c>
      <c r="H157" s="1">
        <f t="shared" si="2"/>
        <v>5.8339834120897695E-2</v>
      </c>
    </row>
    <row r="158" spans="1:8" x14ac:dyDescent="0.25">
      <c r="A158" s="1" t="s">
        <v>12</v>
      </c>
      <c r="B158" s="1" t="s">
        <v>13</v>
      </c>
      <c r="C158" s="6">
        <v>1228017.25</v>
      </c>
      <c r="D158" s="6">
        <v>2615630.7124999999</v>
      </c>
      <c r="E158" s="6">
        <v>1971873.7375</v>
      </c>
      <c r="F158" s="6">
        <v>1971873.7375</v>
      </c>
      <c r="G158" s="7" t="s">
        <v>9</v>
      </c>
      <c r="H158" s="1">
        <f t="shared" si="2"/>
        <v>2.1299625168131797</v>
      </c>
    </row>
    <row r="159" spans="1:8" x14ac:dyDescent="0.25">
      <c r="A159" s="1" t="s">
        <v>12</v>
      </c>
      <c r="B159" s="1" t="s">
        <v>13</v>
      </c>
      <c r="C159" s="6">
        <v>26062.5</v>
      </c>
      <c r="D159" s="6">
        <v>0</v>
      </c>
      <c r="E159" s="6">
        <v>0</v>
      </c>
      <c r="F159" s="6">
        <v>0</v>
      </c>
      <c r="G159" s="7" t="s">
        <v>9</v>
      </c>
      <c r="H159" s="1">
        <f t="shared" si="2"/>
        <v>0</v>
      </c>
    </row>
    <row r="160" spans="1:8" x14ac:dyDescent="0.25">
      <c r="A160" s="1" t="s">
        <v>12</v>
      </c>
      <c r="B160" s="1" t="s">
        <v>13</v>
      </c>
      <c r="C160" s="6">
        <v>1754190</v>
      </c>
      <c r="D160" s="6">
        <v>0</v>
      </c>
      <c r="E160" s="6">
        <v>0</v>
      </c>
      <c r="F160" s="6">
        <v>0</v>
      </c>
      <c r="G160" s="7" t="s">
        <v>9</v>
      </c>
      <c r="H160" s="1">
        <f t="shared" si="2"/>
        <v>0</v>
      </c>
    </row>
    <row r="161" spans="1:8" x14ac:dyDescent="0.25">
      <c r="A161" s="1" t="s">
        <v>12</v>
      </c>
      <c r="B161" s="1" t="s">
        <v>13</v>
      </c>
      <c r="C161" s="6">
        <v>267232.5</v>
      </c>
      <c r="D161" s="6">
        <v>326314.07250000001</v>
      </c>
      <c r="E161" s="6">
        <v>229385.60000000001</v>
      </c>
      <c r="F161" s="6">
        <v>229385.60000000001</v>
      </c>
      <c r="G161" s="7" t="s">
        <v>9</v>
      </c>
      <c r="H161" s="1">
        <f t="shared" si="2"/>
        <v>1.2210867783671522</v>
      </c>
    </row>
    <row r="162" spans="1:8" x14ac:dyDescent="0.25">
      <c r="A162" s="1" t="s">
        <v>12</v>
      </c>
      <c r="B162" s="1" t="s">
        <v>13</v>
      </c>
      <c r="C162" s="6">
        <v>1219326.5</v>
      </c>
      <c r="D162" s="6">
        <v>0</v>
      </c>
      <c r="E162" s="6">
        <v>0</v>
      </c>
      <c r="F162" s="6">
        <v>0</v>
      </c>
      <c r="G162" s="7" t="s">
        <v>9</v>
      </c>
      <c r="H162" s="1">
        <f t="shared" si="2"/>
        <v>0</v>
      </c>
    </row>
    <row r="163" spans="1:8" x14ac:dyDescent="0.25">
      <c r="A163" s="1" t="s">
        <v>12</v>
      </c>
      <c r="B163" s="1" t="s">
        <v>13</v>
      </c>
      <c r="C163" s="6">
        <v>287455.5</v>
      </c>
      <c r="D163" s="6">
        <v>0</v>
      </c>
      <c r="E163" s="6">
        <v>0</v>
      </c>
      <c r="F163" s="6">
        <v>0</v>
      </c>
      <c r="G163" s="7" t="s">
        <v>9</v>
      </c>
      <c r="H163" s="1">
        <f t="shared" si="2"/>
        <v>0</v>
      </c>
    </row>
    <row r="164" spans="1:8" x14ac:dyDescent="0.25">
      <c r="A164" s="1" t="s">
        <v>12</v>
      </c>
      <c r="B164" s="1" t="s">
        <v>13</v>
      </c>
      <c r="C164" s="6">
        <v>499515</v>
      </c>
      <c r="D164" s="6">
        <v>256674.61749999999</v>
      </c>
      <c r="E164" s="6">
        <v>234343.41500000001</v>
      </c>
      <c r="F164" s="6">
        <v>206104.26749999999</v>
      </c>
      <c r="G164" s="7" t="s">
        <v>9</v>
      </c>
      <c r="H164" s="1">
        <f t="shared" si="2"/>
        <v>0.51384766723722008</v>
      </c>
    </row>
    <row r="165" spans="1:8" x14ac:dyDescent="0.25">
      <c r="A165" s="1" t="s">
        <v>12</v>
      </c>
      <c r="B165" s="1" t="s">
        <v>13</v>
      </c>
      <c r="C165" s="6">
        <v>8862.5</v>
      </c>
      <c r="D165" s="6">
        <v>500</v>
      </c>
      <c r="E165" s="6">
        <v>500</v>
      </c>
      <c r="F165" s="6">
        <v>500</v>
      </c>
      <c r="G165" s="7" t="s">
        <v>9</v>
      </c>
      <c r="H165" s="1">
        <f t="shared" si="2"/>
        <v>5.6417489421720736E-2</v>
      </c>
    </row>
    <row r="166" spans="1:8" x14ac:dyDescent="0.25">
      <c r="A166" s="1" t="s">
        <v>12</v>
      </c>
      <c r="B166" s="1" t="s">
        <v>13</v>
      </c>
      <c r="C166" s="6">
        <v>23125</v>
      </c>
      <c r="D166" s="6">
        <v>96368.985000000001</v>
      </c>
      <c r="E166" s="6">
        <v>95243.985000000001</v>
      </c>
      <c r="F166" s="6">
        <v>95243.985000000001</v>
      </c>
      <c r="G166" s="7" t="s">
        <v>9</v>
      </c>
      <c r="H166" s="1">
        <f t="shared" si="2"/>
        <v>4.1673074594594599</v>
      </c>
    </row>
    <row r="167" spans="1:8" x14ac:dyDescent="0.25">
      <c r="A167" s="1" t="s">
        <v>12</v>
      </c>
      <c r="B167" s="1" t="s">
        <v>13</v>
      </c>
      <c r="C167" s="6">
        <v>694910</v>
      </c>
      <c r="D167" s="6">
        <v>2471082.42</v>
      </c>
      <c r="E167" s="6">
        <v>2428513.585</v>
      </c>
      <c r="F167" s="6">
        <v>1954331.355</v>
      </c>
      <c r="G167" s="7" t="s">
        <v>9</v>
      </c>
      <c r="H167" s="1">
        <f t="shared" si="2"/>
        <v>3.5559747593213507</v>
      </c>
    </row>
    <row r="168" spans="1:8" x14ac:dyDescent="0.25">
      <c r="A168" s="1" t="s">
        <v>12</v>
      </c>
      <c r="B168" s="1" t="s">
        <v>13</v>
      </c>
      <c r="C168" s="6">
        <v>4870660.5</v>
      </c>
      <c r="D168" s="6">
        <v>1579489.27</v>
      </c>
      <c r="E168" s="6">
        <v>1328939.7175</v>
      </c>
      <c r="F168" s="6">
        <v>1314662.0449999999</v>
      </c>
      <c r="G168" s="7" t="s">
        <v>9</v>
      </c>
      <c r="H168" s="1">
        <f t="shared" si="2"/>
        <v>0.32428646381738163</v>
      </c>
    </row>
    <row r="169" spans="1:8" x14ac:dyDescent="0.25">
      <c r="A169" s="1" t="s">
        <v>12</v>
      </c>
      <c r="B169" s="1" t="s">
        <v>13</v>
      </c>
      <c r="C169" s="6">
        <v>169290.75</v>
      </c>
      <c r="D169" s="6">
        <v>0</v>
      </c>
      <c r="E169" s="6">
        <v>0</v>
      </c>
      <c r="F169" s="6">
        <v>0</v>
      </c>
      <c r="G169" s="7" t="s">
        <v>9</v>
      </c>
      <c r="H169" s="1">
        <f t="shared" si="2"/>
        <v>0</v>
      </c>
    </row>
    <row r="170" spans="1:8" x14ac:dyDescent="0.25">
      <c r="A170" s="1" t="s">
        <v>12</v>
      </c>
      <c r="B170" s="1" t="s">
        <v>13</v>
      </c>
      <c r="C170" s="6">
        <v>1519873.75</v>
      </c>
      <c r="D170" s="6">
        <v>2215995.0175000001</v>
      </c>
      <c r="E170" s="6">
        <v>2186804.2374999998</v>
      </c>
      <c r="F170" s="6">
        <v>2186804.2374999998</v>
      </c>
      <c r="G170" s="7" t="s">
        <v>9</v>
      </c>
      <c r="H170" s="1">
        <f t="shared" si="2"/>
        <v>1.458012560253771</v>
      </c>
    </row>
    <row r="171" spans="1:8" x14ac:dyDescent="0.25">
      <c r="A171" s="1" t="s">
        <v>12</v>
      </c>
      <c r="B171" s="1" t="s">
        <v>13</v>
      </c>
      <c r="C171" s="6">
        <v>1413543.75</v>
      </c>
      <c r="D171" s="6">
        <v>970708.00749999995</v>
      </c>
      <c r="E171" s="6">
        <v>819357.17500000005</v>
      </c>
      <c r="F171" s="6">
        <v>796027.60750000004</v>
      </c>
      <c r="G171" s="7" t="s">
        <v>9</v>
      </c>
      <c r="H171" s="1">
        <f t="shared" si="2"/>
        <v>0.68671946482024337</v>
      </c>
    </row>
    <row r="172" spans="1:8" x14ac:dyDescent="0.25">
      <c r="A172" s="1" t="s">
        <v>12</v>
      </c>
      <c r="B172" s="1" t="s">
        <v>13</v>
      </c>
      <c r="C172" s="6">
        <v>727807.5</v>
      </c>
      <c r="D172" s="6">
        <v>1181695.6425000001</v>
      </c>
      <c r="E172" s="6">
        <v>1073729.23</v>
      </c>
      <c r="F172" s="6">
        <v>1073729.23</v>
      </c>
      <c r="G172" s="7" t="s">
        <v>9</v>
      </c>
      <c r="H172" s="1">
        <f t="shared" si="2"/>
        <v>1.6236376273946065</v>
      </c>
    </row>
    <row r="173" spans="1:8" x14ac:dyDescent="0.25">
      <c r="A173" s="1" t="s">
        <v>12</v>
      </c>
      <c r="B173" s="1" t="s">
        <v>13</v>
      </c>
      <c r="C173" s="6">
        <v>913082.75</v>
      </c>
      <c r="D173" s="6">
        <v>532750.375</v>
      </c>
      <c r="E173" s="6">
        <v>332343.83</v>
      </c>
      <c r="F173" s="6">
        <v>332343.83</v>
      </c>
      <c r="G173" s="7" t="s">
        <v>9</v>
      </c>
      <c r="H173" s="1">
        <f t="shared" si="2"/>
        <v>0.58346341007975455</v>
      </c>
    </row>
    <row r="174" spans="1:8" x14ac:dyDescent="0.25">
      <c r="A174" s="1" t="s">
        <v>12</v>
      </c>
      <c r="B174" s="1" t="s">
        <v>13</v>
      </c>
      <c r="C174" s="6">
        <v>2877765.25</v>
      </c>
      <c r="D174" s="6">
        <v>1576819.2625</v>
      </c>
      <c r="E174" s="6">
        <v>1421850.06</v>
      </c>
      <c r="F174" s="6">
        <v>1421850.06</v>
      </c>
      <c r="G174" s="7" t="s">
        <v>9</v>
      </c>
      <c r="H174" s="1">
        <f t="shared" si="2"/>
        <v>0.54793185875741601</v>
      </c>
    </row>
    <row r="175" spans="1:8" x14ac:dyDescent="0.25">
      <c r="A175" s="1" t="s">
        <v>12</v>
      </c>
      <c r="B175" s="1" t="s">
        <v>13</v>
      </c>
      <c r="C175" s="6">
        <v>10358460</v>
      </c>
      <c r="D175" s="6">
        <v>8364947.7575000003</v>
      </c>
      <c r="E175" s="6">
        <v>6927605.4649999999</v>
      </c>
      <c r="F175" s="6">
        <v>6457470.0175000001</v>
      </c>
      <c r="G175" s="7" t="s">
        <v>9</v>
      </c>
      <c r="H175" s="1">
        <f t="shared" si="2"/>
        <v>0.80754743055434886</v>
      </c>
    </row>
    <row r="176" spans="1:8" x14ac:dyDescent="0.25">
      <c r="A176" s="1" t="s">
        <v>12</v>
      </c>
      <c r="B176" s="1" t="s">
        <v>13</v>
      </c>
      <c r="C176" s="6">
        <v>3455568</v>
      </c>
      <c r="D176" s="6">
        <v>1680751.94</v>
      </c>
      <c r="E176" s="6">
        <v>1281272.2124999999</v>
      </c>
      <c r="F176" s="6">
        <v>1226015.08</v>
      </c>
      <c r="G176" s="7" t="s">
        <v>9</v>
      </c>
      <c r="H176" s="1">
        <f t="shared" si="2"/>
        <v>0.4863894850282211</v>
      </c>
    </row>
    <row r="177" spans="1:8" x14ac:dyDescent="0.25">
      <c r="A177" s="1" t="s">
        <v>12</v>
      </c>
      <c r="B177" s="1" t="s">
        <v>13</v>
      </c>
      <c r="C177" s="6">
        <v>593996.25</v>
      </c>
      <c r="D177" s="6">
        <v>370839.46500000003</v>
      </c>
      <c r="E177" s="6">
        <v>263809.66499999998</v>
      </c>
      <c r="F177" s="6">
        <v>263809.66499999998</v>
      </c>
      <c r="G177" s="7" t="s">
        <v>9</v>
      </c>
      <c r="H177" s="1">
        <f t="shared" si="2"/>
        <v>0.62431280500508213</v>
      </c>
    </row>
    <row r="178" spans="1:8" x14ac:dyDescent="0.25">
      <c r="A178" s="1" t="s">
        <v>12</v>
      </c>
      <c r="B178" s="1" t="s">
        <v>13</v>
      </c>
      <c r="C178" s="6">
        <v>584966.5</v>
      </c>
      <c r="D178" s="6">
        <v>76250</v>
      </c>
      <c r="E178" s="6">
        <v>0</v>
      </c>
      <c r="F178" s="6">
        <v>0</v>
      </c>
      <c r="G178" s="7" t="s">
        <v>9</v>
      </c>
      <c r="H178" s="1">
        <f t="shared" si="2"/>
        <v>0.13034934479153934</v>
      </c>
    </row>
    <row r="179" spans="1:8" x14ac:dyDescent="0.25">
      <c r="A179" s="1" t="s">
        <v>12</v>
      </c>
      <c r="B179" s="1" t="s">
        <v>13</v>
      </c>
      <c r="C179" s="6">
        <v>352305.75</v>
      </c>
      <c r="D179" s="6">
        <v>0</v>
      </c>
      <c r="E179" s="6">
        <v>0</v>
      </c>
      <c r="F179" s="6">
        <v>0</v>
      </c>
      <c r="G179" s="7" t="s">
        <v>9</v>
      </c>
      <c r="H179" s="1">
        <f t="shared" si="2"/>
        <v>0</v>
      </c>
    </row>
    <row r="180" spans="1:8" x14ac:dyDescent="0.25">
      <c r="A180" s="1" t="s">
        <v>12</v>
      </c>
      <c r="B180" s="1" t="s">
        <v>13</v>
      </c>
      <c r="C180" s="6">
        <v>277845.25</v>
      </c>
      <c r="D180" s="6">
        <v>0</v>
      </c>
      <c r="E180" s="6">
        <v>0</v>
      </c>
      <c r="F180" s="6">
        <v>0</v>
      </c>
      <c r="G180" s="7" t="s">
        <v>9</v>
      </c>
      <c r="H180" s="1">
        <f t="shared" si="2"/>
        <v>0</v>
      </c>
    </row>
    <row r="181" spans="1:8" x14ac:dyDescent="0.25">
      <c r="A181" s="1" t="s">
        <v>12</v>
      </c>
      <c r="B181" s="1" t="s">
        <v>13</v>
      </c>
      <c r="C181" s="6">
        <v>14262.5</v>
      </c>
      <c r="D181" s="6">
        <v>0</v>
      </c>
      <c r="E181" s="6">
        <v>0</v>
      </c>
      <c r="F181" s="6">
        <v>0</v>
      </c>
      <c r="G181" s="7" t="s">
        <v>9</v>
      </c>
      <c r="H181" s="1">
        <f t="shared" si="2"/>
        <v>0</v>
      </c>
    </row>
    <row r="182" spans="1:8" x14ac:dyDescent="0.25">
      <c r="A182" s="1" t="s">
        <v>12</v>
      </c>
      <c r="B182" s="1" t="s">
        <v>13</v>
      </c>
      <c r="C182" s="6">
        <v>1630193.75</v>
      </c>
      <c r="D182" s="6">
        <v>97857.25</v>
      </c>
      <c r="E182" s="6">
        <v>38292.9</v>
      </c>
      <c r="F182" s="6">
        <v>34381.287499999999</v>
      </c>
      <c r="G182" s="7" t="s">
        <v>9</v>
      </c>
      <c r="H182" s="1">
        <f t="shared" si="2"/>
        <v>6.0027987470814434E-2</v>
      </c>
    </row>
    <row r="183" spans="1:8" x14ac:dyDescent="0.25">
      <c r="A183" s="1" t="s">
        <v>12</v>
      </c>
      <c r="B183" s="1" t="s">
        <v>13</v>
      </c>
      <c r="C183" s="6">
        <v>10731500</v>
      </c>
      <c r="D183" s="6">
        <v>707367.36499999999</v>
      </c>
      <c r="E183" s="6">
        <v>707242.36499999999</v>
      </c>
      <c r="F183" s="6">
        <v>636480.03500000003</v>
      </c>
      <c r="G183" s="7" t="s">
        <v>9</v>
      </c>
      <c r="H183" s="1">
        <f t="shared" si="2"/>
        <v>6.5915050552112942E-2</v>
      </c>
    </row>
    <row r="184" spans="1:8" x14ac:dyDescent="0.25">
      <c r="A184" s="1" t="s">
        <v>12</v>
      </c>
      <c r="B184" s="1" t="s">
        <v>13</v>
      </c>
      <c r="C184" s="6">
        <v>1386525</v>
      </c>
      <c r="D184" s="6">
        <v>105713.56</v>
      </c>
      <c r="E184" s="6">
        <v>105713.56</v>
      </c>
      <c r="F184" s="6">
        <v>105713.56</v>
      </c>
      <c r="G184" s="7" t="s">
        <v>9</v>
      </c>
      <c r="H184" s="1">
        <f t="shared" si="2"/>
        <v>7.6243529687528178E-2</v>
      </c>
    </row>
    <row r="185" spans="1:8" x14ac:dyDescent="0.25">
      <c r="A185" s="1" t="s">
        <v>12</v>
      </c>
      <c r="B185" s="1" t="s">
        <v>13</v>
      </c>
      <c r="C185" s="6">
        <v>697125</v>
      </c>
      <c r="D185" s="6">
        <v>493669.01750000002</v>
      </c>
      <c r="E185" s="6">
        <v>444082.755</v>
      </c>
      <c r="F185" s="6">
        <v>444082.755</v>
      </c>
      <c r="G185" s="7" t="s">
        <v>9</v>
      </c>
      <c r="H185" s="1">
        <f t="shared" si="2"/>
        <v>0.70814992648377262</v>
      </c>
    </row>
    <row r="186" spans="1:8" x14ac:dyDescent="0.25">
      <c r="A186" s="1" t="s">
        <v>12</v>
      </c>
      <c r="B186" s="1" t="s">
        <v>13</v>
      </c>
      <c r="C186" s="6">
        <v>1455000</v>
      </c>
      <c r="D186" s="6">
        <v>1004375</v>
      </c>
      <c r="E186" s="6">
        <v>922000</v>
      </c>
      <c r="F186" s="6">
        <v>922000</v>
      </c>
      <c r="G186" s="7" t="s">
        <v>9</v>
      </c>
      <c r="H186" s="1">
        <f t="shared" si="2"/>
        <v>0.69029209621993126</v>
      </c>
    </row>
    <row r="187" spans="1:8" x14ac:dyDescent="0.25">
      <c r="A187" s="1" t="s">
        <v>12</v>
      </c>
      <c r="B187" s="1" t="s">
        <v>13</v>
      </c>
      <c r="C187" s="6">
        <v>108500</v>
      </c>
      <c r="D187" s="6">
        <v>290500</v>
      </c>
      <c r="E187" s="6">
        <v>268875</v>
      </c>
      <c r="F187" s="6">
        <v>268875</v>
      </c>
      <c r="G187" s="7" t="s">
        <v>9</v>
      </c>
      <c r="H187" s="1">
        <f t="shared" si="2"/>
        <v>2.6774193548387095</v>
      </c>
    </row>
    <row r="188" spans="1:8" x14ac:dyDescent="0.25">
      <c r="A188" s="1" t="s">
        <v>12</v>
      </c>
      <c r="B188" s="1" t="s">
        <v>13</v>
      </c>
      <c r="C188" s="6">
        <v>263500</v>
      </c>
      <c r="D188" s="6">
        <v>185676.54500000001</v>
      </c>
      <c r="E188" s="6">
        <v>185676.54500000001</v>
      </c>
      <c r="F188" s="6">
        <v>185676.54500000001</v>
      </c>
      <c r="G188" s="7" t="s">
        <v>9</v>
      </c>
      <c r="H188" s="1">
        <f t="shared" si="2"/>
        <v>0.70465481973434541</v>
      </c>
    </row>
    <row r="189" spans="1:8" x14ac:dyDescent="0.25">
      <c r="A189" s="1" t="s">
        <v>12</v>
      </c>
      <c r="B189" s="1" t="s">
        <v>13</v>
      </c>
      <c r="C189" s="6">
        <v>130725</v>
      </c>
      <c r="D189" s="6">
        <v>38000</v>
      </c>
      <c r="E189" s="6">
        <v>38000</v>
      </c>
      <c r="F189" s="6">
        <v>38000</v>
      </c>
      <c r="G189" s="7" t="s">
        <v>9</v>
      </c>
      <c r="H189" s="1">
        <f t="shared" si="2"/>
        <v>0.29068655574679669</v>
      </c>
    </row>
    <row r="190" spans="1:8" x14ac:dyDescent="0.25">
      <c r="A190" s="1" t="s">
        <v>12</v>
      </c>
      <c r="B190" s="1" t="s">
        <v>13</v>
      </c>
      <c r="C190" s="6">
        <v>5330649</v>
      </c>
      <c r="D190" s="6">
        <v>2408622.0049999999</v>
      </c>
      <c r="E190" s="6">
        <v>2285411.4525000001</v>
      </c>
      <c r="F190" s="6">
        <v>2099304.6825000001</v>
      </c>
      <c r="G190" s="7" t="s">
        <v>9</v>
      </c>
      <c r="H190" s="1">
        <f t="shared" si="2"/>
        <v>0.45184404469324463</v>
      </c>
    </row>
    <row r="191" spans="1:8" x14ac:dyDescent="0.25">
      <c r="A191" s="1" t="s">
        <v>12</v>
      </c>
      <c r="B191" s="1" t="s">
        <v>14</v>
      </c>
      <c r="C191" s="6">
        <v>4013915.5</v>
      </c>
      <c r="D191" s="6">
        <v>28505365.765000001</v>
      </c>
      <c r="E191" s="6">
        <v>16115720.484999999</v>
      </c>
      <c r="F191" s="6">
        <v>14651637.83</v>
      </c>
      <c r="G191" s="7" t="s">
        <v>9</v>
      </c>
      <c r="H191" s="1">
        <f t="shared" si="2"/>
        <v>7.1016357382211961</v>
      </c>
    </row>
    <row r="192" spans="1:8" x14ac:dyDescent="0.25">
      <c r="A192" s="1" t="s">
        <v>12</v>
      </c>
      <c r="B192" s="1" t="s">
        <v>14</v>
      </c>
      <c r="C192" s="6">
        <v>7687927.75</v>
      </c>
      <c r="D192" s="6">
        <v>1647726.18</v>
      </c>
      <c r="E192" s="6">
        <v>1376249.1575</v>
      </c>
      <c r="F192" s="6">
        <v>1335904.8574999999</v>
      </c>
      <c r="G192" s="7" t="s">
        <v>9</v>
      </c>
      <c r="H192" s="1">
        <f t="shared" si="2"/>
        <v>0.21432643926707037</v>
      </c>
    </row>
    <row r="193" spans="1:8" x14ac:dyDescent="0.25">
      <c r="A193" s="1" t="s">
        <v>12</v>
      </c>
      <c r="B193" s="1" t="s">
        <v>14</v>
      </c>
      <c r="C193" s="6">
        <v>2712212.75</v>
      </c>
      <c r="D193" s="6">
        <v>0</v>
      </c>
      <c r="E193" s="6">
        <v>0</v>
      </c>
      <c r="F193" s="6">
        <v>0</v>
      </c>
      <c r="G193" s="7" t="s">
        <v>9</v>
      </c>
      <c r="H193" s="1">
        <f t="shared" si="2"/>
        <v>0</v>
      </c>
    </row>
    <row r="194" spans="1:8" x14ac:dyDescent="0.25">
      <c r="A194" s="1" t="s">
        <v>12</v>
      </c>
      <c r="B194" s="1" t="s">
        <v>14</v>
      </c>
      <c r="C194" s="6">
        <v>13259613</v>
      </c>
      <c r="D194" s="6">
        <v>249601.87</v>
      </c>
      <c r="E194" s="6">
        <v>249601.87</v>
      </c>
      <c r="F194" s="6">
        <v>249601.87</v>
      </c>
      <c r="G194" s="7" t="s">
        <v>9</v>
      </c>
      <c r="H194" s="1">
        <f t="shared" ref="H194:H257" si="3">IF(OR(ISNA($D194),ISNA($C194),$C194=0),0,$D194/$C194)</f>
        <v>1.8824219832056937E-2</v>
      </c>
    </row>
    <row r="195" spans="1:8" x14ac:dyDescent="0.25">
      <c r="A195" s="1" t="s">
        <v>12</v>
      </c>
      <c r="B195" s="1" t="s">
        <v>14</v>
      </c>
      <c r="C195" s="6">
        <v>1613629</v>
      </c>
      <c r="D195" s="6">
        <v>431364.5</v>
      </c>
      <c r="E195" s="6">
        <v>360187.84250000003</v>
      </c>
      <c r="F195" s="6">
        <v>360187.84250000003</v>
      </c>
      <c r="G195" s="7" t="s">
        <v>9</v>
      </c>
      <c r="H195" s="1">
        <f t="shared" si="3"/>
        <v>0.26732569878206203</v>
      </c>
    </row>
    <row r="196" spans="1:8" x14ac:dyDescent="0.25">
      <c r="A196" s="1" t="s">
        <v>12</v>
      </c>
      <c r="B196" s="1" t="s">
        <v>14</v>
      </c>
      <c r="C196" s="6">
        <v>221076</v>
      </c>
      <c r="D196" s="6">
        <v>0</v>
      </c>
      <c r="E196" s="6">
        <v>0</v>
      </c>
      <c r="F196" s="6">
        <v>0</v>
      </c>
      <c r="G196" s="7" t="s">
        <v>9</v>
      </c>
      <c r="H196" s="1">
        <f t="shared" si="3"/>
        <v>0</v>
      </c>
    </row>
    <row r="197" spans="1:8" x14ac:dyDescent="0.25">
      <c r="A197" s="1" t="s">
        <v>12</v>
      </c>
      <c r="B197" s="1" t="s">
        <v>14</v>
      </c>
      <c r="C197" s="6">
        <v>13642.5</v>
      </c>
      <c r="D197" s="6">
        <v>0</v>
      </c>
      <c r="E197" s="6">
        <v>0</v>
      </c>
      <c r="F197" s="6">
        <v>0</v>
      </c>
      <c r="G197" s="7" t="s">
        <v>9</v>
      </c>
      <c r="H197" s="1">
        <f t="shared" si="3"/>
        <v>0</v>
      </c>
    </row>
    <row r="198" spans="1:8" x14ac:dyDescent="0.25">
      <c r="A198" s="1" t="s">
        <v>12</v>
      </c>
      <c r="B198" s="1" t="s">
        <v>14</v>
      </c>
      <c r="C198" s="6">
        <v>2049800</v>
      </c>
      <c r="D198" s="6">
        <v>1843309.2549999999</v>
      </c>
      <c r="E198" s="6">
        <v>1698983.3274999999</v>
      </c>
      <c r="F198" s="6">
        <v>1698983.3274999999</v>
      </c>
      <c r="G198" s="7" t="s">
        <v>9</v>
      </c>
      <c r="H198" s="1">
        <f t="shared" si="3"/>
        <v>0.89926297931505506</v>
      </c>
    </row>
    <row r="199" spans="1:8" x14ac:dyDescent="0.25">
      <c r="A199" s="1" t="s">
        <v>12</v>
      </c>
      <c r="B199" s="1" t="s">
        <v>14</v>
      </c>
      <c r="C199" s="6">
        <v>16979065</v>
      </c>
      <c r="D199" s="6">
        <v>16292804.247500001</v>
      </c>
      <c r="E199" s="6">
        <v>15749639.135</v>
      </c>
      <c r="F199" s="6">
        <v>15749639.135</v>
      </c>
      <c r="G199" s="7" t="s">
        <v>9</v>
      </c>
      <c r="H199" s="1">
        <f t="shared" si="3"/>
        <v>0.95958194679742381</v>
      </c>
    </row>
    <row r="200" spans="1:8" x14ac:dyDescent="0.25">
      <c r="A200" s="1" t="s">
        <v>12</v>
      </c>
      <c r="B200" s="1" t="s">
        <v>14</v>
      </c>
      <c r="C200" s="6">
        <v>38034322.5</v>
      </c>
      <c r="D200" s="6">
        <v>35420881.009999998</v>
      </c>
      <c r="E200" s="6">
        <v>34299018.604999997</v>
      </c>
      <c r="F200" s="6">
        <v>34299018.604999997</v>
      </c>
      <c r="G200" s="7" t="s">
        <v>9</v>
      </c>
      <c r="H200" s="1">
        <f t="shared" si="3"/>
        <v>0.93128728689724916</v>
      </c>
    </row>
    <row r="201" spans="1:8" x14ac:dyDescent="0.25">
      <c r="A201" s="1" t="s">
        <v>12</v>
      </c>
      <c r="B201" s="1" t="s">
        <v>14</v>
      </c>
      <c r="C201" s="6">
        <v>1638561.25</v>
      </c>
      <c r="D201" s="6">
        <v>1483915.0349999999</v>
      </c>
      <c r="E201" s="6">
        <v>1396016.26</v>
      </c>
      <c r="F201" s="6">
        <v>1396016.26</v>
      </c>
      <c r="G201" s="7" t="s">
        <v>9</v>
      </c>
      <c r="H201" s="1">
        <f t="shared" si="3"/>
        <v>0.90562072977131614</v>
      </c>
    </row>
    <row r="202" spans="1:8" x14ac:dyDescent="0.25">
      <c r="A202" s="1" t="s">
        <v>12</v>
      </c>
      <c r="B202" s="1" t="s">
        <v>14</v>
      </c>
      <c r="C202" s="6">
        <v>14936429.5</v>
      </c>
      <c r="D202" s="6">
        <v>15382063.942500001</v>
      </c>
      <c r="E202" s="6">
        <v>13917235.752499999</v>
      </c>
      <c r="F202" s="6">
        <v>13917235.752499999</v>
      </c>
      <c r="G202" s="7" t="s">
        <v>9</v>
      </c>
      <c r="H202" s="1">
        <f t="shared" si="3"/>
        <v>1.0298354062796602</v>
      </c>
    </row>
    <row r="203" spans="1:8" x14ac:dyDescent="0.25">
      <c r="A203" s="1" t="s">
        <v>12</v>
      </c>
      <c r="B203" s="1" t="s">
        <v>14</v>
      </c>
      <c r="C203" s="6">
        <v>236859.5</v>
      </c>
      <c r="D203" s="6">
        <v>8465.4349999999995</v>
      </c>
      <c r="E203" s="6">
        <v>8465.4349999999995</v>
      </c>
      <c r="F203" s="6">
        <v>8465.4349999999995</v>
      </c>
      <c r="G203" s="7" t="s">
        <v>9</v>
      </c>
      <c r="H203" s="1">
        <f t="shared" si="3"/>
        <v>3.5740322849621822E-2</v>
      </c>
    </row>
    <row r="204" spans="1:8" x14ac:dyDescent="0.25">
      <c r="A204" s="1" t="s">
        <v>12</v>
      </c>
      <c r="B204" s="1" t="s">
        <v>14</v>
      </c>
      <c r="C204" s="6">
        <v>500</v>
      </c>
      <c r="D204" s="6">
        <v>0</v>
      </c>
      <c r="E204" s="6">
        <v>0</v>
      </c>
      <c r="F204" s="6">
        <v>0</v>
      </c>
      <c r="G204" s="7" t="s">
        <v>9</v>
      </c>
      <c r="H204" s="1">
        <f t="shared" si="3"/>
        <v>0</v>
      </c>
    </row>
    <row r="205" spans="1:8" x14ac:dyDescent="0.25">
      <c r="A205" s="1" t="s">
        <v>12</v>
      </c>
      <c r="B205" s="1" t="s">
        <v>14</v>
      </c>
      <c r="C205" s="6">
        <v>65066706</v>
      </c>
      <c r="D205" s="6">
        <v>66806738.880000003</v>
      </c>
      <c r="E205" s="6">
        <v>63766571.549999997</v>
      </c>
      <c r="F205" s="6">
        <v>63766571.549999997</v>
      </c>
      <c r="G205" s="7" t="s">
        <v>9</v>
      </c>
      <c r="H205" s="1">
        <f t="shared" si="3"/>
        <v>1.0267422924406224</v>
      </c>
    </row>
    <row r="206" spans="1:8" x14ac:dyDescent="0.25">
      <c r="A206" s="1" t="s">
        <v>12</v>
      </c>
      <c r="B206" s="1" t="s">
        <v>14</v>
      </c>
      <c r="C206" s="6">
        <v>11500</v>
      </c>
      <c r="D206" s="6">
        <v>0</v>
      </c>
      <c r="E206" s="6">
        <v>0</v>
      </c>
      <c r="F206" s="6">
        <v>0</v>
      </c>
      <c r="G206" s="7" t="s">
        <v>9</v>
      </c>
      <c r="H206" s="1">
        <f t="shared" si="3"/>
        <v>0</v>
      </c>
    </row>
    <row r="207" spans="1:8" x14ac:dyDescent="0.25">
      <c r="A207" s="1" t="s">
        <v>12</v>
      </c>
      <c r="B207" s="1" t="s">
        <v>14</v>
      </c>
      <c r="C207" s="6">
        <v>1587326.5</v>
      </c>
      <c r="D207" s="6">
        <v>1064121.3799999999</v>
      </c>
      <c r="E207" s="6">
        <v>982725.95499999996</v>
      </c>
      <c r="F207" s="6">
        <v>982725.95499999996</v>
      </c>
      <c r="G207" s="7" t="s">
        <v>9</v>
      </c>
      <c r="H207" s="1">
        <f t="shared" si="3"/>
        <v>0.67038594769255089</v>
      </c>
    </row>
    <row r="208" spans="1:8" x14ac:dyDescent="0.25">
      <c r="A208" s="1" t="s">
        <v>12</v>
      </c>
      <c r="B208" s="1" t="s">
        <v>14</v>
      </c>
      <c r="C208" s="6">
        <v>250</v>
      </c>
      <c r="D208" s="6">
        <v>0</v>
      </c>
      <c r="E208" s="6">
        <v>0</v>
      </c>
      <c r="F208" s="6">
        <v>0</v>
      </c>
      <c r="G208" s="7" t="s">
        <v>9</v>
      </c>
      <c r="H208" s="1">
        <f t="shared" si="3"/>
        <v>0</v>
      </c>
    </row>
    <row r="209" spans="1:8" x14ac:dyDescent="0.25">
      <c r="A209" s="1" t="s">
        <v>12</v>
      </c>
      <c r="B209" s="1" t="s">
        <v>14</v>
      </c>
      <c r="C209" s="6">
        <v>1000</v>
      </c>
      <c r="D209" s="6">
        <v>0</v>
      </c>
      <c r="E209" s="6">
        <v>0</v>
      </c>
      <c r="F209" s="6">
        <v>0</v>
      </c>
      <c r="G209" s="7" t="s">
        <v>9</v>
      </c>
      <c r="H209" s="1">
        <f t="shared" si="3"/>
        <v>0</v>
      </c>
    </row>
    <row r="210" spans="1:8" x14ac:dyDescent="0.25">
      <c r="A210" s="1" t="s">
        <v>12</v>
      </c>
      <c r="B210" s="1" t="s">
        <v>15</v>
      </c>
      <c r="C210" s="6">
        <v>18412448.75</v>
      </c>
      <c r="D210" s="6">
        <v>18144871.605</v>
      </c>
      <c r="E210" s="6">
        <v>16773640.3475</v>
      </c>
      <c r="F210" s="6">
        <v>15575430.195</v>
      </c>
      <c r="G210" s="7" t="s">
        <v>9</v>
      </c>
      <c r="H210" s="1">
        <f t="shared" si="3"/>
        <v>0.98546759593831867</v>
      </c>
    </row>
    <row r="211" spans="1:8" x14ac:dyDescent="0.25">
      <c r="A211" s="1" t="s">
        <v>12</v>
      </c>
      <c r="B211" s="1" t="s">
        <v>15</v>
      </c>
      <c r="C211" s="6">
        <v>82513173.75</v>
      </c>
      <c r="D211" s="6">
        <v>90453851.542500004</v>
      </c>
      <c r="E211" s="6">
        <v>88147820.189999998</v>
      </c>
      <c r="F211" s="6">
        <v>81645709.077500001</v>
      </c>
      <c r="G211" s="7" t="s">
        <v>9</v>
      </c>
      <c r="H211" s="1">
        <f t="shared" si="3"/>
        <v>1.0962352728857434</v>
      </c>
    </row>
    <row r="212" spans="1:8" x14ac:dyDescent="0.25">
      <c r="A212" s="1" t="s">
        <v>12</v>
      </c>
      <c r="B212" s="1" t="s">
        <v>15</v>
      </c>
      <c r="C212" s="6">
        <v>2537972.5</v>
      </c>
      <c r="D212" s="6">
        <v>2174499.1524999999</v>
      </c>
      <c r="E212" s="6">
        <v>1564881.11</v>
      </c>
      <c r="F212" s="6">
        <v>1504516.9375</v>
      </c>
      <c r="G212" s="7" t="s">
        <v>9</v>
      </c>
      <c r="H212" s="1">
        <f t="shared" si="3"/>
        <v>0.85678593936695524</v>
      </c>
    </row>
    <row r="213" spans="1:8" x14ac:dyDescent="0.25">
      <c r="A213" s="1" t="s">
        <v>12</v>
      </c>
      <c r="B213" s="1" t="s">
        <v>15</v>
      </c>
      <c r="C213" s="6">
        <v>15041465.75</v>
      </c>
      <c r="D213" s="6">
        <v>16281356.5625</v>
      </c>
      <c r="E213" s="6">
        <v>14242192.782500001</v>
      </c>
      <c r="F213" s="6">
        <v>13602469.3925</v>
      </c>
      <c r="G213" s="7" t="s">
        <v>9</v>
      </c>
      <c r="H213" s="1">
        <f t="shared" si="3"/>
        <v>1.0824315151932584</v>
      </c>
    </row>
    <row r="214" spans="1:8" x14ac:dyDescent="0.25">
      <c r="A214" s="1" t="s">
        <v>12</v>
      </c>
      <c r="B214" s="1" t="s">
        <v>15</v>
      </c>
      <c r="C214" s="6">
        <v>2025848</v>
      </c>
      <c r="D214" s="6">
        <v>480993.505</v>
      </c>
      <c r="E214" s="6">
        <v>426350.47749999998</v>
      </c>
      <c r="F214" s="6">
        <v>399382.84250000003</v>
      </c>
      <c r="G214" s="7" t="s">
        <v>9</v>
      </c>
      <c r="H214" s="1">
        <f t="shared" si="3"/>
        <v>0.23742823005477212</v>
      </c>
    </row>
    <row r="215" spans="1:8" x14ac:dyDescent="0.25">
      <c r="A215" s="1" t="s">
        <v>12</v>
      </c>
      <c r="B215" s="1" t="s">
        <v>15</v>
      </c>
      <c r="C215" s="6">
        <v>1428687.75</v>
      </c>
      <c r="D215" s="6">
        <v>192078.14249999999</v>
      </c>
      <c r="E215" s="6">
        <v>106441.97</v>
      </c>
      <c r="F215" s="6">
        <v>97106.847500000003</v>
      </c>
      <c r="G215" s="7" t="s">
        <v>9</v>
      </c>
      <c r="H215" s="1">
        <f t="shared" si="3"/>
        <v>0.13444375266743905</v>
      </c>
    </row>
    <row r="216" spans="1:8" x14ac:dyDescent="0.25">
      <c r="A216" s="1" t="s">
        <v>12</v>
      </c>
      <c r="B216" s="1" t="s">
        <v>15</v>
      </c>
      <c r="C216" s="6">
        <v>4589900.25</v>
      </c>
      <c r="D216" s="6">
        <v>4976230.0674999999</v>
      </c>
      <c r="E216" s="6">
        <v>4016278.1875</v>
      </c>
      <c r="F216" s="6">
        <v>3589222.4725000001</v>
      </c>
      <c r="G216" s="7" t="s">
        <v>9</v>
      </c>
      <c r="H216" s="1">
        <f t="shared" si="3"/>
        <v>1.0841695454056981</v>
      </c>
    </row>
    <row r="217" spans="1:8" x14ac:dyDescent="0.25">
      <c r="A217" s="1" t="s">
        <v>12</v>
      </c>
      <c r="B217" s="1" t="s">
        <v>15</v>
      </c>
      <c r="C217" s="6">
        <v>43823339.5</v>
      </c>
      <c r="D217" s="6">
        <v>34480839.634999998</v>
      </c>
      <c r="E217" s="6">
        <v>34478500.767499998</v>
      </c>
      <c r="F217" s="6">
        <v>32324711.6325</v>
      </c>
      <c r="G217" s="7" t="s">
        <v>9</v>
      </c>
      <c r="H217" s="1">
        <f t="shared" si="3"/>
        <v>0.78681451547068881</v>
      </c>
    </row>
    <row r="218" spans="1:8" x14ac:dyDescent="0.25">
      <c r="A218" s="1" t="s">
        <v>12</v>
      </c>
      <c r="B218" s="1" t="s">
        <v>15</v>
      </c>
      <c r="C218" s="6">
        <v>3062477.25</v>
      </c>
      <c r="D218" s="6">
        <v>5489961.3499999996</v>
      </c>
      <c r="E218" s="6">
        <v>4935323.4924999997</v>
      </c>
      <c r="F218" s="6">
        <v>4854192.0925000003</v>
      </c>
      <c r="G218" s="7" t="s">
        <v>9</v>
      </c>
      <c r="H218" s="1">
        <f t="shared" si="3"/>
        <v>1.7926537576728119</v>
      </c>
    </row>
    <row r="219" spans="1:8" x14ac:dyDescent="0.25">
      <c r="A219" s="1" t="s">
        <v>12</v>
      </c>
      <c r="B219" s="1" t="s">
        <v>15</v>
      </c>
      <c r="C219" s="6">
        <v>1182131.5</v>
      </c>
      <c r="D219" s="6">
        <v>791211.34250000003</v>
      </c>
      <c r="E219" s="6">
        <v>703638.87</v>
      </c>
      <c r="F219" s="6">
        <v>450059.36</v>
      </c>
      <c r="G219" s="7" t="s">
        <v>9</v>
      </c>
      <c r="H219" s="1">
        <f t="shared" si="3"/>
        <v>0.66930907644369519</v>
      </c>
    </row>
    <row r="220" spans="1:8" x14ac:dyDescent="0.25">
      <c r="A220" s="1" t="s">
        <v>12</v>
      </c>
      <c r="B220" s="1" t="s">
        <v>15</v>
      </c>
      <c r="C220" s="6">
        <v>34593433</v>
      </c>
      <c r="D220" s="6">
        <v>33558402.015000001</v>
      </c>
      <c r="E220" s="6">
        <v>30812460.039999999</v>
      </c>
      <c r="F220" s="6">
        <v>30800230.265000001</v>
      </c>
      <c r="G220" s="7" t="s">
        <v>9</v>
      </c>
      <c r="H220" s="1">
        <f t="shared" si="3"/>
        <v>0.97008013096011603</v>
      </c>
    </row>
    <row r="221" spans="1:8" x14ac:dyDescent="0.25">
      <c r="A221" s="1" t="s">
        <v>12</v>
      </c>
      <c r="B221" s="1" t="s">
        <v>15</v>
      </c>
      <c r="C221" s="6">
        <v>178520824.5</v>
      </c>
      <c r="D221" s="6">
        <v>159161734.14750001</v>
      </c>
      <c r="E221" s="6">
        <v>149662689.16999999</v>
      </c>
      <c r="F221" s="6">
        <v>144388266.08250001</v>
      </c>
      <c r="G221" s="7" t="s">
        <v>9</v>
      </c>
      <c r="H221" s="1">
        <f t="shared" si="3"/>
        <v>0.89155836353142104</v>
      </c>
    </row>
    <row r="222" spans="1:8" x14ac:dyDescent="0.25">
      <c r="A222" s="1" t="s">
        <v>12</v>
      </c>
      <c r="B222" s="1" t="s">
        <v>15</v>
      </c>
      <c r="C222" s="6">
        <v>20437622.5</v>
      </c>
      <c r="D222" s="6">
        <v>21372630.817499999</v>
      </c>
      <c r="E222" s="6">
        <v>17257379.557500001</v>
      </c>
      <c r="F222" s="6">
        <v>15938794.42</v>
      </c>
      <c r="G222" s="7" t="s">
        <v>9</v>
      </c>
      <c r="H222" s="1">
        <f t="shared" si="3"/>
        <v>1.0457493682300865</v>
      </c>
    </row>
    <row r="223" spans="1:8" x14ac:dyDescent="0.25">
      <c r="A223" s="1" t="s">
        <v>12</v>
      </c>
      <c r="B223" s="1" t="s">
        <v>15</v>
      </c>
      <c r="C223" s="6">
        <v>413856163.5</v>
      </c>
      <c r="D223" s="6">
        <v>471548193.22250003</v>
      </c>
      <c r="E223" s="6">
        <v>434582610.46249998</v>
      </c>
      <c r="F223" s="6">
        <v>430415275.67000002</v>
      </c>
      <c r="G223" s="7" t="s">
        <v>9</v>
      </c>
      <c r="H223" s="1">
        <f t="shared" si="3"/>
        <v>1.1394011611053365</v>
      </c>
    </row>
    <row r="224" spans="1:8" x14ac:dyDescent="0.25">
      <c r="A224" s="1" t="s">
        <v>12</v>
      </c>
      <c r="B224" s="1" t="s">
        <v>15</v>
      </c>
      <c r="C224" s="6">
        <v>1980000</v>
      </c>
      <c r="D224" s="6">
        <v>1776237.73</v>
      </c>
      <c r="E224" s="6">
        <v>1701799.2324999999</v>
      </c>
      <c r="F224" s="6">
        <v>1701799.2324999999</v>
      </c>
      <c r="G224" s="7" t="s">
        <v>9</v>
      </c>
      <c r="H224" s="1">
        <f t="shared" si="3"/>
        <v>0.89708976262626261</v>
      </c>
    </row>
    <row r="225" spans="1:8" x14ac:dyDescent="0.25">
      <c r="A225" s="1" t="s">
        <v>12</v>
      </c>
      <c r="B225" s="1" t="s">
        <v>15</v>
      </c>
      <c r="C225" s="6">
        <v>111887491.25</v>
      </c>
      <c r="D225" s="6">
        <v>117841741.41</v>
      </c>
      <c r="E225" s="6">
        <v>116471445.45999999</v>
      </c>
      <c r="F225" s="6">
        <v>116470600.80249999</v>
      </c>
      <c r="G225" s="7" t="s">
        <v>9</v>
      </c>
      <c r="H225" s="1">
        <f t="shared" si="3"/>
        <v>1.0532164059939095</v>
      </c>
    </row>
    <row r="226" spans="1:8" x14ac:dyDescent="0.25">
      <c r="A226" s="1" t="s">
        <v>12</v>
      </c>
      <c r="B226" s="1" t="s">
        <v>15</v>
      </c>
      <c r="C226" s="6">
        <v>720000</v>
      </c>
      <c r="D226" s="6">
        <v>762031.20499999996</v>
      </c>
      <c r="E226" s="6">
        <v>745377.46250000002</v>
      </c>
      <c r="F226" s="6">
        <v>745377.46250000002</v>
      </c>
      <c r="G226" s="7" t="s">
        <v>9</v>
      </c>
      <c r="H226" s="1">
        <f t="shared" si="3"/>
        <v>1.0583766736111111</v>
      </c>
    </row>
    <row r="227" spans="1:8" x14ac:dyDescent="0.25">
      <c r="A227" s="1" t="s">
        <v>12</v>
      </c>
      <c r="B227" s="1" t="s">
        <v>15</v>
      </c>
      <c r="C227" s="6">
        <v>55395792.25</v>
      </c>
      <c r="D227" s="6">
        <v>48077304.672499999</v>
      </c>
      <c r="E227" s="6">
        <v>44371411.657499999</v>
      </c>
      <c r="F227" s="6">
        <v>44361839.122500002</v>
      </c>
      <c r="G227" s="7" t="s">
        <v>9</v>
      </c>
      <c r="H227" s="1">
        <f t="shared" si="3"/>
        <v>0.86788730190062402</v>
      </c>
    </row>
    <row r="228" spans="1:8" x14ac:dyDescent="0.25">
      <c r="A228" s="1" t="s">
        <v>12</v>
      </c>
      <c r="B228" s="1" t="s">
        <v>15</v>
      </c>
      <c r="C228" s="6">
        <v>4278412.5</v>
      </c>
      <c r="D228" s="6">
        <v>4136892.9975000001</v>
      </c>
      <c r="E228" s="6">
        <v>3788570.0975000001</v>
      </c>
      <c r="F228" s="6">
        <v>3176136.7974999999</v>
      </c>
      <c r="G228" s="7" t="s">
        <v>9</v>
      </c>
      <c r="H228" s="1">
        <f t="shared" si="3"/>
        <v>0.96692242683471963</v>
      </c>
    </row>
    <row r="229" spans="1:8" x14ac:dyDescent="0.25">
      <c r="A229" s="1" t="s">
        <v>12</v>
      </c>
      <c r="B229" s="1" t="s">
        <v>15</v>
      </c>
      <c r="C229" s="6">
        <v>5358446.75</v>
      </c>
      <c r="D229" s="6">
        <v>3838912.3250000002</v>
      </c>
      <c r="E229" s="6">
        <v>2941280.8925000001</v>
      </c>
      <c r="F229" s="6">
        <v>2683924.105</v>
      </c>
      <c r="G229" s="7" t="s">
        <v>9</v>
      </c>
      <c r="H229" s="1">
        <f t="shared" si="3"/>
        <v>0.71642259484989756</v>
      </c>
    </row>
    <row r="230" spans="1:8" x14ac:dyDescent="0.25">
      <c r="A230" s="1" t="s">
        <v>12</v>
      </c>
      <c r="B230" s="1" t="s">
        <v>15</v>
      </c>
      <c r="C230" s="6">
        <v>16250</v>
      </c>
      <c r="D230" s="6">
        <v>1817499.9850000001</v>
      </c>
      <c r="E230" s="6">
        <v>1817499.9850000001</v>
      </c>
      <c r="F230" s="6">
        <v>1817499.9850000001</v>
      </c>
      <c r="G230" s="7" t="s">
        <v>9</v>
      </c>
      <c r="H230" s="1">
        <f t="shared" si="3"/>
        <v>111.84615292307693</v>
      </c>
    </row>
    <row r="231" spans="1:8" x14ac:dyDescent="0.25">
      <c r="A231" s="1" t="s">
        <v>12</v>
      </c>
      <c r="B231" s="1" t="s">
        <v>15</v>
      </c>
      <c r="C231" s="6">
        <v>3831952.25</v>
      </c>
      <c r="D231" s="6">
        <v>811709.23250000004</v>
      </c>
      <c r="E231" s="6">
        <v>528501.29500000004</v>
      </c>
      <c r="F231" s="6">
        <v>527354.28749999998</v>
      </c>
      <c r="G231" s="7" t="s">
        <v>9</v>
      </c>
      <c r="H231" s="1">
        <f t="shared" si="3"/>
        <v>0.21182655198795863</v>
      </c>
    </row>
    <row r="232" spans="1:8" x14ac:dyDescent="0.25">
      <c r="A232" s="1" t="s">
        <v>12</v>
      </c>
      <c r="B232" s="1" t="s">
        <v>15</v>
      </c>
      <c r="C232" s="6">
        <v>7803767.5</v>
      </c>
      <c r="D232" s="6">
        <v>2402148.0024999999</v>
      </c>
      <c r="E232" s="6">
        <v>1383672.7450000001</v>
      </c>
      <c r="F232" s="6">
        <v>1235719.4075</v>
      </c>
      <c r="G232" s="7" t="s">
        <v>9</v>
      </c>
      <c r="H232" s="1">
        <f t="shared" si="3"/>
        <v>0.30781901209896373</v>
      </c>
    </row>
    <row r="233" spans="1:8" x14ac:dyDescent="0.25">
      <c r="A233" s="1" t="s">
        <v>12</v>
      </c>
      <c r="B233" s="1" t="s">
        <v>15</v>
      </c>
      <c r="C233" s="6">
        <v>3172093.75</v>
      </c>
      <c r="D233" s="6">
        <v>93327</v>
      </c>
      <c r="E233" s="6">
        <v>25049.47</v>
      </c>
      <c r="F233" s="6">
        <v>21746.032500000001</v>
      </c>
      <c r="G233" s="7" t="s">
        <v>9</v>
      </c>
      <c r="H233" s="1">
        <f t="shared" si="3"/>
        <v>2.9421261587870787E-2</v>
      </c>
    </row>
    <row r="234" spans="1:8" x14ac:dyDescent="0.25">
      <c r="A234" s="1" t="s">
        <v>12</v>
      </c>
      <c r="B234" s="1" t="s">
        <v>15</v>
      </c>
      <c r="C234" s="6">
        <v>5294.75</v>
      </c>
      <c r="D234" s="6">
        <v>4953.75</v>
      </c>
      <c r="E234" s="6">
        <v>4953.75</v>
      </c>
      <c r="F234" s="6">
        <v>4953.75</v>
      </c>
      <c r="G234" s="7" t="s">
        <v>9</v>
      </c>
      <c r="H234" s="1">
        <f t="shared" si="3"/>
        <v>0.93559658151942959</v>
      </c>
    </row>
    <row r="235" spans="1:8" x14ac:dyDescent="0.25">
      <c r="A235" s="1" t="s">
        <v>12</v>
      </c>
      <c r="B235" s="1" t="s">
        <v>15</v>
      </c>
      <c r="C235" s="6">
        <v>491112</v>
      </c>
      <c r="D235" s="6">
        <v>346916.77750000003</v>
      </c>
      <c r="E235" s="6">
        <v>295862.85749999998</v>
      </c>
      <c r="F235" s="6">
        <v>272606.17249999999</v>
      </c>
      <c r="G235" s="7" t="s">
        <v>9</v>
      </c>
      <c r="H235" s="1">
        <f t="shared" si="3"/>
        <v>0.70639034985909532</v>
      </c>
    </row>
    <row r="236" spans="1:8" x14ac:dyDescent="0.25">
      <c r="A236" s="1" t="s">
        <v>12</v>
      </c>
      <c r="B236" s="1" t="s">
        <v>15</v>
      </c>
      <c r="C236" s="6">
        <v>150205.25</v>
      </c>
      <c r="D236" s="6">
        <v>5134.5</v>
      </c>
      <c r="E236" s="6">
        <v>5134.5</v>
      </c>
      <c r="F236" s="6">
        <v>5134.5</v>
      </c>
      <c r="G236" s="7" t="s">
        <v>9</v>
      </c>
      <c r="H236" s="1">
        <f t="shared" si="3"/>
        <v>3.4183225952488343E-2</v>
      </c>
    </row>
    <row r="237" spans="1:8" x14ac:dyDescent="0.25">
      <c r="A237" s="1" t="s">
        <v>12</v>
      </c>
      <c r="B237" s="1" t="s">
        <v>15</v>
      </c>
      <c r="C237" s="6">
        <v>31482</v>
      </c>
      <c r="D237" s="6">
        <v>0</v>
      </c>
      <c r="E237" s="6">
        <v>0</v>
      </c>
      <c r="F237" s="6">
        <v>0</v>
      </c>
      <c r="G237" s="7" t="s">
        <v>9</v>
      </c>
      <c r="H237" s="1">
        <f t="shared" si="3"/>
        <v>0</v>
      </c>
    </row>
    <row r="238" spans="1:8" x14ac:dyDescent="0.25">
      <c r="A238" s="1" t="s">
        <v>12</v>
      </c>
      <c r="B238" s="1" t="s">
        <v>15</v>
      </c>
      <c r="C238" s="6">
        <v>25000</v>
      </c>
      <c r="D238" s="6">
        <v>2545.2399999999998</v>
      </c>
      <c r="E238" s="6">
        <v>2545.2399999999998</v>
      </c>
      <c r="F238" s="6">
        <v>2545.2399999999998</v>
      </c>
      <c r="G238" s="7" t="s">
        <v>9</v>
      </c>
      <c r="H238" s="1">
        <f t="shared" si="3"/>
        <v>0.10180959999999999</v>
      </c>
    </row>
    <row r="239" spans="1:8" x14ac:dyDescent="0.25">
      <c r="A239" s="1" t="s">
        <v>12</v>
      </c>
      <c r="B239" s="1" t="s">
        <v>15</v>
      </c>
      <c r="C239" s="6">
        <v>2236823</v>
      </c>
      <c r="D239" s="6">
        <v>2850768.8774999999</v>
      </c>
      <c r="E239" s="6">
        <v>2593339.8149999999</v>
      </c>
      <c r="F239" s="6">
        <v>2593339.8149999999</v>
      </c>
      <c r="G239" s="7" t="s">
        <v>9</v>
      </c>
      <c r="H239" s="1">
        <f t="shared" si="3"/>
        <v>1.2744722660219427</v>
      </c>
    </row>
    <row r="240" spans="1:8" x14ac:dyDescent="0.25">
      <c r="A240" s="1" t="s">
        <v>12</v>
      </c>
      <c r="B240" s="1" t="s">
        <v>15</v>
      </c>
      <c r="C240" s="6">
        <v>504627.5</v>
      </c>
      <c r="D240" s="6">
        <v>123397.61749999999</v>
      </c>
      <c r="E240" s="6">
        <v>114656.9875</v>
      </c>
      <c r="F240" s="6">
        <v>110951.44500000001</v>
      </c>
      <c r="G240" s="7" t="s">
        <v>9</v>
      </c>
      <c r="H240" s="1">
        <f t="shared" si="3"/>
        <v>0.24453209050240027</v>
      </c>
    </row>
    <row r="241" spans="1:8" x14ac:dyDescent="0.25">
      <c r="A241" s="1" t="s">
        <v>12</v>
      </c>
      <c r="B241" s="1" t="s">
        <v>15</v>
      </c>
      <c r="C241" s="6">
        <v>14125</v>
      </c>
      <c r="D241" s="6">
        <v>0</v>
      </c>
      <c r="E241" s="6">
        <v>0</v>
      </c>
      <c r="F241" s="6">
        <v>0</v>
      </c>
      <c r="G241" s="7" t="s">
        <v>9</v>
      </c>
      <c r="H241" s="1">
        <f t="shared" si="3"/>
        <v>0</v>
      </c>
    </row>
    <row r="242" spans="1:8" x14ac:dyDescent="0.25">
      <c r="A242" s="1" t="s">
        <v>12</v>
      </c>
      <c r="B242" s="1" t="s">
        <v>15</v>
      </c>
      <c r="C242" s="6">
        <v>9116078.75</v>
      </c>
      <c r="D242" s="6">
        <v>8593218.4049999993</v>
      </c>
      <c r="E242" s="6">
        <v>5650138.3324999996</v>
      </c>
      <c r="F242" s="6">
        <v>5082710.8274999997</v>
      </c>
      <c r="G242" s="7" t="s">
        <v>9</v>
      </c>
      <c r="H242" s="1">
        <f t="shared" si="3"/>
        <v>0.94264416101056603</v>
      </c>
    </row>
    <row r="243" spans="1:8" x14ac:dyDescent="0.25">
      <c r="A243" s="1" t="s">
        <v>12</v>
      </c>
      <c r="B243" s="1" t="s">
        <v>15</v>
      </c>
      <c r="C243" s="6">
        <v>39270970.75</v>
      </c>
      <c r="D243" s="6">
        <v>40835883.987499997</v>
      </c>
      <c r="E243" s="6">
        <v>32789646.9575</v>
      </c>
      <c r="F243" s="6">
        <v>29425800.337499999</v>
      </c>
      <c r="G243" s="7" t="s">
        <v>9</v>
      </c>
      <c r="H243" s="1">
        <f t="shared" si="3"/>
        <v>1.0398491101088962</v>
      </c>
    </row>
    <row r="244" spans="1:8" x14ac:dyDescent="0.25">
      <c r="A244" s="1" t="s">
        <v>12</v>
      </c>
      <c r="B244" s="1" t="s">
        <v>15</v>
      </c>
      <c r="C244" s="6">
        <v>261054838.75</v>
      </c>
      <c r="D244" s="6">
        <v>288217777.185</v>
      </c>
      <c r="E244" s="6">
        <v>287472340.89749998</v>
      </c>
      <c r="F244" s="6">
        <v>269019360.54250002</v>
      </c>
      <c r="G244" s="7" t="s">
        <v>9</v>
      </c>
      <c r="H244" s="1">
        <f t="shared" si="3"/>
        <v>1.104050698945338</v>
      </c>
    </row>
    <row r="245" spans="1:8" x14ac:dyDescent="0.25">
      <c r="A245" s="1" t="s">
        <v>12</v>
      </c>
      <c r="B245" s="1" t="s">
        <v>15</v>
      </c>
      <c r="C245" s="6">
        <v>32173250.75</v>
      </c>
      <c r="D245" s="6">
        <v>33768395.524999999</v>
      </c>
      <c r="E245" s="6">
        <v>33136535.017499998</v>
      </c>
      <c r="F245" s="6">
        <v>33114520.892499998</v>
      </c>
      <c r="G245" s="7" t="s">
        <v>9</v>
      </c>
      <c r="H245" s="1">
        <f t="shared" si="3"/>
        <v>1.0495798446788904</v>
      </c>
    </row>
    <row r="246" spans="1:8" x14ac:dyDescent="0.25">
      <c r="A246" s="1" t="s">
        <v>12</v>
      </c>
      <c r="B246" s="1" t="s">
        <v>15</v>
      </c>
      <c r="C246" s="6">
        <v>89750</v>
      </c>
      <c r="D246" s="6">
        <v>0</v>
      </c>
      <c r="E246" s="6">
        <v>0</v>
      </c>
      <c r="F246" s="6">
        <v>0</v>
      </c>
      <c r="G246" s="7" t="s">
        <v>9</v>
      </c>
      <c r="H246" s="1">
        <f t="shared" si="3"/>
        <v>0</v>
      </c>
    </row>
    <row r="247" spans="1:8" x14ac:dyDescent="0.25">
      <c r="A247" s="1" t="s">
        <v>16</v>
      </c>
      <c r="B247" s="1" t="s">
        <v>17</v>
      </c>
      <c r="C247" s="6">
        <v>3777240.25</v>
      </c>
      <c r="D247" s="6">
        <v>4513610.97</v>
      </c>
      <c r="E247" s="6">
        <v>4305266.46</v>
      </c>
      <c r="F247" s="6">
        <v>4238250.1725000003</v>
      </c>
      <c r="G247" s="7" t="s">
        <v>9</v>
      </c>
      <c r="H247" s="1">
        <f t="shared" si="3"/>
        <v>1.1949493998958631</v>
      </c>
    </row>
    <row r="248" spans="1:8" x14ac:dyDescent="0.25">
      <c r="A248" s="1" t="s">
        <v>16</v>
      </c>
      <c r="B248" s="1" t="s">
        <v>17</v>
      </c>
      <c r="C248" s="6">
        <v>3750</v>
      </c>
      <c r="D248" s="6">
        <v>0</v>
      </c>
      <c r="E248" s="6">
        <v>0</v>
      </c>
      <c r="F248" s="6">
        <v>0</v>
      </c>
      <c r="G248" s="7" t="s">
        <v>9</v>
      </c>
      <c r="H248" s="1">
        <f t="shared" si="3"/>
        <v>0</v>
      </c>
    </row>
    <row r="249" spans="1:8" x14ac:dyDescent="0.25">
      <c r="A249" s="1" t="s">
        <v>16</v>
      </c>
      <c r="B249" s="1" t="s">
        <v>17</v>
      </c>
      <c r="C249" s="6">
        <v>265</v>
      </c>
      <c r="D249" s="6">
        <v>0</v>
      </c>
      <c r="E249" s="6">
        <v>0</v>
      </c>
      <c r="F249" s="6">
        <v>0</v>
      </c>
      <c r="G249" s="7" t="s">
        <v>9</v>
      </c>
      <c r="H249" s="1">
        <f t="shared" si="3"/>
        <v>0</v>
      </c>
    </row>
    <row r="250" spans="1:8" x14ac:dyDescent="0.25">
      <c r="A250" s="1" t="s">
        <v>16</v>
      </c>
      <c r="B250" s="1" t="s">
        <v>17</v>
      </c>
      <c r="C250" s="6">
        <v>13943.75</v>
      </c>
      <c r="D250" s="6">
        <v>77883.39</v>
      </c>
      <c r="E250" s="6">
        <v>6879.4650000000001</v>
      </c>
      <c r="F250" s="6">
        <v>6879.4650000000001</v>
      </c>
      <c r="G250" s="7" t="s">
        <v>9</v>
      </c>
      <c r="H250" s="1">
        <f t="shared" si="3"/>
        <v>5.585541192290453</v>
      </c>
    </row>
    <row r="251" spans="1:8" x14ac:dyDescent="0.25">
      <c r="A251" s="1" t="s">
        <v>16</v>
      </c>
      <c r="B251" s="1" t="s">
        <v>17</v>
      </c>
      <c r="C251" s="6">
        <v>2750</v>
      </c>
      <c r="D251" s="6">
        <v>0</v>
      </c>
      <c r="E251" s="6">
        <v>0</v>
      </c>
      <c r="F251" s="6">
        <v>0</v>
      </c>
      <c r="G251" s="7" t="s">
        <v>9</v>
      </c>
      <c r="H251" s="1">
        <f t="shared" si="3"/>
        <v>0</v>
      </c>
    </row>
    <row r="252" spans="1:8" x14ac:dyDescent="0.25">
      <c r="A252" s="1" t="s">
        <v>16</v>
      </c>
      <c r="B252" s="1" t="s">
        <v>17</v>
      </c>
      <c r="C252" s="6">
        <v>20720150.25</v>
      </c>
      <c r="D252" s="6">
        <v>23280508.625</v>
      </c>
      <c r="E252" s="6">
        <v>22983547.2775</v>
      </c>
      <c r="F252" s="6">
        <v>21264980.995000001</v>
      </c>
      <c r="G252" s="7" t="s">
        <v>9</v>
      </c>
      <c r="H252" s="1">
        <f t="shared" si="3"/>
        <v>1.1235685235921491</v>
      </c>
    </row>
    <row r="253" spans="1:8" x14ac:dyDescent="0.25">
      <c r="A253" s="1" t="s">
        <v>16</v>
      </c>
      <c r="B253" s="1" t="s">
        <v>17</v>
      </c>
      <c r="C253" s="6">
        <v>5611471</v>
      </c>
      <c r="D253" s="6">
        <v>4827342.7649999997</v>
      </c>
      <c r="E253" s="6">
        <v>3911028.2749999999</v>
      </c>
      <c r="F253" s="6">
        <v>3824624.375</v>
      </c>
      <c r="G253" s="7" t="s">
        <v>9</v>
      </c>
      <c r="H253" s="1">
        <f t="shared" si="3"/>
        <v>0.86026333647630004</v>
      </c>
    </row>
    <row r="254" spans="1:8" x14ac:dyDescent="0.25">
      <c r="A254" s="1" t="s">
        <v>16</v>
      </c>
      <c r="B254" s="1" t="s">
        <v>17</v>
      </c>
      <c r="C254" s="6">
        <v>1628983</v>
      </c>
      <c r="D254" s="6">
        <v>1818556.4775</v>
      </c>
      <c r="E254" s="6">
        <v>1818419.07</v>
      </c>
      <c r="F254" s="6">
        <v>1818419.07</v>
      </c>
      <c r="G254" s="7" t="s">
        <v>9</v>
      </c>
      <c r="H254" s="1">
        <f t="shared" si="3"/>
        <v>1.116375356587515</v>
      </c>
    </row>
    <row r="255" spans="1:8" x14ac:dyDescent="0.25">
      <c r="A255" s="1" t="s">
        <v>16</v>
      </c>
      <c r="B255" s="1" t="s">
        <v>17</v>
      </c>
      <c r="C255" s="6">
        <v>782432.25</v>
      </c>
      <c r="D255" s="6">
        <v>451534.99249999999</v>
      </c>
      <c r="E255" s="6">
        <v>369209.86499999999</v>
      </c>
      <c r="F255" s="6">
        <v>354229.88250000001</v>
      </c>
      <c r="G255" s="7" t="s">
        <v>9</v>
      </c>
      <c r="H255" s="1">
        <f t="shared" si="3"/>
        <v>0.57709148939093446</v>
      </c>
    </row>
    <row r="256" spans="1:8" x14ac:dyDescent="0.25">
      <c r="A256" s="1" t="s">
        <v>16</v>
      </c>
      <c r="B256" s="1" t="s">
        <v>17</v>
      </c>
      <c r="C256" s="6">
        <v>3650</v>
      </c>
      <c r="D256" s="6">
        <v>0</v>
      </c>
      <c r="E256" s="6">
        <v>0</v>
      </c>
      <c r="F256" s="6">
        <v>0</v>
      </c>
      <c r="G256" s="7" t="s">
        <v>9</v>
      </c>
      <c r="H256" s="1">
        <f t="shared" si="3"/>
        <v>0</v>
      </c>
    </row>
    <row r="257" spans="1:8" x14ac:dyDescent="0.25">
      <c r="A257" s="1" t="s">
        <v>16</v>
      </c>
      <c r="B257" s="1" t="s">
        <v>17</v>
      </c>
      <c r="C257" s="6">
        <v>899264</v>
      </c>
      <c r="D257" s="6">
        <v>726548.85</v>
      </c>
      <c r="E257" s="6">
        <v>633565.05000000005</v>
      </c>
      <c r="F257" s="6">
        <v>617936.31999999995</v>
      </c>
      <c r="G257" s="7" t="s">
        <v>9</v>
      </c>
      <c r="H257" s="1">
        <f t="shared" si="3"/>
        <v>0.8079372130987118</v>
      </c>
    </row>
    <row r="258" spans="1:8" x14ac:dyDescent="0.25">
      <c r="A258" s="1" t="s">
        <v>16</v>
      </c>
      <c r="B258" s="1" t="s">
        <v>17</v>
      </c>
      <c r="C258" s="6">
        <v>41304.75</v>
      </c>
      <c r="D258" s="6">
        <v>2368.4625000000001</v>
      </c>
      <c r="E258" s="6">
        <v>1595.825</v>
      </c>
      <c r="F258" s="6">
        <v>1595.825</v>
      </c>
      <c r="G258" s="7" t="s">
        <v>9</v>
      </c>
      <c r="H258" s="1">
        <f t="shared" ref="H258:H321" si="4">IF(OR(ISNA($D258),ISNA($C258),$C258=0),0,$D258/$C258)</f>
        <v>5.7341165362337264E-2</v>
      </c>
    </row>
    <row r="259" spans="1:8" x14ac:dyDescent="0.25">
      <c r="A259" s="1" t="s">
        <v>16</v>
      </c>
      <c r="B259" s="1" t="s">
        <v>17</v>
      </c>
      <c r="C259" s="6">
        <v>119957</v>
      </c>
      <c r="D259" s="6">
        <v>55276.53</v>
      </c>
      <c r="E259" s="6">
        <v>26222.37</v>
      </c>
      <c r="F259" s="6">
        <v>23936.555</v>
      </c>
      <c r="G259" s="7" t="s">
        <v>9</v>
      </c>
      <c r="H259" s="1">
        <f t="shared" si="4"/>
        <v>0.46080287102878531</v>
      </c>
    </row>
    <row r="260" spans="1:8" x14ac:dyDescent="0.25">
      <c r="A260" s="1" t="s">
        <v>16</v>
      </c>
      <c r="B260" s="1" t="s">
        <v>17</v>
      </c>
      <c r="C260" s="6">
        <v>12431557.5</v>
      </c>
      <c r="D260" s="6">
        <v>12941930.445</v>
      </c>
      <c r="E260" s="6">
        <v>12315068.814999999</v>
      </c>
      <c r="F260" s="6">
        <v>11426339.5725</v>
      </c>
      <c r="G260" s="7" t="s">
        <v>9</v>
      </c>
      <c r="H260" s="1">
        <f t="shared" si="4"/>
        <v>1.0410546260997466</v>
      </c>
    </row>
    <row r="261" spans="1:8" x14ac:dyDescent="0.25">
      <c r="A261" s="1" t="s">
        <v>16</v>
      </c>
      <c r="B261" s="1" t="s">
        <v>17</v>
      </c>
      <c r="C261" s="6">
        <v>2924568.75</v>
      </c>
      <c r="D261" s="6">
        <v>2620170.3525</v>
      </c>
      <c r="E261" s="6">
        <v>2503577.6375000002</v>
      </c>
      <c r="F261" s="6">
        <v>2419445.7774999999</v>
      </c>
      <c r="G261" s="7" t="s">
        <v>9</v>
      </c>
      <c r="H261" s="1">
        <f t="shared" si="4"/>
        <v>0.89591682619873447</v>
      </c>
    </row>
    <row r="262" spans="1:8" x14ac:dyDescent="0.25">
      <c r="A262" s="1" t="s">
        <v>16</v>
      </c>
      <c r="B262" s="1" t="s">
        <v>17</v>
      </c>
      <c r="C262" s="6">
        <v>456150</v>
      </c>
      <c r="D262" s="6">
        <v>430066.18</v>
      </c>
      <c r="E262" s="6">
        <v>326205.3775</v>
      </c>
      <c r="F262" s="6">
        <v>326205.3775</v>
      </c>
      <c r="G262" s="7" t="s">
        <v>9</v>
      </c>
      <c r="H262" s="1">
        <f t="shared" si="4"/>
        <v>0.94281745040008769</v>
      </c>
    </row>
    <row r="263" spans="1:8" x14ac:dyDescent="0.25">
      <c r="A263" s="1" t="s">
        <v>16</v>
      </c>
      <c r="B263" s="1" t="s">
        <v>17</v>
      </c>
      <c r="C263" s="6">
        <v>57387.5</v>
      </c>
      <c r="D263" s="6">
        <v>0</v>
      </c>
      <c r="E263" s="6">
        <v>0</v>
      </c>
      <c r="F263" s="6">
        <v>0</v>
      </c>
      <c r="G263" s="7" t="s">
        <v>9</v>
      </c>
      <c r="H263" s="1">
        <f t="shared" si="4"/>
        <v>0</v>
      </c>
    </row>
    <row r="264" spans="1:8" x14ac:dyDescent="0.25">
      <c r="A264" s="1" t="s">
        <v>16</v>
      </c>
      <c r="B264" s="1" t="s">
        <v>17</v>
      </c>
      <c r="C264" s="6">
        <v>765</v>
      </c>
      <c r="D264" s="6">
        <v>0</v>
      </c>
      <c r="E264" s="6">
        <v>0</v>
      </c>
      <c r="F264" s="6">
        <v>0</v>
      </c>
      <c r="G264" s="7" t="s">
        <v>9</v>
      </c>
      <c r="H264" s="1">
        <f t="shared" si="4"/>
        <v>0</v>
      </c>
    </row>
    <row r="265" spans="1:8" x14ac:dyDescent="0.25">
      <c r="A265" s="1" t="s">
        <v>16</v>
      </c>
      <c r="B265" s="1" t="s">
        <v>17</v>
      </c>
      <c r="C265" s="6">
        <v>2571265</v>
      </c>
      <c r="D265" s="6">
        <v>2105843.2374999998</v>
      </c>
      <c r="E265" s="6">
        <v>1955657.1425000001</v>
      </c>
      <c r="F265" s="6">
        <v>1835595.78</v>
      </c>
      <c r="G265" s="7" t="s">
        <v>9</v>
      </c>
      <c r="H265" s="1">
        <f t="shared" si="4"/>
        <v>0.81899113374156296</v>
      </c>
    </row>
    <row r="266" spans="1:8" x14ac:dyDescent="0.25">
      <c r="A266" s="1" t="s">
        <v>16</v>
      </c>
      <c r="B266" s="1" t="s">
        <v>17</v>
      </c>
      <c r="C266" s="6">
        <v>335900</v>
      </c>
      <c r="D266" s="6">
        <v>342971</v>
      </c>
      <c r="E266" s="6">
        <v>334271</v>
      </c>
      <c r="F266" s="6">
        <v>311396</v>
      </c>
      <c r="G266" s="7" t="s">
        <v>9</v>
      </c>
      <c r="H266" s="1">
        <f t="shared" si="4"/>
        <v>1.0210509080083359</v>
      </c>
    </row>
    <row r="267" spans="1:8" x14ac:dyDescent="0.25">
      <c r="A267" s="1" t="s">
        <v>16</v>
      </c>
      <c r="B267" s="1" t="s">
        <v>17</v>
      </c>
      <c r="C267" s="6">
        <v>225623.5</v>
      </c>
      <c r="D267" s="6">
        <v>83608.539999999994</v>
      </c>
      <c r="E267" s="6">
        <v>13657.602500000001</v>
      </c>
      <c r="F267" s="6">
        <v>13657.602500000001</v>
      </c>
      <c r="G267" s="7" t="s">
        <v>9</v>
      </c>
      <c r="H267" s="1">
        <f t="shared" si="4"/>
        <v>0.37056662980584909</v>
      </c>
    </row>
    <row r="268" spans="1:8" x14ac:dyDescent="0.25">
      <c r="A268" s="1" t="s">
        <v>16</v>
      </c>
      <c r="B268" s="1" t="s">
        <v>17</v>
      </c>
      <c r="C268" s="6">
        <v>4003631</v>
      </c>
      <c r="D268" s="6">
        <v>6057727.29</v>
      </c>
      <c r="E268" s="6">
        <v>6057727.29</v>
      </c>
      <c r="F268" s="6">
        <v>6057727.29</v>
      </c>
      <c r="G268" s="7" t="s">
        <v>9</v>
      </c>
      <c r="H268" s="1">
        <f t="shared" si="4"/>
        <v>1.513058343788426</v>
      </c>
    </row>
    <row r="269" spans="1:8" x14ac:dyDescent="0.25">
      <c r="A269" s="1" t="s">
        <v>16</v>
      </c>
      <c r="B269" s="1" t="s">
        <v>17</v>
      </c>
      <c r="C269" s="6">
        <v>230350</v>
      </c>
      <c r="D269" s="6">
        <v>273624.61349999998</v>
      </c>
      <c r="E269" s="6">
        <v>273624.61349999998</v>
      </c>
      <c r="F269" s="6">
        <v>273624.61349999998</v>
      </c>
      <c r="G269" s="7" t="s">
        <v>9</v>
      </c>
      <c r="H269" s="1">
        <f t="shared" si="4"/>
        <v>1.1878646125461254</v>
      </c>
    </row>
    <row r="270" spans="1:8" x14ac:dyDescent="0.25">
      <c r="A270" s="1" t="s">
        <v>16</v>
      </c>
      <c r="B270" s="1" t="s">
        <v>17</v>
      </c>
      <c r="C270" s="6">
        <v>401309.5</v>
      </c>
      <c r="D270" s="6">
        <v>571934.12250000006</v>
      </c>
      <c r="E270" s="6">
        <v>510998.11749999999</v>
      </c>
      <c r="F270" s="6">
        <v>401309.5575</v>
      </c>
      <c r="G270" s="7" t="s">
        <v>9</v>
      </c>
      <c r="H270" s="1">
        <f t="shared" si="4"/>
        <v>1.4251696570851178</v>
      </c>
    </row>
    <row r="271" spans="1:8" x14ac:dyDescent="0.25">
      <c r="A271" s="1" t="s">
        <v>16</v>
      </c>
      <c r="B271" s="1" t="s">
        <v>17</v>
      </c>
      <c r="C271" s="6">
        <v>113440</v>
      </c>
      <c r="D271" s="6">
        <v>0</v>
      </c>
      <c r="E271" s="6">
        <v>0</v>
      </c>
      <c r="F271" s="6">
        <v>0</v>
      </c>
      <c r="G271" s="7" t="s">
        <v>9</v>
      </c>
      <c r="H271" s="1">
        <f t="shared" si="4"/>
        <v>0</v>
      </c>
    </row>
    <row r="272" spans="1:8" x14ac:dyDescent="0.25">
      <c r="A272" s="1" t="s">
        <v>16</v>
      </c>
      <c r="B272" s="1" t="s">
        <v>17</v>
      </c>
      <c r="C272" s="6">
        <v>352439.5</v>
      </c>
      <c r="D272" s="6">
        <v>403189.84749999997</v>
      </c>
      <c r="E272" s="6">
        <v>403189.84749999997</v>
      </c>
      <c r="F272" s="6">
        <v>396501.92499999999</v>
      </c>
      <c r="G272" s="7" t="s">
        <v>9</v>
      </c>
      <c r="H272" s="1">
        <f t="shared" si="4"/>
        <v>1.1439973314568883</v>
      </c>
    </row>
    <row r="273" spans="1:8" x14ac:dyDescent="0.25">
      <c r="A273" s="1" t="s">
        <v>16</v>
      </c>
      <c r="B273" s="1" t="s">
        <v>17</v>
      </c>
      <c r="C273" s="6">
        <v>35124637</v>
      </c>
      <c r="D273" s="6">
        <v>45159403.600000001</v>
      </c>
      <c r="E273" s="6">
        <v>45122528.799999997</v>
      </c>
      <c r="F273" s="6">
        <v>44446745.560000002</v>
      </c>
      <c r="G273" s="7" t="s">
        <v>9</v>
      </c>
      <c r="H273" s="1">
        <f t="shared" si="4"/>
        <v>1.2856902578096394</v>
      </c>
    </row>
    <row r="274" spans="1:8" x14ac:dyDescent="0.25">
      <c r="A274" s="1" t="s">
        <v>16</v>
      </c>
      <c r="B274" s="1" t="s">
        <v>17</v>
      </c>
      <c r="C274" s="6">
        <v>2530222.25</v>
      </c>
      <c r="D274" s="6">
        <v>2270374.6074999999</v>
      </c>
      <c r="E274" s="6">
        <v>2256437.41</v>
      </c>
      <c r="F274" s="6">
        <v>2234933.1724999999</v>
      </c>
      <c r="G274" s="7" t="s">
        <v>9</v>
      </c>
      <c r="H274" s="1">
        <f t="shared" si="4"/>
        <v>0.89730244349088306</v>
      </c>
    </row>
    <row r="275" spans="1:8" x14ac:dyDescent="0.25">
      <c r="A275" s="1" t="s">
        <v>16</v>
      </c>
      <c r="B275" s="1" t="s">
        <v>17</v>
      </c>
      <c r="C275" s="6">
        <v>1091454</v>
      </c>
      <c r="D275" s="6">
        <v>1095992.1000000001</v>
      </c>
      <c r="E275" s="6">
        <v>1095992.1000000001</v>
      </c>
      <c r="F275" s="6">
        <v>1071454.32</v>
      </c>
      <c r="G275" s="7" t="s">
        <v>9</v>
      </c>
      <c r="H275" s="1">
        <f t="shared" si="4"/>
        <v>1.0041578481548468</v>
      </c>
    </row>
    <row r="276" spans="1:8" x14ac:dyDescent="0.25">
      <c r="A276" s="1" t="s">
        <v>16</v>
      </c>
      <c r="B276" s="1" t="s">
        <v>17</v>
      </c>
      <c r="C276" s="6">
        <v>1442265</v>
      </c>
      <c r="D276" s="6">
        <v>2272338.27</v>
      </c>
      <c r="E276" s="6">
        <v>2272338.27</v>
      </c>
      <c r="F276" s="6">
        <v>2075758.9875</v>
      </c>
      <c r="G276" s="7" t="s">
        <v>9</v>
      </c>
      <c r="H276" s="1">
        <f t="shared" si="4"/>
        <v>1.5755345030212895</v>
      </c>
    </row>
    <row r="277" spans="1:8" x14ac:dyDescent="0.25">
      <c r="A277" s="1" t="s">
        <v>16</v>
      </c>
      <c r="B277" s="1" t="s">
        <v>17</v>
      </c>
      <c r="C277" s="6">
        <v>217678.5</v>
      </c>
      <c r="D277" s="6">
        <v>276583.86</v>
      </c>
      <c r="E277" s="6">
        <v>276583.86</v>
      </c>
      <c r="F277" s="6">
        <v>217678.44</v>
      </c>
      <c r="G277" s="7" t="s">
        <v>9</v>
      </c>
      <c r="H277" s="1">
        <f t="shared" si="4"/>
        <v>1.270607156885039</v>
      </c>
    </row>
    <row r="278" spans="1:8" x14ac:dyDescent="0.25">
      <c r="A278" s="1" t="s">
        <v>16</v>
      </c>
      <c r="B278" s="1" t="s">
        <v>17</v>
      </c>
      <c r="C278" s="6">
        <v>141384.25</v>
      </c>
      <c r="D278" s="6">
        <v>159035.4325</v>
      </c>
      <c r="E278" s="6">
        <v>159035.4325</v>
      </c>
      <c r="F278" s="6">
        <v>141134.25</v>
      </c>
      <c r="G278" s="7" t="s">
        <v>9</v>
      </c>
      <c r="H278" s="1">
        <f t="shared" si="4"/>
        <v>1.1248454654602615</v>
      </c>
    </row>
    <row r="279" spans="1:8" x14ac:dyDescent="0.25">
      <c r="A279" s="1" t="s">
        <v>16</v>
      </c>
      <c r="B279" s="1" t="s">
        <v>17</v>
      </c>
      <c r="C279" s="6">
        <v>765</v>
      </c>
      <c r="D279" s="6">
        <v>0</v>
      </c>
      <c r="E279" s="6">
        <v>0</v>
      </c>
      <c r="F279" s="6">
        <v>0</v>
      </c>
      <c r="G279" s="7" t="s">
        <v>9</v>
      </c>
      <c r="H279" s="1">
        <f t="shared" si="4"/>
        <v>0</v>
      </c>
    </row>
    <row r="280" spans="1:8" x14ac:dyDescent="0.25">
      <c r="A280" s="1" t="s">
        <v>16</v>
      </c>
      <c r="B280" s="1" t="s">
        <v>17</v>
      </c>
      <c r="C280" s="6">
        <v>160625</v>
      </c>
      <c r="D280" s="6">
        <v>291304.04749999999</v>
      </c>
      <c r="E280" s="6">
        <v>260394.8</v>
      </c>
      <c r="F280" s="6">
        <v>260394.8</v>
      </c>
      <c r="G280" s="7" t="s">
        <v>9</v>
      </c>
      <c r="H280" s="1">
        <f t="shared" si="4"/>
        <v>1.8135660544747081</v>
      </c>
    </row>
    <row r="281" spans="1:8" x14ac:dyDescent="0.25">
      <c r="A281" s="1" t="s">
        <v>16</v>
      </c>
      <c r="B281" s="1" t="s">
        <v>17</v>
      </c>
      <c r="C281" s="6">
        <v>754860.5</v>
      </c>
      <c r="D281" s="6">
        <v>594971.6825</v>
      </c>
      <c r="E281" s="6">
        <v>594971.6825</v>
      </c>
      <c r="F281" s="6">
        <v>587609.52</v>
      </c>
      <c r="G281" s="7" t="s">
        <v>9</v>
      </c>
      <c r="H281" s="1">
        <f t="shared" si="4"/>
        <v>0.78818759558885387</v>
      </c>
    </row>
    <row r="282" spans="1:8" x14ac:dyDescent="0.25">
      <c r="A282" s="1" t="s">
        <v>16</v>
      </c>
      <c r="B282" s="1" t="s">
        <v>17</v>
      </c>
      <c r="C282" s="6">
        <v>500</v>
      </c>
      <c r="D282" s="6">
        <v>0</v>
      </c>
      <c r="E282" s="6">
        <v>0</v>
      </c>
      <c r="F282" s="6">
        <v>0</v>
      </c>
      <c r="G282" s="7" t="s">
        <v>9</v>
      </c>
      <c r="H282" s="1">
        <f t="shared" si="4"/>
        <v>0</v>
      </c>
    </row>
    <row r="283" spans="1:8" x14ac:dyDescent="0.25">
      <c r="A283" s="1" t="s">
        <v>16</v>
      </c>
      <c r="B283" s="1" t="s">
        <v>17</v>
      </c>
      <c r="C283" s="6">
        <v>250</v>
      </c>
      <c r="D283" s="6">
        <v>0</v>
      </c>
      <c r="E283" s="6">
        <v>0</v>
      </c>
      <c r="F283" s="6">
        <v>0</v>
      </c>
      <c r="G283" s="7" t="s">
        <v>9</v>
      </c>
      <c r="H283" s="1">
        <f t="shared" si="4"/>
        <v>0</v>
      </c>
    </row>
    <row r="284" spans="1:8" x14ac:dyDescent="0.25">
      <c r="A284" s="1" t="s">
        <v>16</v>
      </c>
      <c r="B284" s="1" t="s">
        <v>17</v>
      </c>
      <c r="C284" s="6">
        <v>233169</v>
      </c>
      <c r="D284" s="6">
        <v>71931.740000000005</v>
      </c>
      <c r="E284" s="6">
        <v>61754.080000000002</v>
      </c>
      <c r="F284" s="6">
        <v>60128.39</v>
      </c>
      <c r="G284" s="7" t="s">
        <v>9</v>
      </c>
      <c r="H284" s="1">
        <f t="shared" si="4"/>
        <v>0.30849615514926942</v>
      </c>
    </row>
    <row r="285" spans="1:8" x14ac:dyDescent="0.25">
      <c r="A285" s="1" t="s">
        <v>16</v>
      </c>
      <c r="B285" s="1" t="s">
        <v>17</v>
      </c>
      <c r="C285" s="6">
        <v>416249</v>
      </c>
      <c r="D285" s="6">
        <v>537972</v>
      </c>
      <c r="E285" s="6">
        <v>536560</v>
      </c>
      <c r="F285" s="6">
        <v>536560</v>
      </c>
      <c r="G285" s="7" t="s">
        <v>9</v>
      </c>
      <c r="H285" s="1">
        <f t="shared" si="4"/>
        <v>1.2924283301581505</v>
      </c>
    </row>
    <row r="286" spans="1:8" x14ac:dyDescent="0.25">
      <c r="A286" s="1" t="s">
        <v>16</v>
      </c>
      <c r="B286" s="1" t="s">
        <v>17</v>
      </c>
      <c r="C286" s="6">
        <v>863340</v>
      </c>
      <c r="D286" s="6">
        <v>598688</v>
      </c>
      <c r="E286" s="6">
        <v>594452</v>
      </c>
      <c r="F286" s="6">
        <v>593040</v>
      </c>
      <c r="G286" s="7" t="s">
        <v>9</v>
      </c>
      <c r="H286" s="1">
        <f t="shared" si="4"/>
        <v>0.69345564899112744</v>
      </c>
    </row>
    <row r="287" spans="1:8" x14ac:dyDescent="0.25">
      <c r="A287" s="1" t="s">
        <v>16</v>
      </c>
      <c r="B287" s="1" t="s">
        <v>17</v>
      </c>
      <c r="C287" s="6">
        <v>74092</v>
      </c>
      <c r="D287" s="6">
        <v>74865.210000000006</v>
      </c>
      <c r="E287" s="6">
        <v>68465.100000000006</v>
      </c>
      <c r="F287" s="6">
        <v>68465.100000000006</v>
      </c>
      <c r="G287" s="7" t="s">
        <v>9</v>
      </c>
      <c r="H287" s="1">
        <f t="shared" si="4"/>
        <v>1.0104358095340928</v>
      </c>
    </row>
    <row r="288" spans="1:8" x14ac:dyDescent="0.25">
      <c r="A288" s="1" t="s">
        <v>16</v>
      </c>
      <c r="B288" s="1" t="s">
        <v>17</v>
      </c>
      <c r="C288" s="6">
        <v>8597643.25</v>
      </c>
      <c r="D288" s="6">
        <v>7973820.3099999996</v>
      </c>
      <c r="E288" s="6">
        <v>7734169.4249999998</v>
      </c>
      <c r="F288" s="6">
        <v>7454595.4474999998</v>
      </c>
      <c r="G288" s="7" t="s">
        <v>9</v>
      </c>
      <c r="H288" s="1">
        <f t="shared" si="4"/>
        <v>0.92744256514714074</v>
      </c>
    </row>
    <row r="289" spans="1:8" x14ac:dyDescent="0.25">
      <c r="A289" s="1" t="s">
        <v>16</v>
      </c>
      <c r="B289" s="1" t="s">
        <v>17</v>
      </c>
      <c r="C289" s="6">
        <v>14272</v>
      </c>
      <c r="D289" s="6">
        <v>0</v>
      </c>
      <c r="E289" s="6">
        <v>0</v>
      </c>
      <c r="F289" s="6">
        <v>0</v>
      </c>
      <c r="G289" s="7" t="s">
        <v>9</v>
      </c>
      <c r="H289" s="1">
        <f t="shared" si="4"/>
        <v>0</v>
      </c>
    </row>
    <row r="290" spans="1:8" x14ac:dyDescent="0.25">
      <c r="A290" s="1" t="s">
        <v>16</v>
      </c>
      <c r="B290" s="1" t="s">
        <v>17</v>
      </c>
      <c r="C290" s="6">
        <v>483738.25</v>
      </c>
      <c r="D290" s="6">
        <v>406565.32</v>
      </c>
      <c r="E290" s="6">
        <v>406565.32</v>
      </c>
      <c r="F290" s="6">
        <v>398738.19</v>
      </c>
      <c r="G290" s="7" t="s">
        <v>9</v>
      </c>
      <c r="H290" s="1">
        <f t="shared" si="4"/>
        <v>0.8404655203511403</v>
      </c>
    </row>
    <row r="291" spans="1:8" x14ac:dyDescent="0.25">
      <c r="A291" s="1" t="s">
        <v>16</v>
      </c>
      <c r="B291" s="1" t="s">
        <v>17</v>
      </c>
      <c r="C291" s="6">
        <v>1722335.25</v>
      </c>
      <c r="D291" s="6">
        <v>1791520.17</v>
      </c>
      <c r="E291" s="6">
        <v>1767176.58</v>
      </c>
      <c r="F291" s="6">
        <v>1767176.58</v>
      </c>
      <c r="G291" s="7" t="s">
        <v>9</v>
      </c>
      <c r="H291" s="1">
        <f t="shared" si="4"/>
        <v>1.0401692527630726</v>
      </c>
    </row>
    <row r="292" spans="1:8" x14ac:dyDescent="0.25">
      <c r="A292" s="1" t="s">
        <v>16</v>
      </c>
      <c r="B292" s="1" t="s">
        <v>17</v>
      </c>
      <c r="C292" s="6">
        <v>1216364</v>
      </c>
      <c r="D292" s="6">
        <v>1239731.1074999999</v>
      </c>
      <c r="E292" s="6">
        <v>1239731.1074999999</v>
      </c>
      <c r="F292" s="6">
        <v>1215864</v>
      </c>
      <c r="G292" s="7" t="s">
        <v>9</v>
      </c>
      <c r="H292" s="1">
        <f t="shared" si="4"/>
        <v>1.0192106207516829</v>
      </c>
    </row>
    <row r="293" spans="1:8" x14ac:dyDescent="0.25">
      <c r="A293" s="1" t="s">
        <v>16</v>
      </c>
      <c r="B293" s="1" t="s">
        <v>17</v>
      </c>
      <c r="C293" s="6">
        <v>1020013</v>
      </c>
      <c r="D293" s="6">
        <v>891011.01</v>
      </c>
      <c r="E293" s="6">
        <v>881356.96</v>
      </c>
      <c r="F293" s="6">
        <v>881356.96</v>
      </c>
      <c r="G293" s="7" t="s">
        <v>9</v>
      </c>
      <c r="H293" s="1">
        <f t="shared" si="4"/>
        <v>0.87352907266868163</v>
      </c>
    </row>
    <row r="294" spans="1:8" x14ac:dyDescent="0.25">
      <c r="A294" s="1" t="s">
        <v>16</v>
      </c>
      <c r="B294" s="1" t="s">
        <v>17</v>
      </c>
      <c r="C294" s="6">
        <v>298909.5</v>
      </c>
      <c r="D294" s="6">
        <v>60284.49</v>
      </c>
      <c r="E294" s="6">
        <v>59534.49</v>
      </c>
      <c r="F294" s="6">
        <v>59534.49</v>
      </c>
      <c r="G294" s="7" t="s">
        <v>9</v>
      </c>
      <c r="H294" s="1">
        <f t="shared" si="4"/>
        <v>0.20168141193237418</v>
      </c>
    </row>
    <row r="295" spans="1:8" x14ac:dyDescent="0.25">
      <c r="A295" s="1" t="s">
        <v>16</v>
      </c>
      <c r="B295" s="1" t="s">
        <v>17</v>
      </c>
      <c r="C295" s="6">
        <v>30000</v>
      </c>
      <c r="D295" s="6">
        <v>0</v>
      </c>
      <c r="E295" s="6">
        <v>0</v>
      </c>
      <c r="F295" s="6">
        <v>0</v>
      </c>
      <c r="G295" s="7" t="s">
        <v>9</v>
      </c>
      <c r="H295" s="1">
        <f t="shared" si="4"/>
        <v>0</v>
      </c>
    </row>
    <row r="296" spans="1:8" x14ac:dyDescent="0.25">
      <c r="A296" s="1" t="s">
        <v>16</v>
      </c>
      <c r="B296" s="1" t="s">
        <v>17</v>
      </c>
      <c r="C296" s="6">
        <v>500</v>
      </c>
      <c r="D296" s="6">
        <v>0</v>
      </c>
      <c r="E296" s="6">
        <v>0</v>
      </c>
      <c r="F296" s="6">
        <v>0</v>
      </c>
      <c r="G296" s="7" t="s">
        <v>9</v>
      </c>
      <c r="H296" s="1">
        <f t="shared" si="4"/>
        <v>0</v>
      </c>
    </row>
    <row r="297" spans="1:8" x14ac:dyDescent="0.25">
      <c r="A297" s="1" t="s">
        <v>16</v>
      </c>
      <c r="B297" s="1" t="s">
        <v>17</v>
      </c>
      <c r="C297" s="6">
        <v>23750</v>
      </c>
      <c r="D297" s="6">
        <v>0</v>
      </c>
      <c r="E297" s="6">
        <v>0</v>
      </c>
      <c r="F297" s="6">
        <v>0</v>
      </c>
      <c r="G297" s="7" t="s">
        <v>9</v>
      </c>
      <c r="H297" s="1">
        <f t="shared" si="4"/>
        <v>0</v>
      </c>
    </row>
    <row r="298" spans="1:8" x14ac:dyDescent="0.25">
      <c r="A298" s="1" t="s">
        <v>16</v>
      </c>
      <c r="B298" s="1" t="s">
        <v>17</v>
      </c>
      <c r="C298" s="6">
        <v>8519099.75</v>
      </c>
      <c r="D298" s="6">
        <v>9240796.6300000008</v>
      </c>
      <c r="E298" s="6">
        <v>9049520.8000000007</v>
      </c>
      <c r="F298" s="6">
        <v>8345844.7525000004</v>
      </c>
      <c r="G298" s="7" t="s">
        <v>9</v>
      </c>
      <c r="H298" s="1">
        <f t="shared" si="4"/>
        <v>1.0847151578428227</v>
      </c>
    </row>
    <row r="299" spans="1:8" x14ac:dyDescent="0.25">
      <c r="A299" s="1" t="s">
        <v>16</v>
      </c>
      <c r="B299" s="1" t="s">
        <v>17</v>
      </c>
      <c r="C299" s="6">
        <v>306219.75</v>
      </c>
      <c r="D299" s="6">
        <v>84258.5625</v>
      </c>
      <c r="E299" s="6">
        <v>84258.5625</v>
      </c>
      <c r="F299" s="6">
        <v>84258.5625</v>
      </c>
      <c r="G299" s="7" t="s">
        <v>9</v>
      </c>
      <c r="H299" s="1">
        <f t="shared" si="4"/>
        <v>0.27515717879072138</v>
      </c>
    </row>
    <row r="300" spans="1:8" x14ac:dyDescent="0.25">
      <c r="A300" s="1" t="s">
        <v>16</v>
      </c>
      <c r="B300" s="1" t="s">
        <v>17</v>
      </c>
      <c r="C300" s="6">
        <v>250</v>
      </c>
      <c r="D300" s="6">
        <v>0</v>
      </c>
      <c r="E300" s="6">
        <v>0</v>
      </c>
      <c r="F300" s="6">
        <v>0</v>
      </c>
      <c r="G300" s="7" t="s">
        <v>9</v>
      </c>
      <c r="H300" s="1">
        <f t="shared" si="4"/>
        <v>0</v>
      </c>
    </row>
    <row r="301" spans="1:8" x14ac:dyDescent="0.25">
      <c r="A301" s="1" t="s">
        <v>16</v>
      </c>
      <c r="B301" s="1" t="s">
        <v>17</v>
      </c>
      <c r="C301" s="6">
        <v>221865.75</v>
      </c>
      <c r="D301" s="6">
        <v>160489.3075</v>
      </c>
      <c r="E301" s="6">
        <v>114504.7375</v>
      </c>
      <c r="F301" s="6">
        <v>114504.7375</v>
      </c>
      <c r="G301" s="7" t="s">
        <v>9</v>
      </c>
      <c r="H301" s="1">
        <f t="shared" si="4"/>
        <v>0.72336224721481346</v>
      </c>
    </row>
    <row r="302" spans="1:8" x14ac:dyDescent="0.25">
      <c r="A302" s="1" t="s">
        <v>16</v>
      </c>
      <c r="B302" s="1" t="s">
        <v>17</v>
      </c>
      <c r="C302" s="6">
        <v>45000</v>
      </c>
      <c r="D302" s="6">
        <v>0</v>
      </c>
      <c r="E302" s="6">
        <v>0</v>
      </c>
      <c r="F302" s="6">
        <v>0</v>
      </c>
      <c r="G302" s="7" t="s">
        <v>9</v>
      </c>
      <c r="H302" s="1">
        <f t="shared" si="4"/>
        <v>0</v>
      </c>
    </row>
    <row r="303" spans="1:8" x14ac:dyDescent="0.25">
      <c r="A303" s="1" t="s">
        <v>16</v>
      </c>
      <c r="B303" s="1" t="s">
        <v>17</v>
      </c>
      <c r="C303" s="6">
        <v>500</v>
      </c>
      <c r="D303" s="6">
        <v>0</v>
      </c>
      <c r="E303" s="6">
        <v>0</v>
      </c>
      <c r="F303" s="6">
        <v>0</v>
      </c>
      <c r="G303" s="7" t="s">
        <v>9</v>
      </c>
      <c r="H303" s="1">
        <f t="shared" si="4"/>
        <v>0</v>
      </c>
    </row>
    <row r="304" spans="1:8" x14ac:dyDescent="0.25">
      <c r="A304" s="1" t="s">
        <v>16</v>
      </c>
      <c r="B304" s="1" t="s">
        <v>17</v>
      </c>
      <c r="C304" s="6">
        <v>515</v>
      </c>
      <c r="D304" s="6">
        <v>0</v>
      </c>
      <c r="E304" s="6">
        <v>0</v>
      </c>
      <c r="F304" s="6">
        <v>0</v>
      </c>
      <c r="G304" s="7" t="s">
        <v>9</v>
      </c>
      <c r="H304" s="1">
        <f t="shared" si="4"/>
        <v>0</v>
      </c>
    </row>
    <row r="305" spans="1:8" x14ac:dyDescent="0.25">
      <c r="A305" s="1" t="s">
        <v>16</v>
      </c>
      <c r="B305" s="1" t="s">
        <v>17</v>
      </c>
      <c r="C305" s="6">
        <v>386337</v>
      </c>
      <c r="D305" s="6">
        <v>252213.1825</v>
      </c>
      <c r="E305" s="6">
        <v>167981.78750000001</v>
      </c>
      <c r="F305" s="6">
        <v>167981.78750000001</v>
      </c>
      <c r="G305" s="7" t="s">
        <v>9</v>
      </c>
      <c r="H305" s="1">
        <f t="shared" si="4"/>
        <v>0.65283206759901324</v>
      </c>
    </row>
    <row r="306" spans="1:8" x14ac:dyDescent="0.25">
      <c r="A306" s="1" t="s">
        <v>16</v>
      </c>
      <c r="B306" s="1" t="s">
        <v>17</v>
      </c>
      <c r="C306" s="6">
        <v>54766.75</v>
      </c>
      <c r="D306" s="6">
        <v>15569.1325</v>
      </c>
      <c r="E306" s="6">
        <v>13057.497499999999</v>
      </c>
      <c r="F306" s="6">
        <v>13057.497499999999</v>
      </c>
      <c r="G306" s="7" t="s">
        <v>9</v>
      </c>
      <c r="H306" s="1">
        <f t="shared" si="4"/>
        <v>0.2842807451601565</v>
      </c>
    </row>
    <row r="307" spans="1:8" x14ac:dyDescent="0.25">
      <c r="A307" s="1" t="s">
        <v>16</v>
      </c>
      <c r="B307" s="1" t="s">
        <v>17</v>
      </c>
      <c r="C307" s="6">
        <v>9836.5</v>
      </c>
      <c r="D307" s="6">
        <v>2650.75</v>
      </c>
      <c r="E307" s="6">
        <v>307.315</v>
      </c>
      <c r="F307" s="6">
        <v>307.315</v>
      </c>
      <c r="G307" s="7" t="s">
        <v>9</v>
      </c>
      <c r="H307" s="1">
        <f t="shared" si="4"/>
        <v>0.26948101458852236</v>
      </c>
    </row>
    <row r="308" spans="1:8" x14ac:dyDescent="0.25">
      <c r="A308" s="1" t="s">
        <v>16</v>
      </c>
      <c r="B308" s="1" t="s">
        <v>17</v>
      </c>
      <c r="C308" s="6">
        <v>20064</v>
      </c>
      <c r="D308" s="6">
        <v>4091.6849999999999</v>
      </c>
      <c r="E308" s="6">
        <v>1160</v>
      </c>
      <c r="F308" s="6">
        <v>1160</v>
      </c>
      <c r="G308" s="7" t="s">
        <v>9</v>
      </c>
      <c r="H308" s="1">
        <f t="shared" si="4"/>
        <v>0.20393166866028709</v>
      </c>
    </row>
    <row r="309" spans="1:8" x14ac:dyDescent="0.25">
      <c r="A309" s="1" t="s">
        <v>16</v>
      </c>
      <c r="B309" s="1" t="s">
        <v>17</v>
      </c>
      <c r="C309" s="6">
        <v>13502495</v>
      </c>
      <c r="D309" s="6">
        <v>13905447.810000001</v>
      </c>
      <c r="E309" s="6">
        <v>13703536.310000001</v>
      </c>
      <c r="F309" s="6">
        <v>13703536.310000001</v>
      </c>
      <c r="G309" s="7" t="s">
        <v>9</v>
      </c>
      <c r="H309" s="1">
        <f t="shared" si="4"/>
        <v>1.0298428408971825</v>
      </c>
    </row>
    <row r="310" spans="1:8" x14ac:dyDescent="0.25">
      <c r="A310" s="1" t="s">
        <v>16</v>
      </c>
      <c r="B310" s="1" t="s">
        <v>17</v>
      </c>
      <c r="C310" s="6">
        <v>210000</v>
      </c>
      <c r="D310" s="6">
        <v>0</v>
      </c>
      <c r="E310" s="6">
        <v>0</v>
      </c>
      <c r="F310" s="6">
        <v>0</v>
      </c>
      <c r="G310" s="7" t="s">
        <v>9</v>
      </c>
      <c r="H310" s="1">
        <f t="shared" si="4"/>
        <v>0</v>
      </c>
    </row>
    <row r="311" spans="1:8" x14ac:dyDescent="0.25">
      <c r="A311" s="1" t="s">
        <v>16</v>
      </c>
      <c r="B311" s="1" t="s">
        <v>17</v>
      </c>
      <c r="C311" s="6">
        <v>400000</v>
      </c>
      <c r="D311" s="6">
        <v>0</v>
      </c>
      <c r="E311" s="6">
        <v>0</v>
      </c>
      <c r="F311" s="6">
        <v>0</v>
      </c>
      <c r="G311" s="7" t="s">
        <v>9</v>
      </c>
      <c r="H311" s="1">
        <f t="shared" si="4"/>
        <v>0</v>
      </c>
    </row>
    <row r="312" spans="1:8" x14ac:dyDescent="0.25">
      <c r="A312" s="1" t="s">
        <v>16</v>
      </c>
      <c r="B312" s="1" t="s">
        <v>17</v>
      </c>
      <c r="C312" s="6">
        <v>400000</v>
      </c>
      <c r="D312" s="6">
        <v>0</v>
      </c>
      <c r="E312" s="6">
        <v>0</v>
      </c>
      <c r="F312" s="6">
        <v>0</v>
      </c>
      <c r="G312" s="7" t="s">
        <v>9</v>
      </c>
      <c r="H312" s="1">
        <f t="shared" si="4"/>
        <v>0</v>
      </c>
    </row>
    <row r="313" spans="1:8" x14ac:dyDescent="0.25">
      <c r="A313" s="1" t="s">
        <v>16</v>
      </c>
      <c r="B313" s="1" t="s">
        <v>17</v>
      </c>
      <c r="C313" s="6">
        <v>519300</v>
      </c>
      <c r="D313" s="6">
        <v>38919.96</v>
      </c>
      <c r="E313" s="6">
        <v>38919.96</v>
      </c>
      <c r="F313" s="6">
        <v>38919.96</v>
      </c>
      <c r="G313" s="7" t="s">
        <v>9</v>
      </c>
      <c r="H313" s="1">
        <f t="shared" si="4"/>
        <v>7.4946967071057191E-2</v>
      </c>
    </row>
    <row r="314" spans="1:8" x14ac:dyDescent="0.25">
      <c r="A314" s="1" t="s">
        <v>16</v>
      </c>
      <c r="B314" s="1" t="s">
        <v>17</v>
      </c>
      <c r="C314" s="6">
        <v>846180</v>
      </c>
      <c r="D314" s="6">
        <v>182560.59</v>
      </c>
      <c r="E314" s="6">
        <v>128057.09</v>
      </c>
      <c r="F314" s="6">
        <v>127444.59</v>
      </c>
      <c r="G314" s="7" t="s">
        <v>9</v>
      </c>
      <c r="H314" s="1">
        <f t="shared" si="4"/>
        <v>0.21574675600935972</v>
      </c>
    </row>
    <row r="315" spans="1:8" x14ac:dyDescent="0.25">
      <c r="A315" s="1" t="s">
        <v>16</v>
      </c>
      <c r="B315" s="1" t="s">
        <v>17</v>
      </c>
      <c r="C315" s="6">
        <v>201000</v>
      </c>
      <c r="D315" s="6">
        <v>100000</v>
      </c>
      <c r="E315" s="6">
        <v>100000</v>
      </c>
      <c r="F315" s="6">
        <v>100000</v>
      </c>
      <c r="G315" s="7" t="s">
        <v>9</v>
      </c>
      <c r="H315" s="1">
        <f t="shared" si="4"/>
        <v>0.49751243781094528</v>
      </c>
    </row>
    <row r="316" spans="1:8" x14ac:dyDescent="0.25">
      <c r="A316" s="1" t="s">
        <v>16</v>
      </c>
      <c r="B316" s="1" t="s">
        <v>17</v>
      </c>
      <c r="C316" s="6">
        <v>811000</v>
      </c>
      <c r="D316" s="6">
        <v>144072.73000000001</v>
      </c>
      <c r="E316" s="6">
        <v>72.73</v>
      </c>
      <c r="F316" s="6">
        <v>72.73</v>
      </c>
      <c r="G316" s="7" t="s">
        <v>9</v>
      </c>
      <c r="H316" s="1">
        <f t="shared" si="4"/>
        <v>0.17764824907521579</v>
      </c>
    </row>
    <row r="317" spans="1:8" x14ac:dyDescent="0.25">
      <c r="A317" s="1" t="s">
        <v>16</v>
      </c>
      <c r="B317" s="1" t="s">
        <v>17</v>
      </c>
      <c r="C317" s="6">
        <v>48784.05</v>
      </c>
      <c r="D317" s="6">
        <v>0</v>
      </c>
      <c r="E317" s="6">
        <v>0</v>
      </c>
      <c r="F317" s="6">
        <v>0</v>
      </c>
      <c r="G317" s="7" t="s">
        <v>9</v>
      </c>
      <c r="H317" s="1">
        <f t="shared" si="4"/>
        <v>0</v>
      </c>
    </row>
    <row r="318" spans="1:8" x14ac:dyDescent="0.25">
      <c r="A318" s="1" t="s">
        <v>16</v>
      </c>
      <c r="B318" s="1" t="s">
        <v>17</v>
      </c>
      <c r="C318" s="6">
        <v>3054351.25</v>
      </c>
      <c r="D318" s="6">
        <v>92158.095000000001</v>
      </c>
      <c r="E318" s="6">
        <v>14658.1</v>
      </c>
      <c r="F318" s="6">
        <v>14658.1</v>
      </c>
      <c r="G318" s="7" t="s">
        <v>9</v>
      </c>
      <c r="H318" s="1">
        <f t="shared" si="4"/>
        <v>3.0172723258335137E-2</v>
      </c>
    </row>
    <row r="319" spans="1:8" x14ac:dyDescent="0.25">
      <c r="A319" s="1" t="s">
        <v>16</v>
      </c>
      <c r="B319" s="1" t="s">
        <v>17</v>
      </c>
      <c r="C319" s="6">
        <v>93610.25</v>
      </c>
      <c r="D319" s="6">
        <v>89345.63</v>
      </c>
      <c r="E319" s="6">
        <v>76845.602499999994</v>
      </c>
      <c r="F319" s="6">
        <v>76845.602499999994</v>
      </c>
      <c r="G319" s="7" t="s">
        <v>9</v>
      </c>
      <c r="H319" s="1">
        <f t="shared" si="4"/>
        <v>0.95444280941456738</v>
      </c>
    </row>
    <row r="320" spans="1:8" x14ac:dyDescent="0.25">
      <c r="A320" s="1" t="s">
        <v>16</v>
      </c>
      <c r="B320" s="1" t="s">
        <v>17</v>
      </c>
      <c r="C320" s="6">
        <v>529802.25</v>
      </c>
      <c r="D320" s="6">
        <v>120734.6075</v>
      </c>
      <c r="E320" s="6">
        <v>106919.10249999999</v>
      </c>
      <c r="F320" s="6">
        <v>106345.76</v>
      </c>
      <c r="G320" s="7" t="s">
        <v>9</v>
      </c>
      <c r="H320" s="1">
        <f t="shared" si="4"/>
        <v>0.22788617356759056</v>
      </c>
    </row>
    <row r="321" spans="1:8" x14ac:dyDescent="0.25">
      <c r="A321" s="1" t="s">
        <v>16</v>
      </c>
      <c r="B321" s="1" t="s">
        <v>17</v>
      </c>
      <c r="C321" s="6">
        <v>201507</v>
      </c>
      <c r="D321" s="6">
        <v>148433.8775</v>
      </c>
      <c r="E321" s="6">
        <v>126710.285</v>
      </c>
      <c r="F321" s="6">
        <v>125680.75</v>
      </c>
      <c r="G321" s="7" t="s">
        <v>9</v>
      </c>
      <c r="H321" s="1">
        <f t="shared" si="4"/>
        <v>0.73661896360920465</v>
      </c>
    </row>
    <row r="322" spans="1:8" x14ac:dyDescent="0.25">
      <c r="A322" s="1" t="s">
        <v>16</v>
      </c>
      <c r="B322" s="1" t="s">
        <v>17</v>
      </c>
      <c r="C322" s="6">
        <v>124285.75</v>
      </c>
      <c r="D322" s="6">
        <v>53617.925000000003</v>
      </c>
      <c r="E322" s="6">
        <v>49524.3675</v>
      </c>
      <c r="F322" s="6">
        <v>49218.794999999998</v>
      </c>
      <c r="G322" s="7" t="s">
        <v>9</v>
      </c>
      <c r="H322" s="1">
        <f t="shared" ref="H322:H385" si="5">IF(OR(ISNA($D322),ISNA($C322),$C322=0),0,$D322/$C322)</f>
        <v>0.43140846798607246</v>
      </c>
    </row>
    <row r="323" spans="1:8" x14ac:dyDescent="0.25">
      <c r="A323" s="1" t="s">
        <v>16</v>
      </c>
      <c r="B323" s="1" t="s">
        <v>19</v>
      </c>
      <c r="C323" s="6">
        <v>4358</v>
      </c>
      <c r="D323" s="6">
        <v>2729.3775000000001</v>
      </c>
      <c r="E323" s="6">
        <v>1750.625</v>
      </c>
      <c r="F323" s="6">
        <v>1750.625</v>
      </c>
      <c r="G323" s="7" t="s">
        <v>9</v>
      </c>
      <c r="H323" s="1">
        <f t="shared" si="5"/>
        <v>0.62629130335016059</v>
      </c>
    </row>
    <row r="324" spans="1:8" x14ac:dyDescent="0.25">
      <c r="A324" s="1" t="s">
        <v>16</v>
      </c>
      <c r="B324" s="1" t="s">
        <v>19</v>
      </c>
      <c r="C324" s="6">
        <v>283088.25</v>
      </c>
      <c r="D324" s="6">
        <v>203691.86499999999</v>
      </c>
      <c r="E324" s="6">
        <v>200781.51250000001</v>
      </c>
      <c r="F324" s="6">
        <v>180388.15</v>
      </c>
      <c r="G324" s="7" t="s">
        <v>9</v>
      </c>
      <c r="H324" s="1">
        <f t="shared" si="5"/>
        <v>0.71953486236182529</v>
      </c>
    </row>
    <row r="325" spans="1:8" x14ac:dyDescent="0.25">
      <c r="A325" s="1" t="s">
        <v>16</v>
      </c>
      <c r="B325" s="1" t="s">
        <v>19</v>
      </c>
      <c r="C325" s="6">
        <v>96750</v>
      </c>
      <c r="D325" s="6">
        <v>38418.857499999998</v>
      </c>
      <c r="E325" s="6">
        <v>3751.75</v>
      </c>
      <c r="F325" s="6">
        <v>3751.75</v>
      </c>
      <c r="G325" s="7" t="s">
        <v>9</v>
      </c>
      <c r="H325" s="1">
        <f t="shared" si="5"/>
        <v>0.39709413436692503</v>
      </c>
    </row>
    <row r="326" spans="1:8" x14ac:dyDescent="0.25">
      <c r="A326" s="1" t="s">
        <v>16</v>
      </c>
      <c r="B326" s="1" t="s">
        <v>19</v>
      </c>
      <c r="C326" s="6">
        <v>47152.5</v>
      </c>
      <c r="D326" s="6">
        <v>0</v>
      </c>
      <c r="E326" s="6">
        <v>0</v>
      </c>
      <c r="F326" s="6">
        <v>0</v>
      </c>
      <c r="G326" s="7" t="s">
        <v>9</v>
      </c>
      <c r="H326" s="1">
        <f t="shared" si="5"/>
        <v>0</v>
      </c>
    </row>
    <row r="327" spans="1:8" x14ac:dyDescent="0.25">
      <c r="A327" s="1" t="s">
        <v>16</v>
      </c>
      <c r="B327" s="1" t="s">
        <v>19</v>
      </c>
      <c r="C327" s="6">
        <v>44902.5</v>
      </c>
      <c r="D327" s="6">
        <v>0</v>
      </c>
      <c r="E327" s="6">
        <v>0</v>
      </c>
      <c r="F327" s="6">
        <v>0</v>
      </c>
      <c r="G327" s="7" t="s">
        <v>9</v>
      </c>
      <c r="H327" s="1">
        <f t="shared" si="5"/>
        <v>0</v>
      </c>
    </row>
    <row r="328" spans="1:8" x14ac:dyDescent="0.25">
      <c r="A328" s="1" t="s">
        <v>16</v>
      </c>
      <c r="B328" s="1" t="s">
        <v>19</v>
      </c>
      <c r="C328" s="6">
        <v>6636.75</v>
      </c>
      <c r="D328" s="6">
        <v>24540.744999999999</v>
      </c>
      <c r="E328" s="6">
        <v>15359.495000000001</v>
      </c>
      <c r="F328" s="6">
        <v>12953.245000000001</v>
      </c>
      <c r="G328" s="7" t="s">
        <v>9</v>
      </c>
      <c r="H328" s="1">
        <f t="shared" si="5"/>
        <v>3.6977052020943986</v>
      </c>
    </row>
    <row r="329" spans="1:8" x14ac:dyDescent="0.25">
      <c r="A329" s="1" t="s">
        <v>16</v>
      </c>
      <c r="B329" s="1" t="s">
        <v>19</v>
      </c>
      <c r="C329" s="6">
        <v>98019.5</v>
      </c>
      <c r="D329" s="6">
        <v>30070.522499999999</v>
      </c>
      <c r="E329" s="6">
        <v>3099.85</v>
      </c>
      <c r="F329" s="6">
        <v>2915.85</v>
      </c>
      <c r="G329" s="7" t="s">
        <v>9</v>
      </c>
      <c r="H329" s="1">
        <f t="shared" si="5"/>
        <v>0.30678102316375822</v>
      </c>
    </row>
    <row r="330" spans="1:8" x14ac:dyDescent="0.25">
      <c r="A330" s="1" t="s">
        <v>16</v>
      </c>
      <c r="B330" s="1" t="s">
        <v>19</v>
      </c>
      <c r="C330" s="6">
        <v>27000</v>
      </c>
      <c r="D330" s="6">
        <v>3414.63</v>
      </c>
      <c r="E330" s="6">
        <v>3405.5475000000001</v>
      </c>
      <c r="F330" s="6">
        <v>3405.5475000000001</v>
      </c>
      <c r="G330" s="7" t="s">
        <v>9</v>
      </c>
      <c r="H330" s="1">
        <f t="shared" si="5"/>
        <v>0.12646777777777779</v>
      </c>
    </row>
    <row r="331" spans="1:8" x14ac:dyDescent="0.25">
      <c r="A331" s="1" t="s">
        <v>16</v>
      </c>
      <c r="B331" s="1" t="s">
        <v>19</v>
      </c>
      <c r="C331" s="6">
        <v>62750</v>
      </c>
      <c r="D331" s="6">
        <v>0</v>
      </c>
      <c r="E331" s="6">
        <v>0</v>
      </c>
      <c r="F331" s="6">
        <v>0</v>
      </c>
      <c r="G331" s="7" t="s">
        <v>9</v>
      </c>
      <c r="H331" s="1">
        <f t="shared" si="5"/>
        <v>0</v>
      </c>
    </row>
    <row r="332" spans="1:8" x14ac:dyDescent="0.25">
      <c r="A332" s="1" t="s">
        <v>16</v>
      </c>
      <c r="B332" s="1" t="s">
        <v>19</v>
      </c>
      <c r="C332" s="6">
        <v>12500</v>
      </c>
      <c r="D332" s="6">
        <v>0</v>
      </c>
      <c r="E332" s="6">
        <v>0</v>
      </c>
      <c r="F332" s="6">
        <v>0</v>
      </c>
      <c r="G332" s="7" t="s">
        <v>9</v>
      </c>
      <c r="H332" s="1">
        <f t="shared" si="5"/>
        <v>0</v>
      </c>
    </row>
    <row r="333" spans="1:8" x14ac:dyDescent="0.25">
      <c r="A333" s="1" t="s">
        <v>16</v>
      </c>
      <c r="B333" s="1" t="s">
        <v>19</v>
      </c>
      <c r="C333" s="6">
        <v>565482.75</v>
      </c>
      <c r="D333" s="6">
        <v>484991.3125</v>
      </c>
      <c r="E333" s="6">
        <v>452127.76250000001</v>
      </c>
      <c r="F333" s="6">
        <v>430525.48499999999</v>
      </c>
      <c r="G333" s="7" t="s">
        <v>9</v>
      </c>
      <c r="H333" s="1">
        <f t="shared" si="5"/>
        <v>0.85765889852519817</v>
      </c>
    </row>
    <row r="334" spans="1:8" x14ac:dyDescent="0.25">
      <c r="A334" s="1" t="s">
        <v>16</v>
      </c>
      <c r="B334" s="1" t="s">
        <v>19</v>
      </c>
      <c r="C334" s="6">
        <v>298688.5</v>
      </c>
      <c r="D334" s="6">
        <v>145528.36249999999</v>
      </c>
      <c r="E334" s="6">
        <v>145528.36249999999</v>
      </c>
      <c r="F334" s="6">
        <v>145528.36249999999</v>
      </c>
      <c r="G334" s="7" t="s">
        <v>9</v>
      </c>
      <c r="H334" s="1">
        <f t="shared" si="5"/>
        <v>0.4872245248812726</v>
      </c>
    </row>
    <row r="335" spans="1:8" x14ac:dyDescent="0.25">
      <c r="A335" s="1" t="s">
        <v>16</v>
      </c>
      <c r="B335" s="1" t="s">
        <v>19</v>
      </c>
      <c r="C335" s="6">
        <v>380206.25</v>
      </c>
      <c r="D335" s="6">
        <v>526306.70250000001</v>
      </c>
      <c r="E335" s="6">
        <v>516858.16</v>
      </c>
      <c r="F335" s="6">
        <v>483434.3775</v>
      </c>
      <c r="G335" s="7" t="s">
        <v>9</v>
      </c>
      <c r="H335" s="1">
        <f t="shared" si="5"/>
        <v>1.3842663094044352</v>
      </c>
    </row>
    <row r="336" spans="1:8" x14ac:dyDescent="0.25">
      <c r="A336" s="1" t="s">
        <v>16</v>
      </c>
      <c r="B336" s="1" t="s">
        <v>19</v>
      </c>
      <c r="C336" s="6">
        <v>12500</v>
      </c>
      <c r="D336" s="6">
        <v>0</v>
      </c>
      <c r="E336" s="6">
        <v>0</v>
      </c>
      <c r="F336" s="6">
        <v>0</v>
      </c>
      <c r="G336" s="7" t="s">
        <v>9</v>
      </c>
      <c r="H336" s="1">
        <f t="shared" si="5"/>
        <v>0</v>
      </c>
    </row>
    <row r="337" spans="1:8" x14ac:dyDescent="0.25">
      <c r="A337" s="1" t="s">
        <v>16</v>
      </c>
      <c r="B337" s="1" t="s">
        <v>19</v>
      </c>
      <c r="C337" s="6">
        <v>375500</v>
      </c>
      <c r="D337" s="6">
        <v>0</v>
      </c>
      <c r="E337" s="6">
        <v>0</v>
      </c>
      <c r="F337" s="6">
        <v>0</v>
      </c>
      <c r="G337" s="7" t="s">
        <v>9</v>
      </c>
      <c r="H337" s="1">
        <f t="shared" si="5"/>
        <v>0</v>
      </c>
    </row>
    <row r="338" spans="1:8" x14ac:dyDescent="0.25">
      <c r="A338" s="1" t="s">
        <v>16</v>
      </c>
      <c r="B338" s="1" t="s">
        <v>19</v>
      </c>
      <c r="C338" s="6">
        <v>1796579</v>
      </c>
      <c r="D338" s="6">
        <v>2540454.59</v>
      </c>
      <c r="E338" s="6">
        <v>2342328.02</v>
      </c>
      <c r="F338" s="6">
        <v>2331596.77</v>
      </c>
      <c r="G338" s="7" t="s">
        <v>9</v>
      </c>
      <c r="H338" s="1">
        <f t="shared" si="5"/>
        <v>1.4140511438684298</v>
      </c>
    </row>
    <row r="339" spans="1:8" x14ac:dyDescent="0.25">
      <c r="A339" s="1" t="s">
        <v>16</v>
      </c>
      <c r="B339" s="1" t="s">
        <v>19</v>
      </c>
      <c r="C339" s="6">
        <v>15000</v>
      </c>
      <c r="D339" s="6">
        <v>0</v>
      </c>
      <c r="E339" s="6">
        <v>0</v>
      </c>
      <c r="F339" s="6">
        <v>0</v>
      </c>
      <c r="G339" s="7" t="s">
        <v>9</v>
      </c>
      <c r="H339" s="1">
        <f t="shared" si="5"/>
        <v>0</v>
      </c>
    </row>
    <row r="340" spans="1:8" x14ac:dyDescent="0.25">
      <c r="A340" s="1" t="s">
        <v>16</v>
      </c>
      <c r="B340" s="1" t="s">
        <v>19</v>
      </c>
      <c r="C340" s="6">
        <v>58800</v>
      </c>
      <c r="D340" s="6">
        <v>5653.9575000000004</v>
      </c>
      <c r="E340" s="6">
        <v>4620.8325000000004</v>
      </c>
      <c r="F340" s="6">
        <v>4512.0825000000004</v>
      </c>
      <c r="G340" s="7" t="s">
        <v>9</v>
      </c>
      <c r="H340" s="1">
        <f t="shared" si="5"/>
        <v>9.6155739795918377E-2</v>
      </c>
    </row>
    <row r="341" spans="1:8" x14ac:dyDescent="0.25">
      <c r="A341" s="1" t="s">
        <v>16</v>
      </c>
      <c r="B341" s="1" t="s">
        <v>19</v>
      </c>
      <c r="C341" s="6">
        <v>87750</v>
      </c>
      <c r="D341" s="6">
        <v>167500</v>
      </c>
      <c r="E341" s="6">
        <v>167500</v>
      </c>
      <c r="F341" s="6">
        <v>167500</v>
      </c>
      <c r="G341" s="7" t="s">
        <v>9</v>
      </c>
      <c r="H341" s="1">
        <f t="shared" si="5"/>
        <v>1.9088319088319088</v>
      </c>
    </row>
    <row r="342" spans="1:8" x14ac:dyDescent="0.25">
      <c r="A342" s="1" t="s">
        <v>16</v>
      </c>
      <c r="B342" s="1" t="s">
        <v>19</v>
      </c>
      <c r="C342" s="6">
        <v>290449</v>
      </c>
      <c r="D342" s="6">
        <v>332999.63500000001</v>
      </c>
      <c r="E342" s="6">
        <v>332999.63500000001</v>
      </c>
      <c r="F342" s="6">
        <v>304476.41249999998</v>
      </c>
      <c r="G342" s="7" t="s">
        <v>9</v>
      </c>
      <c r="H342" s="1">
        <f t="shared" si="5"/>
        <v>1.1464995059373591</v>
      </c>
    </row>
    <row r="343" spans="1:8" x14ac:dyDescent="0.25">
      <c r="A343" s="1" t="s">
        <v>16</v>
      </c>
      <c r="B343" s="1" t="s">
        <v>19</v>
      </c>
      <c r="C343" s="6">
        <v>79500</v>
      </c>
      <c r="D343" s="6">
        <v>0</v>
      </c>
      <c r="E343" s="6">
        <v>0</v>
      </c>
      <c r="F343" s="6">
        <v>0</v>
      </c>
      <c r="G343" s="7" t="s">
        <v>9</v>
      </c>
      <c r="H343" s="1">
        <f t="shared" si="5"/>
        <v>0</v>
      </c>
    </row>
    <row r="344" spans="1:8" x14ac:dyDescent="0.25">
      <c r="A344" s="1" t="s">
        <v>16</v>
      </c>
      <c r="B344" s="1" t="s">
        <v>19</v>
      </c>
      <c r="C344" s="6">
        <v>89069.75</v>
      </c>
      <c r="D344" s="6">
        <v>238157.85</v>
      </c>
      <c r="E344" s="6">
        <v>238157.85</v>
      </c>
      <c r="F344" s="6">
        <v>218640.3</v>
      </c>
      <c r="G344" s="7" t="s">
        <v>9</v>
      </c>
      <c r="H344" s="1">
        <f t="shared" si="5"/>
        <v>2.6738353930487064</v>
      </c>
    </row>
    <row r="345" spans="1:8" x14ac:dyDescent="0.25">
      <c r="A345" s="1" t="s">
        <v>16</v>
      </c>
      <c r="B345" s="1" t="s">
        <v>19</v>
      </c>
      <c r="C345" s="6">
        <v>265</v>
      </c>
      <c r="D345" s="6">
        <v>0</v>
      </c>
      <c r="E345" s="6">
        <v>0</v>
      </c>
      <c r="F345" s="6">
        <v>0</v>
      </c>
      <c r="G345" s="7" t="s">
        <v>9</v>
      </c>
      <c r="H345" s="1">
        <f t="shared" si="5"/>
        <v>0</v>
      </c>
    </row>
    <row r="346" spans="1:8" x14ac:dyDescent="0.25">
      <c r="A346" s="1" t="s">
        <v>16</v>
      </c>
      <c r="B346" s="1" t="s">
        <v>19</v>
      </c>
      <c r="C346" s="6">
        <v>9945</v>
      </c>
      <c r="D346" s="6">
        <v>234.67500000000001</v>
      </c>
      <c r="E346" s="6">
        <v>0</v>
      </c>
      <c r="F346" s="6">
        <v>0</v>
      </c>
      <c r="G346" s="7" t="s">
        <v>9</v>
      </c>
      <c r="H346" s="1">
        <f t="shared" si="5"/>
        <v>2.3597285067873303E-2</v>
      </c>
    </row>
    <row r="347" spans="1:8" x14ac:dyDescent="0.25">
      <c r="A347" s="1" t="s">
        <v>16</v>
      </c>
      <c r="B347" s="1" t="s">
        <v>19</v>
      </c>
      <c r="C347" s="6">
        <v>18725</v>
      </c>
      <c r="D347" s="6">
        <v>0</v>
      </c>
      <c r="E347" s="6">
        <v>0</v>
      </c>
      <c r="F347" s="6">
        <v>0</v>
      </c>
      <c r="G347" s="7" t="s">
        <v>9</v>
      </c>
      <c r="H347" s="1">
        <f t="shared" si="5"/>
        <v>0</v>
      </c>
    </row>
    <row r="348" spans="1:8" x14ac:dyDescent="0.25">
      <c r="A348" s="1" t="s">
        <v>16</v>
      </c>
      <c r="B348" s="1" t="s">
        <v>19</v>
      </c>
      <c r="C348" s="6">
        <v>1529539</v>
      </c>
      <c r="D348" s="6">
        <v>1279332.4650000001</v>
      </c>
      <c r="E348" s="6">
        <v>1271057.2475000001</v>
      </c>
      <c r="F348" s="6">
        <v>1258014.4575</v>
      </c>
      <c r="G348" s="7" t="s">
        <v>9</v>
      </c>
      <c r="H348" s="1">
        <f t="shared" si="5"/>
        <v>0.83641702826799458</v>
      </c>
    </row>
    <row r="349" spans="1:8" x14ac:dyDescent="0.25">
      <c r="A349" s="1" t="s">
        <v>16</v>
      </c>
      <c r="B349" s="1" t="s">
        <v>19</v>
      </c>
      <c r="C349" s="6">
        <v>430635</v>
      </c>
      <c r="D349" s="6">
        <v>260516.4</v>
      </c>
      <c r="E349" s="6">
        <v>228055.86</v>
      </c>
      <c r="F349" s="6">
        <v>86055.86</v>
      </c>
      <c r="G349" s="7" t="s">
        <v>9</v>
      </c>
      <c r="H349" s="1">
        <f t="shared" si="5"/>
        <v>0.60495872374516702</v>
      </c>
    </row>
    <row r="350" spans="1:8" x14ac:dyDescent="0.25">
      <c r="A350" s="1" t="s">
        <v>16</v>
      </c>
      <c r="B350" s="1" t="s">
        <v>19</v>
      </c>
      <c r="C350" s="6">
        <v>1750</v>
      </c>
      <c r="D350" s="6">
        <v>0</v>
      </c>
      <c r="E350" s="6">
        <v>0</v>
      </c>
      <c r="F350" s="6">
        <v>0</v>
      </c>
      <c r="G350" s="7" t="s">
        <v>9</v>
      </c>
      <c r="H350" s="1">
        <f t="shared" si="5"/>
        <v>0</v>
      </c>
    </row>
    <row r="351" spans="1:8" x14ac:dyDescent="0.25">
      <c r="A351" s="1" t="s">
        <v>16</v>
      </c>
      <c r="B351" s="1" t="s">
        <v>19</v>
      </c>
      <c r="C351" s="6">
        <v>2750</v>
      </c>
      <c r="D351" s="6">
        <v>0</v>
      </c>
      <c r="E351" s="6">
        <v>0</v>
      </c>
      <c r="F351" s="6">
        <v>0</v>
      </c>
      <c r="G351" s="7" t="s">
        <v>9</v>
      </c>
      <c r="H351" s="1">
        <f t="shared" si="5"/>
        <v>0</v>
      </c>
    </row>
    <row r="352" spans="1:8" x14ac:dyDescent="0.25">
      <c r="A352" s="1" t="s">
        <v>16</v>
      </c>
      <c r="B352" s="1" t="s">
        <v>19</v>
      </c>
      <c r="C352" s="6">
        <v>4074344</v>
      </c>
      <c r="D352" s="6">
        <v>2389329.7450000001</v>
      </c>
      <c r="E352" s="6">
        <v>2338888.5825</v>
      </c>
      <c r="F352" s="6">
        <v>2192264.5449999999</v>
      </c>
      <c r="G352" s="7" t="s">
        <v>9</v>
      </c>
      <c r="H352" s="1">
        <f t="shared" si="5"/>
        <v>0.58643299264863258</v>
      </c>
    </row>
    <row r="353" spans="1:8" x14ac:dyDescent="0.25">
      <c r="A353" s="1" t="s">
        <v>16</v>
      </c>
      <c r="B353" s="1" t="s">
        <v>19</v>
      </c>
      <c r="C353" s="6">
        <v>375000.5</v>
      </c>
      <c r="D353" s="6">
        <v>1063718.1274999999</v>
      </c>
      <c r="E353" s="6">
        <v>789900.86499999999</v>
      </c>
      <c r="F353" s="6">
        <v>789900.86499999999</v>
      </c>
      <c r="G353" s="7" t="s">
        <v>9</v>
      </c>
      <c r="H353" s="1">
        <f t="shared" si="5"/>
        <v>2.8365778912294783</v>
      </c>
    </row>
    <row r="354" spans="1:8" x14ac:dyDescent="0.25">
      <c r="A354" s="1" t="s">
        <v>16</v>
      </c>
      <c r="B354" s="1" t="s">
        <v>19</v>
      </c>
      <c r="C354" s="6">
        <v>329706</v>
      </c>
      <c r="D354" s="6">
        <v>42495.654999999999</v>
      </c>
      <c r="E354" s="6">
        <v>31194.897499999999</v>
      </c>
      <c r="F354" s="6">
        <v>28628.77</v>
      </c>
      <c r="G354" s="7" t="s">
        <v>9</v>
      </c>
      <c r="H354" s="1">
        <f t="shared" si="5"/>
        <v>0.12888954098499875</v>
      </c>
    </row>
    <row r="355" spans="1:8" x14ac:dyDescent="0.25">
      <c r="A355" s="1" t="s">
        <v>16</v>
      </c>
      <c r="B355" s="1" t="s">
        <v>19</v>
      </c>
      <c r="C355" s="6">
        <v>179931.5</v>
      </c>
      <c r="D355" s="6">
        <v>0</v>
      </c>
      <c r="E355" s="6">
        <v>0</v>
      </c>
      <c r="F355" s="6">
        <v>0</v>
      </c>
      <c r="G355" s="7" t="s">
        <v>9</v>
      </c>
      <c r="H355" s="1">
        <f t="shared" si="5"/>
        <v>0</v>
      </c>
    </row>
    <row r="356" spans="1:8" x14ac:dyDescent="0.25">
      <c r="A356" s="1" t="s">
        <v>16</v>
      </c>
      <c r="B356" s="1" t="s">
        <v>19</v>
      </c>
      <c r="C356" s="6">
        <v>159000</v>
      </c>
      <c r="D356" s="6">
        <v>0</v>
      </c>
      <c r="E356" s="6">
        <v>0</v>
      </c>
      <c r="F356" s="6">
        <v>0</v>
      </c>
      <c r="G356" s="7" t="s">
        <v>9</v>
      </c>
      <c r="H356" s="1">
        <f t="shared" si="5"/>
        <v>0</v>
      </c>
    </row>
    <row r="357" spans="1:8" x14ac:dyDescent="0.25">
      <c r="A357" s="1" t="s">
        <v>7</v>
      </c>
      <c r="B357" s="1" t="s">
        <v>8</v>
      </c>
      <c r="C357" s="6">
        <v>1000000</v>
      </c>
      <c r="D357" s="6">
        <v>999730.74</v>
      </c>
      <c r="E357" s="6">
        <v>281088.23</v>
      </c>
      <c r="F357" s="6">
        <v>281088.23</v>
      </c>
      <c r="G357" s="7" t="s">
        <v>18</v>
      </c>
      <c r="H357" s="1">
        <f t="shared" si="5"/>
        <v>0.99973073999999995</v>
      </c>
    </row>
    <row r="358" spans="1:8" x14ac:dyDescent="0.25">
      <c r="A358" s="1" t="s">
        <v>7</v>
      </c>
      <c r="B358" s="1" t="s">
        <v>8</v>
      </c>
      <c r="C358" s="6">
        <v>12500</v>
      </c>
      <c r="D358" s="6">
        <v>0</v>
      </c>
      <c r="E358" s="6">
        <v>0</v>
      </c>
      <c r="F358" s="6">
        <v>0</v>
      </c>
      <c r="G358" s="7" t="s">
        <v>18</v>
      </c>
      <c r="H358" s="1">
        <f t="shared" si="5"/>
        <v>0</v>
      </c>
    </row>
    <row r="359" spans="1:8" x14ac:dyDescent="0.25">
      <c r="A359" s="1" t="s">
        <v>7</v>
      </c>
      <c r="B359" s="1" t="s">
        <v>8</v>
      </c>
      <c r="C359" s="6">
        <v>17025</v>
      </c>
      <c r="D359" s="6">
        <v>7196.9750000000004</v>
      </c>
      <c r="E359" s="6">
        <v>7196.9750000000004</v>
      </c>
      <c r="F359" s="6">
        <v>7196.9750000000004</v>
      </c>
      <c r="G359" s="7" t="s">
        <v>18</v>
      </c>
      <c r="H359" s="1">
        <f t="shared" si="5"/>
        <v>0.42272980910425845</v>
      </c>
    </row>
    <row r="360" spans="1:8" x14ac:dyDescent="0.25">
      <c r="A360" s="1" t="s">
        <v>7</v>
      </c>
      <c r="B360" s="1" t="s">
        <v>8</v>
      </c>
      <c r="C360" s="6">
        <v>7886184.5</v>
      </c>
      <c r="D360" s="6">
        <v>8485998.125</v>
      </c>
      <c r="E360" s="6">
        <v>7720888.5975000001</v>
      </c>
      <c r="F360" s="6">
        <v>7589320.4800000004</v>
      </c>
      <c r="G360" s="7" t="s">
        <v>18</v>
      </c>
      <c r="H360" s="1">
        <f t="shared" si="5"/>
        <v>1.0760587867301354</v>
      </c>
    </row>
    <row r="361" spans="1:8" x14ac:dyDescent="0.25">
      <c r="A361" s="1" t="s">
        <v>7</v>
      </c>
      <c r="B361" s="1" t="s">
        <v>8</v>
      </c>
      <c r="C361" s="6">
        <v>7500</v>
      </c>
      <c r="D361" s="6">
        <v>0</v>
      </c>
      <c r="E361" s="6">
        <v>0</v>
      </c>
      <c r="F361" s="6">
        <v>0</v>
      </c>
      <c r="G361" s="7" t="s">
        <v>18</v>
      </c>
      <c r="H361" s="1">
        <f t="shared" si="5"/>
        <v>0</v>
      </c>
    </row>
    <row r="362" spans="1:8" x14ac:dyDescent="0.25">
      <c r="A362" s="1" t="s">
        <v>7</v>
      </c>
      <c r="B362" s="1" t="s">
        <v>8</v>
      </c>
      <c r="C362" s="6">
        <v>7500</v>
      </c>
      <c r="D362" s="6">
        <v>0</v>
      </c>
      <c r="E362" s="6">
        <v>0</v>
      </c>
      <c r="F362" s="6">
        <v>0</v>
      </c>
      <c r="G362" s="7" t="s">
        <v>18</v>
      </c>
      <c r="H362" s="1">
        <f t="shared" si="5"/>
        <v>0</v>
      </c>
    </row>
    <row r="363" spans="1:8" x14ac:dyDescent="0.25">
      <c r="A363" s="1" t="s">
        <v>7</v>
      </c>
      <c r="B363" s="1" t="s">
        <v>8</v>
      </c>
      <c r="C363" s="6">
        <v>7500</v>
      </c>
      <c r="D363" s="6">
        <v>0</v>
      </c>
      <c r="E363" s="6">
        <v>0</v>
      </c>
      <c r="F363" s="6">
        <v>0</v>
      </c>
      <c r="G363" s="7" t="s">
        <v>18</v>
      </c>
      <c r="H363" s="1">
        <f t="shared" si="5"/>
        <v>0</v>
      </c>
    </row>
    <row r="364" spans="1:8" x14ac:dyDescent="0.25">
      <c r="A364" s="1" t="s">
        <v>7</v>
      </c>
      <c r="B364" s="1" t="s">
        <v>8</v>
      </c>
      <c r="C364" s="6">
        <v>7500</v>
      </c>
      <c r="D364" s="6">
        <v>0</v>
      </c>
      <c r="E364" s="6">
        <v>0</v>
      </c>
      <c r="F364" s="6">
        <v>0</v>
      </c>
      <c r="G364" s="7" t="s">
        <v>18</v>
      </c>
      <c r="H364" s="1">
        <f t="shared" si="5"/>
        <v>0</v>
      </c>
    </row>
    <row r="365" spans="1:8" x14ac:dyDescent="0.25">
      <c r="A365" s="1" t="s">
        <v>7</v>
      </c>
      <c r="B365" s="1" t="s">
        <v>8</v>
      </c>
      <c r="C365" s="6">
        <v>7500</v>
      </c>
      <c r="D365" s="6">
        <v>0</v>
      </c>
      <c r="E365" s="6">
        <v>0</v>
      </c>
      <c r="F365" s="6">
        <v>0</v>
      </c>
      <c r="G365" s="7" t="s">
        <v>18</v>
      </c>
      <c r="H365" s="1">
        <f t="shared" si="5"/>
        <v>0</v>
      </c>
    </row>
    <row r="366" spans="1:8" x14ac:dyDescent="0.25">
      <c r="A366" s="1" t="s">
        <v>7</v>
      </c>
      <c r="B366" s="1" t="s">
        <v>8</v>
      </c>
      <c r="C366" s="6">
        <v>7500</v>
      </c>
      <c r="D366" s="6">
        <v>0</v>
      </c>
      <c r="E366" s="6">
        <v>0</v>
      </c>
      <c r="F366" s="6">
        <v>0</v>
      </c>
      <c r="G366" s="7" t="s">
        <v>18</v>
      </c>
      <c r="H366" s="1">
        <f t="shared" si="5"/>
        <v>0</v>
      </c>
    </row>
    <row r="367" spans="1:8" x14ac:dyDescent="0.25">
      <c r="A367" s="1" t="s">
        <v>7</v>
      </c>
      <c r="B367" s="1" t="s">
        <v>8</v>
      </c>
      <c r="C367" s="6">
        <v>7500</v>
      </c>
      <c r="D367" s="6">
        <v>0</v>
      </c>
      <c r="E367" s="6">
        <v>0</v>
      </c>
      <c r="F367" s="6">
        <v>0</v>
      </c>
      <c r="G367" s="7" t="s">
        <v>18</v>
      </c>
      <c r="H367" s="1">
        <f t="shared" si="5"/>
        <v>0</v>
      </c>
    </row>
    <row r="368" spans="1:8" x14ac:dyDescent="0.25">
      <c r="A368" s="1" t="s">
        <v>7</v>
      </c>
      <c r="B368" s="1" t="s">
        <v>8</v>
      </c>
      <c r="C368" s="6">
        <v>7500</v>
      </c>
      <c r="D368" s="6">
        <v>0</v>
      </c>
      <c r="E368" s="6">
        <v>0</v>
      </c>
      <c r="F368" s="6">
        <v>0</v>
      </c>
      <c r="G368" s="7" t="s">
        <v>18</v>
      </c>
      <c r="H368" s="1">
        <f t="shared" si="5"/>
        <v>0</v>
      </c>
    </row>
    <row r="369" spans="1:8" x14ac:dyDescent="0.25">
      <c r="A369" s="1" t="s">
        <v>7</v>
      </c>
      <c r="B369" s="1" t="s">
        <v>8</v>
      </c>
      <c r="C369" s="6">
        <v>103722.5</v>
      </c>
      <c r="D369" s="6">
        <v>27606.285</v>
      </c>
      <c r="E369" s="6">
        <v>19772.154999999999</v>
      </c>
      <c r="F369" s="6">
        <v>12662.82</v>
      </c>
      <c r="G369" s="7" t="s">
        <v>18</v>
      </c>
      <c r="H369" s="1">
        <f t="shared" si="5"/>
        <v>0.2661552218660368</v>
      </c>
    </row>
    <row r="370" spans="1:8" x14ac:dyDescent="0.25">
      <c r="A370" s="1" t="s">
        <v>7</v>
      </c>
      <c r="B370" s="1" t="s">
        <v>8</v>
      </c>
      <c r="C370" s="6">
        <v>6250</v>
      </c>
      <c r="D370" s="6">
        <v>6238.26</v>
      </c>
      <c r="E370" s="6">
        <v>6238.26</v>
      </c>
      <c r="F370" s="6">
        <v>6238.26</v>
      </c>
      <c r="G370" s="7" t="s">
        <v>18</v>
      </c>
      <c r="H370" s="1">
        <f t="shared" si="5"/>
        <v>0.99812160000000005</v>
      </c>
    </row>
    <row r="371" spans="1:8" x14ac:dyDescent="0.25">
      <c r="A371" s="1" t="s">
        <v>7</v>
      </c>
      <c r="B371" s="1" t="s">
        <v>8</v>
      </c>
      <c r="C371" s="6">
        <v>126125</v>
      </c>
      <c r="D371" s="6">
        <v>150459.54999999999</v>
      </c>
      <c r="E371" s="6">
        <v>118258.33749999999</v>
      </c>
      <c r="F371" s="6">
        <v>107372.1225</v>
      </c>
      <c r="G371" s="7" t="s">
        <v>18</v>
      </c>
      <c r="H371" s="1">
        <f t="shared" si="5"/>
        <v>1.1929399405351833</v>
      </c>
    </row>
    <row r="372" spans="1:8" x14ac:dyDescent="0.25">
      <c r="A372" s="1" t="s">
        <v>7</v>
      </c>
      <c r="B372" s="1" t="s">
        <v>8</v>
      </c>
      <c r="C372" s="6">
        <v>139379.75</v>
      </c>
      <c r="D372" s="6">
        <v>240333.75</v>
      </c>
      <c r="E372" s="6">
        <v>240333.75</v>
      </c>
      <c r="F372" s="6">
        <v>240333.75</v>
      </c>
      <c r="G372" s="7" t="s">
        <v>18</v>
      </c>
      <c r="H372" s="1">
        <f t="shared" si="5"/>
        <v>1.7243089473183875</v>
      </c>
    </row>
    <row r="373" spans="1:8" x14ac:dyDescent="0.25">
      <c r="A373" s="1" t="s">
        <v>7</v>
      </c>
      <c r="B373" s="1" t="s">
        <v>8</v>
      </c>
      <c r="C373" s="6">
        <v>67300</v>
      </c>
      <c r="D373" s="6">
        <v>43249.7</v>
      </c>
      <c r="E373" s="6">
        <v>43249.7</v>
      </c>
      <c r="F373" s="6">
        <v>43249.7</v>
      </c>
      <c r="G373" s="7" t="s">
        <v>18</v>
      </c>
      <c r="H373" s="1">
        <f t="shared" si="5"/>
        <v>0.64264041604754829</v>
      </c>
    </row>
    <row r="374" spans="1:8" x14ac:dyDescent="0.25">
      <c r="A374" s="1" t="s">
        <v>7</v>
      </c>
      <c r="B374" s="1" t="s">
        <v>8</v>
      </c>
      <c r="C374" s="6">
        <v>250000</v>
      </c>
      <c r="D374" s="6">
        <v>218855.2225</v>
      </c>
      <c r="E374" s="6">
        <v>93774.722500000003</v>
      </c>
      <c r="F374" s="6">
        <v>93774.722500000003</v>
      </c>
      <c r="G374" s="7" t="s">
        <v>18</v>
      </c>
      <c r="H374" s="1">
        <f t="shared" si="5"/>
        <v>0.87542089000000001</v>
      </c>
    </row>
    <row r="375" spans="1:8" x14ac:dyDescent="0.25">
      <c r="A375" s="1" t="s">
        <v>7</v>
      </c>
      <c r="B375" s="1" t="s">
        <v>8</v>
      </c>
      <c r="C375" s="6">
        <v>179375</v>
      </c>
      <c r="D375" s="6">
        <v>23212.802500000002</v>
      </c>
      <c r="E375" s="6">
        <v>6966.3975</v>
      </c>
      <c r="F375" s="6">
        <v>6966.3975</v>
      </c>
      <c r="G375" s="7" t="s">
        <v>18</v>
      </c>
      <c r="H375" s="1">
        <f t="shared" si="5"/>
        <v>0.12940935191637631</v>
      </c>
    </row>
    <row r="376" spans="1:8" x14ac:dyDescent="0.25">
      <c r="A376" s="1" t="s">
        <v>7</v>
      </c>
      <c r="B376" s="1" t="s">
        <v>8</v>
      </c>
      <c r="C376" s="6">
        <v>1697989.5</v>
      </c>
      <c r="D376" s="6">
        <v>1709609.7450000001</v>
      </c>
      <c r="E376" s="6">
        <v>1709609.7450000001</v>
      </c>
      <c r="F376" s="6">
        <v>1687542.9724999999</v>
      </c>
      <c r="G376" s="7" t="s">
        <v>18</v>
      </c>
      <c r="H376" s="1">
        <f t="shared" si="5"/>
        <v>1.0068435317179525</v>
      </c>
    </row>
    <row r="377" spans="1:8" x14ac:dyDescent="0.25">
      <c r="A377" s="1" t="s">
        <v>7</v>
      </c>
      <c r="B377" s="1" t="s">
        <v>8</v>
      </c>
      <c r="C377" s="6">
        <v>28650</v>
      </c>
      <c r="D377" s="6">
        <v>21810.955000000002</v>
      </c>
      <c r="E377" s="6">
        <v>19665.955000000002</v>
      </c>
      <c r="F377" s="6">
        <v>19665.955000000002</v>
      </c>
      <c r="G377" s="7" t="s">
        <v>18</v>
      </c>
      <c r="H377" s="1">
        <f t="shared" si="5"/>
        <v>0.76128987783595115</v>
      </c>
    </row>
    <row r="378" spans="1:8" x14ac:dyDescent="0.25">
      <c r="A378" s="1" t="s">
        <v>7</v>
      </c>
      <c r="B378" s="1" t="s">
        <v>8</v>
      </c>
      <c r="C378" s="6">
        <v>100000</v>
      </c>
      <c r="D378" s="6">
        <v>100000</v>
      </c>
      <c r="E378" s="6">
        <v>0</v>
      </c>
      <c r="F378" s="6">
        <v>0</v>
      </c>
      <c r="G378" s="7" t="s">
        <v>18</v>
      </c>
      <c r="H378" s="1">
        <f t="shared" si="5"/>
        <v>1</v>
      </c>
    </row>
    <row r="379" spans="1:8" x14ac:dyDescent="0.25">
      <c r="A379" s="1" t="s">
        <v>7</v>
      </c>
      <c r="B379" s="1" t="s">
        <v>8</v>
      </c>
      <c r="C379" s="6">
        <v>250000</v>
      </c>
      <c r="D379" s="6">
        <v>0</v>
      </c>
      <c r="E379" s="6">
        <v>0</v>
      </c>
      <c r="F379" s="6">
        <v>0</v>
      </c>
      <c r="G379" s="7" t="s">
        <v>18</v>
      </c>
      <c r="H379" s="1">
        <f t="shared" si="5"/>
        <v>0</v>
      </c>
    </row>
    <row r="380" spans="1:8" x14ac:dyDescent="0.25">
      <c r="A380" s="1" t="s">
        <v>7</v>
      </c>
      <c r="B380" s="1" t="s">
        <v>8</v>
      </c>
      <c r="C380" s="6">
        <v>0</v>
      </c>
      <c r="D380" s="6">
        <v>20681.75</v>
      </c>
      <c r="E380" s="6">
        <v>0</v>
      </c>
      <c r="F380" s="6">
        <v>0</v>
      </c>
      <c r="G380" s="7" t="s">
        <v>18</v>
      </c>
      <c r="H380" s="1">
        <f t="shared" si="5"/>
        <v>0</v>
      </c>
    </row>
    <row r="381" spans="1:8" x14ac:dyDescent="0.25">
      <c r="A381" s="1" t="s">
        <v>7</v>
      </c>
      <c r="B381" s="1" t="s">
        <v>8</v>
      </c>
      <c r="C381" s="6">
        <v>34750</v>
      </c>
      <c r="D381" s="6">
        <v>0</v>
      </c>
      <c r="E381" s="6">
        <v>0</v>
      </c>
      <c r="F381" s="6">
        <v>0</v>
      </c>
      <c r="G381" s="7" t="s">
        <v>18</v>
      </c>
      <c r="H381" s="1">
        <f t="shared" si="5"/>
        <v>0</v>
      </c>
    </row>
    <row r="382" spans="1:8" x14ac:dyDescent="0.25">
      <c r="A382" s="1" t="s">
        <v>7</v>
      </c>
      <c r="B382" s="1" t="s">
        <v>8</v>
      </c>
      <c r="C382" s="6">
        <v>241250</v>
      </c>
      <c r="D382" s="6">
        <v>581515.69499999995</v>
      </c>
      <c r="E382" s="6">
        <v>574369.60499999998</v>
      </c>
      <c r="F382" s="6">
        <v>566014.82999999996</v>
      </c>
      <c r="G382" s="7" t="s">
        <v>18</v>
      </c>
      <c r="H382" s="1">
        <f t="shared" si="5"/>
        <v>2.4104277512953365</v>
      </c>
    </row>
    <row r="383" spans="1:8" x14ac:dyDescent="0.25">
      <c r="A383" s="1" t="s">
        <v>7</v>
      </c>
      <c r="B383" s="1" t="s">
        <v>8</v>
      </c>
      <c r="C383" s="6">
        <v>2357346</v>
      </c>
      <c r="D383" s="6">
        <v>2242404.5825</v>
      </c>
      <c r="E383" s="6">
        <v>2212824.6625000001</v>
      </c>
      <c r="F383" s="6">
        <v>2179074.2349999999</v>
      </c>
      <c r="G383" s="7" t="s">
        <v>18</v>
      </c>
      <c r="H383" s="1">
        <f t="shared" si="5"/>
        <v>0.95124117651799944</v>
      </c>
    </row>
    <row r="384" spans="1:8" x14ac:dyDescent="0.25">
      <c r="A384" s="1" t="s">
        <v>7</v>
      </c>
      <c r="B384" s="1" t="s">
        <v>8</v>
      </c>
      <c r="C384" s="6">
        <v>180000</v>
      </c>
      <c r="D384" s="6">
        <v>137224.29500000001</v>
      </c>
      <c r="E384" s="6">
        <v>137224.29500000001</v>
      </c>
      <c r="F384" s="6">
        <v>127878.9175</v>
      </c>
      <c r="G384" s="7" t="s">
        <v>18</v>
      </c>
      <c r="H384" s="1">
        <f t="shared" si="5"/>
        <v>0.7623571944444445</v>
      </c>
    </row>
    <row r="385" spans="1:8" x14ac:dyDescent="0.25">
      <c r="A385" s="1" t="s">
        <v>7</v>
      </c>
      <c r="B385" s="1" t="s">
        <v>8</v>
      </c>
      <c r="C385" s="6">
        <v>32500</v>
      </c>
      <c r="D385" s="6">
        <v>19988</v>
      </c>
      <c r="E385" s="6">
        <v>19988</v>
      </c>
      <c r="F385" s="6">
        <v>18740</v>
      </c>
      <c r="G385" s="7" t="s">
        <v>18</v>
      </c>
      <c r="H385" s="1">
        <f t="shared" si="5"/>
        <v>0.61501538461538463</v>
      </c>
    </row>
    <row r="386" spans="1:8" x14ac:dyDescent="0.25">
      <c r="A386" s="1" t="s">
        <v>7</v>
      </c>
      <c r="B386" s="1" t="s">
        <v>8</v>
      </c>
      <c r="C386" s="6">
        <v>130000</v>
      </c>
      <c r="D386" s="6">
        <v>79952</v>
      </c>
      <c r="E386" s="6">
        <v>79952</v>
      </c>
      <c r="F386" s="6">
        <v>79952</v>
      </c>
      <c r="G386" s="7" t="s">
        <v>18</v>
      </c>
      <c r="H386" s="1">
        <f t="shared" ref="H386:H449" si="6">IF(OR(ISNA($D386),ISNA($C386),$C386=0),0,$D386/$C386)</f>
        <v>0.61501538461538463</v>
      </c>
    </row>
    <row r="387" spans="1:8" x14ac:dyDescent="0.25">
      <c r="A387" s="1" t="s">
        <v>7</v>
      </c>
      <c r="B387" s="1" t="s">
        <v>8</v>
      </c>
      <c r="C387" s="6">
        <v>650000</v>
      </c>
      <c r="D387" s="6">
        <v>650000</v>
      </c>
      <c r="E387" s="6">
        <v>650000</v>
      </c>
      <c r="F387" s="6">
        <v>650000</v>
      </c>
      <c r="G387" s="7" t="s">
        <v>18</v>
      </c>
      <c r="H387" s="1">
        <f t="shared" si="6"/>
        <v>1</v>
      </c>
    </row>
    <row r="388" spans="1:8" x14ac:dyDescent="0.25">
      <c r="A388" s="1" t="s">
        <v>7</v>
      </c>
      <c r="B388" s="1" t="s">
        <v>8</v>
      </c>
      <c r="C388" s="6">
        <v>500000</v>
      </c>
      <c r="D388" s="6">
        <v>625000</v>
      </c>
      <c r="E388" s="6">
        <v>625000</v>
      </c>
      <c r="F388" s="6">
        <v>625000</v>
      </c>
      <c r="G388" s="7" t="s">
        <v>18</v>
      </c>
      <c r="H388" s="1">
        <f t="shared" si="6"/>
        <v>1.25</v>
      </c>
    </row>
    <row r="389" spans="1:8" x14ac:dyDescent="0.25">
      <c r="A389" s="1" t="s">
        <v>7</v>
      </c>
      <c r="B389" s="1" t="s">
        <v>8</v>
      </c>
      <c r="C389" s="6">
        <v>500000</v>
      </c>
      <c r="D389" s="6">
        <v>625000</v>
      </c>
      <c r="E389" s="6">
        <v>625000</v>
      </c>
      <c r="F389" s="6">
        <v>625000</v>
      </c>
      <c r="G389" s="7" t="s">
        <v>18</v>
      </c>
      <c r="H389" s="1">
        <f t="shared" si="6"/>
        <v>1.25</v>
      </c>
    </row>
    <row r="390" spans="1:8" x14ac:dyDescent="0.25">
      <c r="A390" s="1" t="s">
        <v>7</v>
      </c>
      <c r="B390" s="1" t="s">
        <v>8</v>
      </c>
      <c r="C390" s="6">
        <v>30000</v>
      </c>
      <c r="D390" s="6">
        <v>29760.03</v>
      </c>
      <c r="E390" s="6">
        <v>9669.4575000000004</v>
      </c>
      <c r="F390" s="6">
        <v>0</v>
      </c>
      <c r="G390" s="7" t="s">
        <v>18</v>
      </c>
      <c r="H390" s="1">
        <f t="shared" si="6"/>
        <v>0.99200099999999991</v>
      </c>
    </row>
    <row r="391" spans="1:8" x14ac:dyDescent="0.25">
      <c r="A391" s="1" t="s">
        <v>7</v>
      </c>
      <c r="B391" s="1" t="s">
        <v>8</v>
      </c>
      <c r="C391" s="6">
        <v>550000</v>
      </c>
      <c r="D391" s="6">
        <v>740000</v>
      </c>
      <c r="E391" s="6">
        <v>740000</v>
      </c>
      <c r="F391" s="6">
        <v>740000</v>
      </c>
      <c r="G391" s="7" t="s">
        <v>18</v>
      </c>
      <c r="H391" s="1">
        <f t="shared" si="6"/>
        <v>1.3454545454545455</v>
      </c>
    </row>
    <row r="392" spans="1:8" x14ac:dyDescent="0.25">
      <c r="A392" s="1" t="s">
        <v>7</v>
      </c>
      <c r="B392" s="1" t="s">
        <v>8</v>
      </c>
      <c r="C392" s="6">
        <v>100000</v>
      </c>
      <c r="D392" s="6">
        <v>100000</v>
      </c>
      <c r="E392" s="6">
        <v>100000</v>
      </c>
      <c r="F392" s="6">
        <v>100000</v>
      </c>
      <c r="G392" s="7" t="s">
        <v>18</v>
      </c>
      <c r="H392" s="1">
        <f t="shared" si="6"/>
        <v>1</v>
      </c>
    </row>
    <row r="393" spans="1:8" x14ac:dyDescent="0.25">
      <c r="A393" s="1" t="s">
        <v>7</v>
      </c>
      <c r="B393" s="1" t="s">
        <v>8</v>
      </c>
      <c r="C393" s="6">
        <v>142500</v>
      </c>
      <c r="D393" s="6">
        <v>110087.5</v>
      </c>
      <c r="E393" s="6">
        <v>109097.5</v>
      </c>
      <c r="F393" s="6">
        <v>5512.5</v>
      </c>
      <c r="G393" s="7" t="s">
        <v>18</v>
      </c>
      <c r="H393" s="1">
        <f t="shared" si="6"/>
        <v>0.77254385964912275</v>
      </c>
    </row>
    <row r="394" spans="1:8" x14ac:dyDescent="0.25">
      <c r="A394" s="1" t="s">
        <v>7</v>
      </c>
      <c r="B394" s="1" t="s">
        <v>8</v>
      </c>
      <c r="C394" s="6">
        <v>75000</v>
      </c>
      <c r="D394" s="6">
        <v>75000</v>
      </c>
      <c r="E394" s="6">
        <v>75000</v>
      </c>
      <c r="F394" s="6">
        <v>75000</v>
      </c>
      <c r="G394" s="7" t="s">
        <v>18</v>
      </c>
      <c r="H394" s="1">
        <f t="shared" si="6"/>
        <v>1</v>
      </c>
    </row>
    <row r="395" spans="1:8" x14ac:dyDescent="0.25">
      <c r="A395" s="1" t="s">
        <v>7</v>
      </c>
      <c r="B395" s="1" t="s">
        <v>8</v>
      </c>
      <c r="C395" s="6">
        <v>75000</v>
      </c>
      <c r="D395" s="6">
        <v>75000</v>
      </c>
      <c r="E395" s="6">
        <v>75000</v>
      </c>
      <c r="F395" s="6">
        <v>75000</v>
      </c>
      <c r="G395" s="7" t="s">
        <v>18</v>
      </c>
      <c r="H395" s="1">
        <f t="shared" si="6"/>
        <v>1</v>
      </c>
    </row>
    <row r="396" spans="1:8" x14ac:dyDescent="0.25">
      <c r="A396" s="1" t="s">
        <v>7</v>
      </c>
      <c r="B396" s="1" t="s">
        <v>8</v>
      </c>
      <c r="C396" s="6">
        <v>7500</v>
      </c>
      <c r="D396" s="6">
        <v>0</v>
      </c>
      <c r="E396" s="6">
        <v>0</v>
      </c>
      <c r="F396" s="6">
        <v>0</v>
      </c>
      <c r="G396" s="7" t="s">
        <v>18</v>
      </c>
      <c r="H396" s="1">
        <f t="shared" si="6"/>
        <v>0</v>
      </c>
    </row>
    <row r="397" spans="1:8" x14ac:dyDescent="0.25">
      <c r="A397" s="1" t="s">
        <v>7</v>
      </c>
      <c r="B397" s="1" t="s">
        <v>8</v>
      </c>
      <c r="C397" s="6">
        <v>25000</v>
      </c>
      <c r="D397" s="6">
        <v>32072.5275</v>
      </c>
      <c r="E397" s="6">
        <v>12500</v>
      </c>
      <c r="F397" s="6">
        <v>12500</v>
      </c>
      <c r="G397" s="7" t="s">
        <v>18</v>
      </c>
      <c r="H397" s="1">
        <f t="shared" si="6"/>
        <v>1.2829010999999999</v>
      </c>
    </row>
    <row r="398" spans="1:8" x14ac:dyDescent="0.25">
      <c r="A398" s="1" t="s">
        <v>7</v>
      </c>
      <c r="B398" s="1" t="s">
        <v>8</v>
      </c>
      <c r="C398" s="6">
        <v>12500</v>
      </c>
      <c r="D398" s="6">
        <v>4247.5</v>
      </c>
      <c r="E398" s="6">
        <v>4247.5</v>
      </c>
      <c r="F398" s="6">
        <v>4247.5</v>
      </c>
      <c r="G398" s="7" t="s">
        <v>18</v>
      </c>
      <c r="H398" s="1">
        <f t="shared" si="6"/>
        <v>0.33979999999999999</v>
      </c>
    </row>
    <row r="399" spans="1:8" x14ac:dyDescent="0.25">
      <c r="A399" s="1" t="s">
        <v>7</v>
      </c>
      <c r="B399" s="1" t="s">
        <v>8</v>
      </c>
      <c r="C399" s="6">
        <v>14625</v>
      </c>
      <c r="D399" s="6">
        <v>13624.7925</v>
      </c>
      <c r="E399" s="6">
        <v>9514.2474999999995</v>
      </c>
      <c r="F399" s="6">
        <v>9514.2474999999995</v>
      </c>
      <c r="G399" s="7" t="s">
        <v>18</v>
      </c>
      <c r="H399" s="1">
        <f t="shared" si="6"/>
        <v>0.93160974358974358</v>
      </c>
    </row>
    <row r="400" spans="1:8" x14ac:dyDescent="0.25">
      <c r="A400" s="1" t="s">
        <v>7</v>
      </c>
      <c r="B400" s="1" t="s">
        <v>8</v>
      </c>
      <c r="C400" s="6">
        <v>912417.75</v>
      </c>
      <c r="D400" s="6">
        <v>912501.01</v>
      </c>
      <c r="E400" s="6">
        <v>477888.45500000002</v>
      </c>
      <c r="F400" s="6">
        <v>468678.34749999997</v>
      </c>
      <c r="G400" s="7" t="s">
        <v>18</v>
      </c>
      <c r="H400" s="1">
        <f t="shared" si="6"/>
        <v>1.0000912520608023</v>
      </c>
    </row>
    <row r="401" spans="1:8" x14ac:dyDescent="0.25">
      <c r="A401" s="1" t="s">
        <v>7</v>
      </c>
      <c r="B401" s="1" t="s">
        <v>10</v>
      </c>
      <c r="C401" s="6">
        <v>603798.25</v>
      </c>
      <c r="D401" s="6">
        <v>164392.7225</v>
      </c>
      <c r="E401" s="6">
        <v>106644.47749999999</v>
      </c>
      <c r="F401" s="6">
        <v>106644.47749999999</v>
      </c>
      <c r="G401" s="7" t="s">
        <v>18</v>
      </c>
      <c r="H401" s="1">
        <f t="shared" si="6"/>
        <v>0.27226432421756769</v>
      </c>
    </row>
    <row r="402" spans="1:8" x14ac:dyDescent="0.25">
      <c r="A402" s="1" t="s">
        <v>7</v>
      </c>
      <c r="B402" s="1" t="s">
        <v>10</v>
      </c>
      <c r="C402" s="6">
        <v>7500</v>
      </c>
      <c r="D402" s="6">
        <v>0</v>
      </c>
      <c r="E402" s="6">
        <v>0</v>
      </c>
      <c r="F402" s="6">
        <v>0</v>
      </c>
      <c r="G402" s="7" t="s">
        <v>18</v>
      </c>
      <c r="H402" s="1">
        <f t="shared" si="6"/>
        <v>0</v>
      </c>
    </row>
    <row r="403" spans="1:8" x14ac:dyDescent="0.25">
      <c r="A403" s="1" t="s">
        <v>7</v>
      </c>
      <c r="B403" s="1" t="s">
        <v>10</v>
      </c>
      <c r="C403" s="6">
        <v>22500</v>
      </c>
      <c r="D403" s="6">
        <v>0</v>
      </c>
      <c r="E403" s="6">
        <v>0</v>
      </c>
      <c r="F403" s="6">
        <v>0</v>
      </c>
      <c r="G403" s="7" t="s">
        <v>18</v>
      </c>
      <c r="H403" s="1">
        <f t="shared" si="6"/>
        <v>0</v>
      </c>
    </row>
    <row r="404" spans="1:8" x14ac:dyDescent="0.25">
      <c r="A404" s="1" t="s">
        <v>7</v>
      </c>
      <c r="B404" s="1" t="s">
        <v>10</v>
      </c>
      <c r="C404" s="6">
        <v>13750</v>
      </c>
      <c r="D404" s="6">
        <v>0</v>
      </c>
      <c r="E404" s="6">
        <v>0</v>
      </c>
      <c r="F404" s="6">
        <v>0</v>
      </c>
      <c r="G404" s="7" t="s">
        <v>18</v>
      </c>
      <c r="H404" s="1">
        <f t="shared" si="6"/>
        <v>0</v>
      </c>
    </row>
    <row r="405" spans="1:8" x14ac:dyDescent="0.25">
      <c r="A405" s="1" t="s">
        <v>7</v>
      </c>
      <c r="B405" s="1" t="s">
        <v>10</v>
      </c>
      <c r="C405" s="6">
        <v>19500</v>
      </c>
      <c r="D405" s="6">
        <v>0</v>
      </c>
      <c r="E405" s="6">
        <v>0</v>
      </c>
      <c r="F405" s="6">
        <v>0</v>
      </c>
      <c r="G405" s="7" t="s">
        <v>18</v>
      </c>
      <c r="H405" s="1">
        <f t="shared" si="6"/>
        <v>0</v>
      </c>
    </row>
    <row r="406" spans="1:8" x14ac:dyDescent="0.25">
      <c r="A406" s="1" t="s">
        <v>7</v>
      </c>
      <c r="B406" s="1" t="s">
        <v>10</v>
      </c>
      <c r="C406" s="6">
        <v>42500</v>
      </c>
      <c r="D406" s="6">
        <v>0</v>
      </c>
      <c r="E406" s="6">
        <v>0</v>
      </c>
      <c r="F406" s="6">
        <v>0</v>
      </c>
      <c r="G406" s="7" t="s">
        <v>18</v>
      </c>
      <c r="H406" s="1">
        <f t="shared" si="6"/>
        <v>0</v>
      </c>
    </row>
    <row r="407" spans="1:8" x14ac:dyDescent="0.25">
      <c r="A407" s="1" t="s">
        <v>7</v>
      </c>
      <c r="B407" s="1" t="s">
        <v>10</v>
      </c>
      <c r="C407" s="6">
        <v>86250</v>
      </c>
      <c r="D407" s="6">
        <v>0</v>
      </c>
      <c r="E407" s="6">
        <v>0</v>
      </c>
      <c r="F407" s="6">
        <v>0</v>
      </c>
      <c r="G407" s="7" t="s">
        <v>18</v>
      </c>
      <c r="H407" s="1">
        <f t="shared" si="6"/>
        <v>0</v>
      </c>
    </row>
    <row r="408" spans="1:8" x14ac:dyDescent="0.25">
      <c r="A408" s="1" t="s">
        <v>7</v>
      </c>
      <c r="B408" s="1" t="s">
        <v>10</v>
      </c>
      <c r="C408" s="6">
        <v>25000</v>
      </c>
      <c r="D408" s="6">
        <v>0</v>
      </c>
      <c r="E408" s="6">
        <v>0</v>
      </c>
      <c r="F408" s="6">
        <v>0</v>
      </c>
      <c r="G408" s="7" t="s">
        <v>18</v>
      </c>
      <c r="H408" s="1">
        <f t="shared" si="6"/>
        <v>0</v>
      </c>
    </row>
    <row r="409" spans="1:8" x14ac:dyDescent="0.25">
      <c r="A409" s="1" t="s">
        <v>7</v>
      </c>
      <c r="B409" s="1" t="s">
        <v>10</v>
      </c>
      <c r="C409" s="6">
        <v>62500</v>
      </c>
      <c r="D409" s="6">
        <v>0</v>
      </c>
      <c r="E409" s="6">
        <v>0</v>
      </c>
      <c r="F409" s="6">
        <v>0</v>
      </c>
      <c r="G409" s="7" t="s">
        <v>18</v>
      </c>
      <c r="H409" s="1">
        <f t="shared" si="6"/>
        <v>0</v>
      </c>
    </row>
    <row r="410" spans="1:8" x14ac:dyDescent="0.25">
      <c r="A410" s="1" t="s">
        <v>7</v>
      </c>
      <c r="B410" s="1" t="s">
        <v>10</v>
      </c>
      <c r="C410" s="6">
        <v>62500</v>
      </c>
      <c r="D410" s="6">
        <v>0</v>
      </c>
      <c r="E410" s="6">
        <v>0</v>
      </c>
      <c r="F410" s="6">
        <v>0</v>
      </c>
      <c r="G410" s="7" t="s">
        <v>18</v>
      </c>
      <c r="H410" s="1">
        <f t="shared" si="6"/>
        <v>0</v>
      </c>
    </row>
    <row r="411" spans="1:8" x14ac:dyDescent="0.25">
      <c r="A411" s="1" t="s">
        <v>7</v>
      </c>
      <c r="B411" s="1" t="s">
        <v>10</v>
      </c>
      <c r="C411" s="6">
        <v>25000</v>
      </c>
      <c r="D411" s="6">
        <v>0</v>
      </c>
      <c r="E411" s="6">
        <v>0</v>
      </c>
      <c r="F411" s="6">
        <v>0</v>
      </c>
      <c r="G411" s="7" t="s">
        <v>18</v>
      </c>
      <c r="H411" s="1">
        <f t="shared" si="6"/>
        <v>0</v>
      </c>
    </row>
    <row r="412" spans="1:8" x14ac:dyDescent="0.25">
      <c r="A412" s="1" t="s">
        <v>7</v>
      </c>
      <c r="B412" s="1" t="s">
        <v>10</v>
      </c>
      <c r="C412" s="6">
        <v>32603.5</v>
      </c>
      <c r="D412" s="6">
        <v>0</v>
      </c>
      <c r="E412" s="6">
        <v>0</v>
      </c>
      <c r="F412" s="6">
        <v>0</v>
      </c>
      <c r="G412" s="7" t="s">
        <v>18</v>
      </c>
      <c r="H412" s="1">
        <f t="shared" si="6"/>
        <v>0</v>
      </c>
    </row>
    <row r="413" spans="1:8" x14ac:dyDescent="0.25">
      <c r="A413" s="1" t="s">
        <v>7</v>
      </c>
      <c r="B413" s="1" t="s">
        <v>10</v>
      </c>
      <c r="C413" s="6">
        <v>10000</v>
      </c>
      <c r="D413" s="6">
        <v>10000</v>
      </c>
      <c r="E413" s="6">
        <v>0</v>
      </c>
      <c r="F413" s="6">
        <v>0</v>
      </c>
      <c r="G413" s="7" t="s">
        <v>18</v>
      </c>
      <c r="H413" s="1">
        <f t="shared" si="6"/>
        <v>1</v>
      </c>
    </row>
    <row r="414" spans="1:8" x14ac:dyDescent="0.25">
      <c r="A414" s="1" t="s">
        <v>7</v>
      </c>
      <c r="B414" s="1" t="s">
        <v>10</v>
      </c>
      <c r="C414" s="6">
        <v>37500</v>
      </c>
      <c r="D414" s="6">
        <v>0</v>
      </c>
      <c r="E414" s="6">
        <v>0</v>
      </c>
      <c r="F414" s="6">
        <v>0</v>
      </c>
      <c r="G414" s="7" t="s">
        <v>18</v>
      </c>
      <c r="H414" s="1">
        <f t="shared" si="6"/>
        <v>0</v>
      </c>
    </row>
    <row r="415" spans="1:8" x14ac:dyDescent="0.25">
      <c r="A415" s="1" t="s">
        <v>7</v>
      </c>
      <c r="B415" s="1" t="s">
        <v>10</v>
      </c>
      <c r="C415" s="6">
        <v>12500</v>
      </c>
      <c r="D415" s="6">
        <v>0</v>
      </c>
      <c r="E415" s="6">
        <v>0</v>
      </c>
      <c r="F415" s="6">
        <v>0</v>
      </c>
      <c r="G415" s="7" t="s">
        <v>18</v>
      </c>
      <c r="H415" s="1">
        <f t="shared" si="6"/>
        <v>0</v>
      </c>
    </row>
    <row r="416" spans="1:8" x14ac:dyDescent="0.25">
      <c r="A416" s="1" t="s">
        <v>7</v>
      </c>
      <c r="B416" s="1" t="s">
        <v>10</v>
      </c>
      <c r="C416" s="6">
        <v>50000</v>
      </c>
      <c r="D416" s="6">
        <v>0</v>
      </c>
      <c r="E416" s="6">
        <v>0</v>
      </c>
      <c r="F416" s="6">
        <v>0</v>
      </c>
      <c r="G416" s="7" t="s">
        <v>18</v>
      </c>
      <c r="H416" s="1">
        <f t="shared" si="6"/>
        <v>0</v>
      </c>
    </row>
    <row r="417" spans="1:8" x14ac:dyDescent="0.25">
      <c r="A417" s="1" t="s">
        <v>7</v>
      </c>
      <c r="B417" s="1" t="s">
        <v>10</v>
      </c>
      <c r="C417" s="6">
        <v>172000</v>
      </c>
      <c r="D417" s="6">
        <v>0</v>
      </c>
      <c r="E417" s="6">
        <v>0</v>
      </c>
      <c r="F417" s="6">
        <v>0</v>
      </c>
      <c r="G417" s="7" t="s">
        <v>18</v>
      </c>
      <c r="H417" s="1">
        <f t="shared" si="6"/>
        <v>0</v>
      </c>
    </row>
    <row r="418" spans="1:8" x14ac:dyDescent="0.25">
      <c r="A418" s="1" t="s">
        <v>7</v>
      </c>
      <c r="B418" s="1" t="s">
        <v>10</v>
      </c>
      <c r="C418" s="6">
        <v>50000</v>
      </c>
      <c r="D418" s="6">
        <v>4250</v>
      </c>
      <c r="E418" s="6">
        <v>4250</v>
      </c>
      <c r="F418" s="6">
        <v>4250</v>
      </c>
      <c r="G418" s="7" t="s">
        <v>18</v>
      </c>
      <c r="H418" s="1">
        <f t="shared" si="6"/>
        <v>8.5000000000000006E-2</v>
      </c>
    </row>
    <row r="419" spans="1:8" x14ac:dyDescent="0.25">
      <c r="A419" s="1" t="s">
        <v>7</v>
      </c>
      <c r="B419" s="1" t="s">
        <v>10</v>
      </c>
      <c r="C419" s="6">
        <v>4036658</v>
      </c>
      <c r="D419" s="6">
        <v>4125955.1675</v>
      </c>
      <c r="E419" s="6">
        <v>4087646.0525000002</v>
      </c>
      <c r="F419" s="6">
        <v>4030890.3525</v>
      </c>
      <c r="G419" s="7" t="s">
        <v>18</v>
      </c>
      <c r="H419" s="1">
        <f t="shared" si="6"/>
        <v>1.022121558848929</v>
      </c>
    </row>
    <row r="420" spans="1:8" x14ac:dyDescent="0.25">
      <c r="A420" s="1" t="s">
        <v>7</v>
      </c>
      <c r="B420" s="1" t="s">
        <v>10</v>
      </c>
      <c r="C420" s="6">
        <v>500</v>
      </c>
      <c r="D420" s="6">
        <v>0</v>
      </c>
      <c r="E420" s="6">
        <v>0</v>
      </c>
      <c r="F420" s="6">
        <v>0</v>
      </c>
      <c r="G420" s="7" t="s">
        <v>18</v>
      </c>
      <c r="H420" s="1">
        <f t="shared" si="6"/>
        <v>0</v>
      </c>
    </row>
    <row r="421" spans="1:8" x14ac:dyDescent="0.25">
      <c r="A421" s="1" t="s">
        <v>7</v>
      </c>
      <c r="B421" s="1" t="s">
        <v>10</v>
      </c>
      <c r="C421" s="6">
        <v>173825</v>
      </c>
      <c r="D421" s="6">
        <v>149998.73000000001</v>
      </c>
      <c r="E421" s="6">
        <v>149998.73000000001</v>
      </c>
      <c r="F421" s="6">
        <v>149998.73000000001</v>
      </c>
      <c r="G421" s="7" t="s">
        <v>18</v>
      </c>
      <c r="H421" s="1">
        <f t="shared" si="6"/>
        <v>0.86292955558751627</v>
      </c>
    </row>
    <row r="422" spans="1:8" x14ac:dyDescent="0.25">
      <c r="A422" s="1" t="s">
        <v>7</v>
      </c>
      <c r="B422" s="1" t="s">
        <v>10</v>
      </c>
      <c r="C422" s="6">
        <v>700</v>
      </c>
      <c r="D422" s="6">
        <v>0</v>
      </c>
      <c r="E422" s="6">
        <v>0</v>
      </c>
      <c r="F422" s="6">
        <v>0</v>
      </c>
      <c r="G422" s="7" t="s">
        <v>18</v>
      </c>
      <c r="H422" s="1">
        <f t="shared" si="6"/>
        <v>0</v>
      </c>
    </row>
    <row r="423" spans="1:8" x14ac:dyDescent="0.25">
      <c r="A423" s="1" t="s">
        <v>7</v>
      </c>
      <c r="B423" s="1" t="s">
        <v>10</v>
      </c>
      <c r="C423" s="6">
        <v>750</v>
      </c>
      <c r="D423" s="6">
        <v>9601.8225000000002</v>
      </c>
      <c r="E423" s="6">
        <v>4601.8225000000002</v>
      </c>
      <c r="F423" s="6">
        <v>4601.8225000000002</v>
      </c>
      <c r="G423" s="7" t="s">
        <v>18</v>
      </c>
      <c r="H423" s="1">
        <f t="shared" si="6"/>
        <v>12.802430000000001</v>
      </c>
    </row>
    <row r="424" spans="1:8" x14ac:dyDescent="0.25">
      <c r="A424" s="1" t="s">
        <v>7</v>
      </c>
      <c r="B424" s="1" t="s">
        <v>10</v>
      </c>
      <c r="C424" s="6">
        <v>570000</v>
      </c>
      <c r="D424" s="6">
        <v>153299.99</v>
      </c>
      <c r="E424" s="6">
        <v>153299.99</v>
      </c>
      <c r="F424" s="6">
        <v>153299.99</v>
      </c>
      <c r="G424" s="7" t="s">
        <v>18</v>
      </c>
      <c r="H424" s="1">
        <f t="shared" si="6"/>
        <v>0.26894735087719296</v>
      </c>
    </row>
    <row r="425" spans="1:8" x14ac:dyDescent="0.25">
      <c r="A425" s="1" t="s">
        <v>7</v>
      </c>
      <c r="B425" s="1" t="s">
        <v>10</v>
      </c>
      <c r="C425" s="6">
        <v>74000</v>
      </c>
      <c r="D425" s="6">
        <v>59218.54</v>
      </c>
      <c r="E425" s="6">
        <v>31428.7</v>
      </c>
      <c r="F425" s="6">
        <v>31428.7</v>
      </c>
      <c r="G425" s="7" t="s">
        <v>18</v>
      </c>
      <c r="H425" s="1">
        <f t="shared" si="6"/>
        <v>0.80025054054054057</v>
      </c>
    </row>
    <row r="426" spans="1:8" x14ac:dyDescent="0.25">
      <c r="A426" s="1" t="s">
        <v>7</v>
      </c>
      <c r="B426" s="1" t="s">
        <v>10</v>
      </c>
      <c r="C426" s="6">
        <v>1161507.25</v>
      </c>
      <c r="D426" s="6">
        <v>1125814.4125000001</v>
      </c>
      <c r="E426" s="6">
        <v>986761.57</v>
      </c>
      <c r="F426" s="6">
        <v>985224.36499999999</v>
      </c>
      <c r="G426" s="7" t="s">
        <v>18</v>
      </c>
      <c r="H426" s="1">
        <f t="shared" si="6"/>
        <v>0.96927024131790829</v>
      </c>
    </row>
    <row r="427" spans="1:8" x14ac:dyDescent="0.25">
      <c r="A427" s="1" t="s">
        <v>7</v>
      </c>
      <c r="B427" s="1" t="s">
        <v>10</v>
      </c>
      <c r="C427" s="6">
        <v>172500</v>
      </c>
      <c r="D427" s="6">
        <v>0</v>
      </c>
      <c r="E427" s="6">
        <v>0</v>
      </c>
      <c r="F427" s="6">
        <v>0</v>
      </c>
      <c r="G427" s="7" t="s">
        <v>18</v>
      </c>
      <c r="H427" s="1">
        <f t="shared" si="6"/>
        <v>0</v>
      </c>
    </row>
    <row r="428" spans="1:8" x14ac:dyDescent="0.25">
      <c r="A428" s="1" t="s">
        <v>7</v>
      </c>
      <c r="B428" s="1" t="s">
        <v>10</v>
      </c>
      <c r="C428" s="6">
        <v>96250</v>
      </c>
      <c r="D428" s="6">
        <v>13477.295</v>
      </c>
      <c r="E428" s="6">
        <v>0</v>
      </c>
      <c r="F428" s="6">
        <v>0</v>
      </c>
      <c r="G428" s="7" t="s">
        <v>18</v>
      </c>
      <c r="H428" s="1">
        <f t="shared" si="6"/>
        <v>0.14002384415584415</v>
      </c>
    </row>
    <row r="429" spans="1:8" x14ac:dyDescent="0.25">
      <c r="A429" s="1" t="s">
        <v>7</v>
      </c>
      <c r="B429" s="1" t="s">
        <v>10</v>
      </c>
      <c r="C429" s="6">
        <v>25000</v>
      </c>
      <c r="D429" s="6">
        <v>0</v>
      </c>
      <c r="E429" s="6">
        <v>0</v>
      </c>
      <c r="F429" s="6">
        <v>0</v>
      </c>
      <c r="G429" s="7" t="s">
        <v>18</v>
      </c>
      <c r="H429" s="1">
        <f t="shared" si="6"/>
        <v>0</v>
      </c>
    </row>
    <row r="430" spans="1:8" x14ac:dyDescent="0.25">
      <c r="A430" s="1" t="s">
        <v>7</v>
      </c>
      <c r="B430" s="1" t="s">
        <v>10</v>
      </c>
      <c r="C430" s="6">
        <v>25000</v>
      </c>
      <c r="D430" s="6">
        <v>0</v>
      </c>
      <c r="E430" s="6">
        <v>0</v>
      </c>
      <c r="F430" s="6">
        <v>0</v>
      </c>
      <c r="G430" s="7" t="s">
        <v>18</v>
      </c>
      <c r="H430" s="1">
        <f t="shared" si="6"/>
        <v>0</v>
      </c>
    </row>
    <row r="431" spans="1:8" x14ac:dyDescent="0.25">
      <c r="A431" s="1" t="s">
        <v>7</v>
      </c>
      <c r="B431" s="1" t="s">
        <v>10</v>
      </c>
      <c r="C431" s="6">
        <v>25000</v>
      </c>
      <c r="D431" s="6">
        <v>0</v>
      </c>
      <c r="E431" s="6">
        <v>0</v>
      </c>
      <c r="F431" s="6">
        <v>0</v>
      </c>
      <c r="G431" s="7" t="s">
        <v>18</v>
      </c>
      <c r="H431" s="1">
        <f t="shared" si="6"/>
        <v>0</v>
      </c>
    </row>
    <row r="432" spans="1:8" x14ac:dyDescent="0.25">
      <c r="A432" s="1" t="s">
        <v>7</v>
      </c>
      <c r="B432" s="1" t="s">
        <v>10</v>
      </c>
      <c r="C432" s="6">
        <v>75000</v>
      </c>
      <c r="D432" s="6">
        <v>0</v>
      </c>
      <c r="E432" s="6">
        <v>0</v>
      </c>
      <c r="F432" s="6">
        <v>0</v>
      </c>
      <c r="G432" s="7" t="s">
        <v>18</v>
      </c>
      <c r="H432" s="1">
        <f t="shared" si="6"/>
        <v>0</v>
      </c>
    </row>
    <row r="433" spans="1:8" x14ac:dyDescent="0.25">
      <c r="A433" s="1" t="s">
        <v>7</v>
      </c>
      <c r="B433" s="1" t="s">
        <v>10</v>
      </c>
      <c r="C433" s="6">
        <v>22500</v>
      </c>
      <c r="D433" s="6">
        <v>0</v>
      </c>
      <c r="E433" s="6">
        <v>0</v>
      </c>
      <c r="F433" s="6">
        <v>0</v>
      </c>
      <c r="G433" s="7" t="s">
        <v>18</v>
      </c>
      <c r="H433" s="1">
        <f t="shared" si="6"/>
        <v>0</v>
      </c>
    </row>
    <row r="434" spans="1:8" x14ac:dyDescent="0.25">
      <c r="A434" s="1" t="s">
        <v>7</v>
      </c>
      <c r="B434" s="1" t="s">
        <v>10</v>
      </c>
      <c r="C434" s="6">
        <v>5055</v>
      </c>
      <c r="D434" s="6">
        <v>0</v>
      </c>
      <c r="E434" s="6">
        <v>0</v>
      </c>
      <c r="F434" s="6">
        <v>0</v>
      </c>
      <c r="G434" s="7" t="s">
        <v>18</v>
      </c>
      <c r="H434" s="1">
        <f t="shared" si="6"/>
        <v>0</v>
      </c>
    </row>
    <row r="435" spans="1:8" x14ac:dyDescent="0.25">
      <c r="A435" s="1" t="s">
        <v>7</v>
      </c>
      <c r="B435" s="1" t="s">
        <v>10</v>
      </c>
      <c r="C435" s="6">
        <v>39250</v>
      </c>
      <c r="D435" s="6">
        <v>0</v>
      </c>
      <c r="E435" s="6">
        <v>0</v>
      </c>
      <c r="F435" s="6">
        <v>0</v>
      </c>
      <c r="G435" s="7" t="s">
        <v>18</v>
      </c>
      <c r="H435" s="1">
        <f t="shared" si="6"/>
        <v>0</v>
      </c>
    </row>
    <row r="436" spans="1:8" x14ac:dyDescent="0.25">
      <c r="A436" s="1" t="s">
        <v>7</v>
      </c>
      <c r="B436" s="1" t="s">
        <v>10</v>
      </c>
      <c r="C436" s="6">
        <v>14750</v>
      </c>
      <c r="D436" s="6">
        <v>0</v>
      </c>
      <c r="E436" s="6">
        <v>0</v>
      </c>
      <c r="F436" s="6">
        <v>0</v>
      </c>
      <c r="G436" s="7" t="s">
        <v>18</v>
      </c>
      <c r="H436" s="1">
        <f t="shared" si="6"/>
        <v>0</v>
      </c>
    </row>
    <row r="437" spans="1:8" x14ac:dyDescent="0.25">
      <c r="A437" s="1" t="s">
        <v>7</v>
      </c>
      <c r="B437" s="1" t="s">
        <v>10</v>
      </c>
      <c r="C437" s="6">
        <v>10000</v>
      </c>
      <c r="D437" s="6">
        <v>0</v>
      </c>
      <c r="E437" s="6">
        <v>0</v>
      </c>
      <c r="F437" s="6">
        <v>0</v>
      </c>
      <c r="G437" s="7" t="s">
        <v>18</v>
      </c>
      <c r="H437" s="1">
        <f t="shared" si="6"/>
        <v>0</v>
      </c>
    </row>
    <row r="438" spans="1:8" x14ac:dyDescent="0.25">
      <c r="A438" s="1" t="s">
        <v>7</v>
      </c>
      <c r="B438" s="1" t="s">
        <v>10</v>
      </c>
      <c r="C438" s="6">
        <v>10000</v>
      </c>
      <c r="D438" s="6">
        <v>0</v>
      </c>
      <c r="E438" s="6">
        <v>0</v>
      </c>
      <c r="F438" s="6">
        <v>0</v>
      </c>
      <c r="G438" s="7" t="s">
        <v>18</v>
      </c>
      <c r="H438" s="1">
        <f t="shared" si="6"/>
        <v>0</v>
      </c>
    </row>
    <row r="439" spans="1:8" x14ac:dyDescent="0.25">
      <c r="A439" s="1" t="s">
        <v>7</v>
      </c>
      <c r="B439" s="1" t="s">
        <v>10</v>
      </c>
      <c r="C439" s="6">
        <v>10000</v>
      </c>
      <c r="D439" s="6">
        <v>0</v>
      </c>
      <c r="E439" s="6">
        <v>0</v>
      </c>
      <c r="F439" s="6">
        <v>0</v>
      </c>
      <c r="G439" s="7" t="s">
        <v>18</v>
      </c>
      <c r="H439" s="1">
        <f t="shared" si="6"/>
        <v>0</v>
      </c>
    </row>
    <row r="440" spans="1:8" x14ac:dyDescent="0.25">
      <c r="A440" s="1" t="s">
        <v>7</v>
      </c>
      <c r="B440" s="1" t="s">
        <v>10</v>
      </c>
      <c r="C440" s="6">
        <v>10000</v>
      </c>
      <c r="D440" s="6">
        <v>0</v>
      </c>
      <c r="E440" s="6">
        <v>0</v>
      </c>
      <c r="F440" s="6">
        <v>0</v>
      </c>
      <c r="G440" s="7" t="s">
        <v>18</v>
      </c>
      <c r="H440" s="1">
        <f t="shared" si="6"/>
        <v>0</v>
      </c>
    </row>
    <row r="441" spans="1:8" x14ac:dyDescent="0.25">
      <c r="A441" s="1" t="s">
        <v>7</v>
      </c>
      <c r="B441" s="1" t="s">
        <v>10</v>
      </c>
      <c r="C441" s="6">
        <v>25000</v>
      </c>
      <c r="D441" s="6">
        <v>0</v>
      </c>
      <c r="E441" s="6">
        <v>0</v>
      </c>
      <c r="F441" s="6">
        <v>0</v>
      </c>
      <c r="G441" s="7" t="s">
        <v>18</v>
      </c>
      <c r="H441" s="1">
        <f t="shared" si="6"/>
        <v>0</v>
      </c>
    </row>
    <row r="442" spans="1:8" x14ac:dyDescent="0.25">
      <c r="A442" s="1" t="s">
        <v>7</v>
      </c>
      <c r="B442" s="1" t="s">
        <v>10</v>
      </c>
      <c r="C442" s="6">
        <v>50500</v>
      </c>
      <c r="D442" s="6">
        <v>52034.962500000001</v>
      </c>
      <c r="E442" s="6">
        <v>32376.78</v>
      </c>
      <c r="F442" s="6">
        <v>32376.78</v>
      </c>
      <c r="G442" s="7" t="s">
        <v>18</v>
      </c>
      <c r="H442" s="1">
        <f t="shared" si="6"/>
        <v>1.030395297029703</v>
      </c>
    </row>
    <row r="443" spans="1:8" x14ac:dyDescent="0.25">
      <c r="A443" s="1" t="s">
        <v>7</v>
      </c>
      <c r="B443" s="1" t="s">
        <v>10</v>
      </c>
      <c r="C443" s="6">
        <v>258250</v>
      </c>
      <c r="D443" s="6">
        <v>83419.862500000003</v>
      </c>
      <c r="E443" s="6">
        <v>83249.992499999993</v>
      </c>
      <c r="F443" s="6">
        <v>73364.992499999993</v>
      </c>
      <c r="G443" s="7" t="s">
        <v>18</v>
      </c>
      <c r="H443" s="1">
        <f t="shared" si="6"/>
        <v>0.32301979670861569</v>
      </c>
    </row>
    <row r="444" spans="1:8" x14ac:dyDescent="0.25">
      <c r="A444" s="1" t="s">
        <v>7</v>
      </c>
      <c r="B444" s="1" t="s">
        <v>10</v>
      </c>
      <c r="C444" s="6">
        <v>414200</v>
      </c>
      <c r="D444" s="6">
        <v>414689.8</v>
      </c>
      <c r="E444" s="6">
        <v>414689.8</v>
      </c>
      <c r="F444" s="6">
        <v>204441.9</v>
      </c>
      <c r="G444" s="7" t="s">
        <v>18</v>
      </c>
      <c r="H444" s="1">
        <f t="shared" si="6"/>
        <v>1.0011825205214873</v>
      </c>
    </row>
    <row r="445" spans="1:8" x14ac:dyDescent="0.25">
      <c r="A445" s="1" t="s">
        <v>7</v>
      </c>
      <c r="B445" s="1" t="s">
        <v>10</v>
      </c>
      <c r="C445" s="6">
        <v>21625</v>
      </c>
      <c r="D445" s="6">
        <v>11791.4125</v>
      </c>
      <c r="E445" s="6">
        <v>11791.4125</v>
      </c>
      <c r="F445" s="6">
        <v>11791.4125</v>
      </c>
      <c r="G445" s="7" t="s">
        <v>18</v>
      </c>
      <c r="H445" s="1">
        <f t="shared" si="6"/>
        <v>0.54526763005780343</v>
      </c>
    </row>
    <row r="446" spans="1:8" x14ac:dyDescent="0.25">
      <c r="A446" s="1" t="s">
        <v>7</v>
      </c>
      <c r="B446" s="1" t="s">
        <v>10</v>
      </c>
      <c r="C446" s="6">
        <v>9290</v>
      </c>
      <c r="D446" s="6">
        <v>2814.5425</v>
      </c>
      <c r="E446" s="6">
        <v>849.25</v>
      </c>
      <c r="F446" s="6">
        <v>849.25</v>
      </c>
      <c r="G446" s="7" t="s">
        <v>18</v>
      </c>
      <c r="H446" s="1">
        <f t="shared" si="6"/>
        <v>0.30296474703982779</v>
      </c>
    </row>
    <row r="447" spans="1:8" x14ac:dyDescent="0.25">
      <c r="A447" s="1" t="s">
        <v>7</v>
      </c>
      <c r="B447" s="1" t="s">
        <v>10</v>
      </c>
      <c r="C447" s="6">
        <v>375</v>
      </c>
      <c r="D447" s="6">
        <v>70553.835000000006</v>
      </c>
      <c r="E447" s="6">
        <v>68104.395000000004</v>
      </c>
      <c r="F447" s="6">
        <v>64124.055</v>
      </c>
      <c r="G447" s="7" t="s">
        <v>18</v>
      </c>
      <c r="H447" s="1">
        <f t="shared" si="6"/>
        <v>188.14356000000001</v>
      </c>
    </row>
    <row r="448" spans="1:8" x14ac:dyDescent="0.25">
      <c r="A448" s="1" t="s">
        <v>7</v>
      </c>
      <c r="B448" s="1" t="s">
        <v>10</v>
      </c>
      <c r="C448" s="6">
        <v>147450</v>
      </c>
      <c r="D448" s="6">
        <v>96849.955000000002</v>
      </c>
      <c r="E448" s="6">
        <v>96555.955000000002</v>
      </c>
      <c r="F448" s="6">
        <v>96555.955000000002</v>
      </c>
      <c r="G448" s="7" t="s">
        <v>18</v>
      </c>
      <c r="H448" s="1">
        <f t="shared" si="6"/>
        <v>0.65683251949813493</v>
      </c>
    </row>
    <row r="449" spans="1:8" x14ac:dyDescent="0.25">
      <c r="A449" s="1" t="s">
        <v>7</v>
      </c>
      <c r="B449" s="1" t="s">
        <v>10</v>
      </c>
      <c r="C449" s="6">
        <v>157747.5</v>
      </c>
      <c r="D449" s="6">
        <v>62311.25</v>
      </c>
      <c r="E449" s="6">
        <v>58061.25</v>
      </c>
      <c r="F449" s="6">
        <v>58061.25</v>
      </c>
      <c r="G449" s="7" t="s">
        <v>18</v>
      </c>
      <c r="H449" s="1">
        <f t="shared" si="6"/>
        <v>0.39500626000412054</v>
      </c>
    </row>
    <row r="450" spans="1:8" x14ac:dyDescent="0.25">
      <c r="A450" s="1" t="s">
        <v>7</v>
      </c>
      <c r="B450" s="1" t="s">
        <v>11</v>
      </c>
      <c r="C450" s="6">
        <v>241300</v>
      </c>
      <c r="D450" s="6">
        <v>148629.2525</v>
      </c>
      <c r="E450" s="6">
        <v>135531.16500000001</v>
      </c>
      <c r="F450" s="6">
        <v>135531.16500000001</v>
      </c>
      <c r="G450" s="7" t="s">
        <v>18</v>
      </c>
      <c r="H450" s="1">
        <f t="shared" ref="H450:H513" si="7">IF(OR(ISNA($D450),ISNA($C450),$C450=0),0,$D450/$C450)</f>
        <v>0.61595214463323666</v>
      </c>
    </row>
    <row r="451" spans="1:8" x14ac:dyDescent="0.25">
      <c r="A451" s="1" t="s">
        <v>7</v>
      </c>
      <c r="B451" s="1" t="s">
        <v>11</v>
      </c>
      <c r="C451" s="6">
        <v>90500</v>
      </c>
      <c r="D451" s="6">
        <v>0</v>
      </c>
      <c r="E451" s="6">
        <v>0</v>
      </c>
      <c r="F451" s="6">
        <v>0</v>
      </c>
      <c r="G451" s="7" t="s">
        <v>18</v>
      </c>
      <c r="H451" s="1">
        <f t="shared" si="7"/>
        <v>0</v>
      </c>
    </row>
    <row r="452" spans="1:8" x14ac:dyDescent="0.25">
      <c r="A452" s="1" t="s">
        <v>7</v>
      </c>
      <c r="B452" s="1" t="s">
        <v>11</v>
      </c>
      <c r="C452" s="6">
        <v>200</v>
      </c>
      <c r="D452" s="6">
        <v>0</v>
      </c>
      <c r="E452" s="6">
        <v>0</v>
      </c>
      <c r="F452" s="6">
        <v>0</v>
      </c>
      <c r="G452" s="7" t="s">
        <v>18</v>
      </c>
      <c r="H452" s="1">
        <f t="shared" si="7"/>
        <v>0</v>
      </c>
    </row>
    <row r="453" spans="1:8" x14ac:dyDescent="0.25">
      <c r="A453" s="1" t="s">
        <v>7</v>
      </c>
      <c r="B453" s="1" t="s">
        <v>11</v>
      </c>
      <c r="C453" s="6">
        <v>486933</v>
      </c>
      <c r="D453" s="6">
        <v>505610.99</v>
      </c>
      <c r="E453" s="6">
        <v>417500.25</v>
      </c>
      <c r="F453" s="6">
        <v>259776.47</v>
      </c>
      <c r="G453" s="7" t="s">
        <v>18</v>
      </c>
      <c r="H453" s="1">
        <f t="shared" si="7"/>
        <v>1.0383584394567631</v>
      </c>
    </row>
    <row r="454" spans="1:8" x14ac:dyDescent="0.25">
      <c r="A454" s="1" t="s">
        <v>7</v>
      </c>
      <c r="B454" s="1" t="s">
        <v>11</v>
      </c>
      <c r="C454" s="6">
        <v>2000</v>
      </c>
      <c r="D454" s="6">
        <v>0</v>
      </c>
      <c r="E454" s="6">
        <v>0</v>
      </c>
      <c r="F454" s="6">
        <v>0</v>
      </c>
      <c r="G454" s="7" t="s">
        <v>18</v>
      </c>
      <c r="H454" s="1">
        <f t="shared" si="7"/>
        <v>0</v>
      </c>
    </row>
    <row r="455" spans="1:8" x14ac:dyDescent="0.25">
      <c r="A455" s="1" t="s">
        <v>7</v>
      </c>
      <c r="B455" s="1" t="s">
        <v>11</v>
      </c>
      <c r="C455" s="6">
        <v>37841804.5</v>
      </c>
      <c r="D455" s="6">
        <v>59153096.580499999</v>
      </c>
      <c r="E455" s="6">
        <v>55209064.085000001</v>
      </c>
      <c r="F455" s="6">
        <v>51554555.912</v>
      </c>
      <c r="G455" s="7" t="s">
        <v>18</v>
      </c>
      <c r="H455" s="1">
        <f t="shared" si="7"/>
        <v>1.5631679662765554</v>
      </c>
    </row>
    <row r="456" spans="1:8" x14ac:dyDescent="0.25">
      <c r="A456" s="1" t="s">
        <v>7</v>
      </c>
      <c r="B456" s="1" t="s">
        <v>11</v>
      </c>
      <c r="C456" s="6">
        <v>2000</v>
      </c>
      <c r="D456" s="6">
        <v>0</v>
      </c>
      <c r="E456" s="6">
        <v>0</v>
      </c>
      <c r="F456" s="6">
        <v>0</v>
      </c>
      <c r="G456" s="7" t="s">
        <v>18</v>
      </c>
      <c r="H456" s="1">
        <f t="shared" si="7"/>
        <v>0</v>
      </c>
    </row>
    <row r="457" spans="1:8" x14ac:dyDescent="0.25">
      <c r="A457" s="1" t="s">
        <v>7</v>
      </c>
      <c r="B457" s="1" t="s">
        <v>11</v>
      </c>
      <c r="C457" s="6">
        <v>150000</v>
      </c>
      <c r="D457" s="6">
        <v>0</v>
      </c>
      <c r="E457" s="6">
        <v>0</v>
      </c>
      <c r="F457" s="6">
        <v>0</v>
      </c>
      <c r="G457" s="7" t="s">
        <v>18</v>
      </c>
      <c r="H457" s="1">
        <f t="shared" si="7"/>
        <v>0</v>
      </c>
    </row>
    <row r="458" spans="1:8" x14ac:dyDescent="0.25">
      <c r="A458" s="1" t="s">
        <v>7</v>
      </c>
      <c r="B458" s="1" t="s">
        <v>11</v>
      </c>
      <c r="C458" s="6">
        <v>100000</v>
      </c>
      <c r="D458" s="6">
        <v>0</v>
      </c>
      <c r="E458" s="6">
        <v>0</v>
      </c>
      <c r="F458" s="6">
        <v>0</v>
      </c>
      <c r="G458" s="7" t="s">
        <v>18</v>
      </c>
      <c r="H458" s="1">
        <f t="shared" si="7"/>
        <v>0</v>
      </c>
    </row>
    <row r="459" spans="1:8" x14ac:dyDescent="0.25">
      <c r="A459" s="1" t="s">
        <v>7</v>
      </c>
      <c r="B459" s="1" t="s">
        <v>11</v>
      </c>
      <c r="C459" s="6">
        <v>11602500</v>
      </c>
      <c r="D459" s="6">
        <v>11777855</v>
      </c>
      <c r="E459" s="6">
        <v>11713000</v>
      </c>
      <c r="F459" s="6">
        <v>11713000</v>
      </c>
      <c r="G459" s="7" t="s">
        <v>18</v>
      </c>
      <c r="H459" s="1">
        <f t="shared" si="7"/>
        <v>1.0151135531135531</v>
      </c>
    </row>
    <row r="460" spans="1:8" x14ac:dyDescent="0.25">
      <c r="A460" s="1" t="s">
        <v>7</v>
      </c>
      <c r="B460" s="1" t="s">
        <v>11</v>
      </c>
      <c r="C460" s="6">
        <v>28262.5</v>
      </c>
      <c r="D460" s="6">
        <v>1445.9690000000001</v>
      </c>
      <c r="E460" s="6">
        <v>1029.0440000000001</v>
      </c>
      <c r="F460" s="6">
        <v>813.45</v>
      </c>
      <c r="G460" s="7" t="s">
        <v>18</v>
      </c>
      <c r="H460" s="1">
        <f t="shared" si="7"/>
        <v>5.1162105263157898E-2</v>
      </c>
    </row>
    <row r="461" spans="1:8" x14ac:dyDescent="0.25">
      <c r="A461" s="1" t="s">
        <v>7</v>
      </c>
      <c r="B461" s="1" t="s">
        <v>11</v>
      </c>
      <c r="C461" s="6">
        <v>10183</v>
      </c>
      <c r="D461" s="6">
        <v>0</v>
      </c>
      <c r="E461" s="6">
        <v>0</v>
      </c>
      <c r="F461" s="6">
        <v>0</v>
      </c>
      <c r="G461" s="7" t="s">
        <v>18</v>
      </c>
      <c r="H461" s="1">
        <f t="shared" si="7"/>
        <v>0</v>
      </c>
    </row>
    <row r="462" spans="1:8" x14ac:dyDescent="0.25">
      <c r="A462" s="1" t="s">
        <v>7</v>
      </c>
      <c r="B462" s="1" t="s">
        <v>11</v>
      </c>
      <c r="C462" s="6">
        <v>178199110</v>
      </c>
      <c r="D462" s="6">
        <v>88726523.480000004</v>
      </c>
      <c r="E462" s="6">
        <v>85386081.030000001</v>
      </c>
      <c r="F462" s="6">
        <v>85169340.359999999</v>
      </c>
      <c r="G462" s="7" t="s">
        <v>18</v>
      </c>
      <c r="H462" s="1">
        <f t="shared" si="7"/>
        <v>0.49790665890531105</v>
      </c>
    </row>
    <row r="463" spans="1:8" x14ac:dyDescent="0.25">
      <c r="A463" s="1" t="s">
        <v>7</v>
      </c>
      <c r="B463" s="1" t="s">
        <v>11</v>
      </c>
      <c r="C463" s="6">
        <v>10000</v>
      </c>
      <c r="D463" s="6">
        <v>0</v>
      </c>
      <c r="E463" s="6">
        <v>0</v>
      </c>
      <c r="F463" s="6">
        <v>0</v>
      </c>
      <c r="G463" s="7" t="s">
        <v>18</v>
      </c>
      <c r="H463" s="1">
        <f t="shared" si="7"/>
        <v>0</v>
      </c>
    </row>
    <row r="464" spans="1:8" x14ac:dyDescent="0.25">
      <c r="A464" s="1" t="s">
        <v>7</v>
      </c>
      <c r="B464" s="1" t="s">
        <v>11</v>
      </c>
      <c r="C464" s="6">
        <v>1184760</v>
      </c>
      <c r="D464" s="6">
        <v>805950</v>
      </c>
      <c r="E464" s="6">
        <v>738787.5</v>
      </c>
      <c r="F464" s="6">
        <v>738787.5</v>
      </c>
      <c r="G464" s="7" t="s">
        <v>18</v>
      </c>
      <c r="H464" s="1">
        <f t="shared" si="7"/>
        <v>0.68026435733819512</v>
      </c>
    </row>
    <row r="465" spans="1:8" x14ac:dyDescent="0.25">
      <c r="A465" s="1" t="s">
        <v>7</v>
      </c>
      <c r="B465" s="1" t="s">
        <v>11</v>
      </c>
      <c r="C465" s="6">
        <v>110000</v>
      </c>
      <c r="D465" s="6">
        <v>0</v>
      </c>
      <c r="E465" s="6">
        <v>0</v>
      </c>
      <c r="F465" s="6">
        <v>0</v>
      </c>
      <c r="G465" s="7" t="s">
        <v>18</v>
      </c>
      <c r="H465" s="1">
        <f t="shared" si="7"/>
        <v>0</v>
      </c>
    </row>
    <row r="466" spans="1:8" x14ac:dyDescent="0.25">
      <c r="A466" s="1" t="s">
        <v>7</v>
      </c>
      <c r="B466" s="1" t="s">
        <v>11</v>
      </c>
      <c r="C466" s="6">
        <v>100000</v>
      </c>
      <c r="D466" s="6">
        <v>0</v>
      </c>
      <c r="E466" s="6">
        <v>0</v>
      </c>
      <c r="F466" s="6">
        <v>0</v>
      </c>
      <c r="G466" s="7" t="s">
        <v>18</v>
      </c>
      <c r="H466" s="1">
        <f t="shared" si="7"/>
        <v>0</v>
      </c>
    </row>
    <row r="467" spans="1:8" x14ac:dyDescent="0.25">
      <c r="A467" s="1" t="s">
        <v>7</v>
      </c>
      <c r="B467" s="1" t="s">
        <v>11</v>
      </c>
      <c r="C467" s="6">
        <v>100000</v>
      </c>
      <c r="D467" s="6">
        <v>0</v>
      </c>
      <c r="E467" s="6">
        <v>0</v>
      </c>
      <c r="F467" s="6">
        <v>0</v>
      </c>
      <c r="G467" s="7" t="s">
        <v>18</v>
      </c>
      <c r="H467" s="1">
        <f t="shared" si="7"/>
        <v>0</v>
      </c>
    </row>
    <row r="468" spans="1:8" x14ac:dyDescent="0.25">
      <c r="A468" s="1" t="s">
        <v>7</v>
      </c>
      <c r="B468" s="1" t="s">
        <v>11</v>
      </c>
      <c r="C468" s="6">
        <v>50000</v>
      </c>
      <c r="D468" s="6">
        <v>0</v>
      </c>
      <c r="E468" s="6">
        <v>0</v>
      </c>
      <c r="F468" s="6">
        <v>0</v>
      </c>
      <c r="G468" s="7" t="s">
        <v>18</v>
      </c>
      <c r="H468" s="1">
        <f t="shared" si="7"/>
        <v>0</v>
      </c>
    </row>
    <row r="469" spans="1:8" x14ac:dyDescent="0.25">
      <c r="A469" s="1" t="s">
        <v>7</v>
      </c>
      <c r="B469" s="1" t="s">
        <v>11</v>
      </c>
      <c r="C469" s="6">
        <v>200000</v>
      </c>
      <c r="D469" s="6">
        <v>0</v>
      </c>
      <c r="E469" s="6">
        <v>0</v>
      </c>
      <c r="F469" s="6">
        <v>0</v>
      </c>
      <c r="G469" s="7" t="s">
        <v>18</v>
      </c>
      <c r="H469" s="1">
        <f t="shared" si="7"/>
        <v>0</v>
      </c>
    </row>
    <row r="470" spans="1:8" x14ac:dyDescent="0.25">
      <c r="A470" s="1" t="s">
        <v>7</v>
      </c>
      <c r="B470" s="1" t="s">
        <v>11</v>
      </c>
      <c r="C470" s="6">
        <v>103000</v>
      </c>
      <c r="D470" s="6">
        <v>0</v>
      </c>
      <c r="E470" s="6">
        <v>0</v>
      </c>
      <c r="F470" s="6">
        <v>0</v>
      </c>
      <c r="G470" s="7" t="s">
        <v>18</v>
      </c>
      <c r="H470" s="1">
        <f t="shared" si="7"/>
        <v>0</v>
      </c>
    </row>
    <row r="471" spans="1:8" x14ac:dyDescent="0.25">
      <c r="A471" s="1" t="s">
        <v>7</v>
      </c>
      <c r="B471" s="1" t="s">
        <v>11</v>
      </c>
      <c r="C471" s="6">
        <v>21000</v>
      </c>
      <c r="D471" s="6">
        <v>0</v>
      </c>
      <c r="E471" s="6">
        <v>0</v>
      </c>
      <c r="F471" s="6">
        <v>0</v>
      </c>
      <c r="G471" s="7" t="s">
        <v>18</v>
      </c>
      <c r="H471" s="1">
        <f t="shared" si="7"/>
        <v>0</v>
      </c>
    </row>
    <row r="472" spans="1:8" x14ac:dyDescent="0.25">
      <c r="A472" s="1" t="s">
        <v>7</v>
      </c>
      <c r="B472" s="1" t="s">
        <v>11</v>
      </c>
      <c r="C472" s="6">
        <v>100000</v>
      </c>
      <c r="D472" s="6">
        <v>0</v>
      </c>
      <c r="E472" s="6">
        <v>0</v>
      </c>
      <c r="F472" s="6">
        <v>0</v>
      </c>
      <c r="G472" s="7" t="s">
        <v>18</v>
      </c>
      <c r="H472" s="1">
        <f t="shared" si="7"/>
        <v>0</v>
      </c>
    </row>
    <row r="473" spans="1:8" x14ac:dyDescent="0.25">
      <c r="A473" s="1" t="s">
        <v>7</v>
      </c>
      <c r="B473" s="1" t="s">
        <v>11</v>
      </c>
      <c r="C473" s="6">
        <v>10000</v>
      </c>
      <c r="D473" s="6">
        <v>0</v>
      </c>
      <c r="E473" s="6">
        <v>0</v>
      </c>
      <c r="F473" s="6">
        <v>0</v>
      </c>
      <c r="G473" s="7" t="s">
        <v>18</v>
      </c>
      <c r="H473" s="1">
        <f t="shared" si="7"/>
        <v>0</v>
      </c>
    </row>
    <row r="474" spans="1:8" x14ac:dyDescent="0.25">
      <c r="A474" s="1" t="s">
        <v>7</v>
      </c>
      <c r="B474" s="1" t="s">
        <v>11</v>
      </c>
      <c r="C474" s="6">
        <v>579800</v>
      </c>
      <c r="D474" s="6">
        <v>0</v>
      </c>
      <c r="E474" s="6">
        <v>0</v>
      </c>
      <c r="F474" s="6">
        <v>0</v>
      </c>
      <c r="G474" s="7" t="s">
        <v>18</v>
      </c>
      <c r="H474" s="1">
        <f t="shared" si="7"/>
        <v>0</v>
      </c>
    </row>
    <row r="475" spans="1:8" x14ac:dyDescent="0.25">
      <c r="A475" s="1" t="s">
        <v>7</v>
      </c>
      <c r="B475" s="1" t="s">
        <v>11</v>
      </c>
      <c r="C475" s="6">
        <v>1000</v>
      </c>
      <c r="D475" s="6">
        <v>0</v>
      </c>
      <c r="E475" s="6">
        <v>0</v>
      </c>
      <c r="F475" s="6">
        <v>0</v>
      </c>
      <c r="G475" s="7" t="s">
        <v>18</v>
      </c>
      <c r="H475" s="1">
        <f t="shared" si="7"/>
        <v>0</v>
      </c>
    </row>
    <row r="476" spans="1:8" x14ac:dyDescent="0.25">
      <c r="A476" s="1" t="s">
        <v>7</v>
      </c>
      <c r="B476" s="1" t="s">
        <v>11</v>
      </c>
      <c r="C476" s="6">
        <v>140000</v>
      </c>
      <c r="D476" s="6">
        <v>0</v>
      </c>
      <c r="E476" s="6">
        <v>0</v>
      </c>
      <c r="F476" s="6">
        <v>0</v>
      </c>
      <c r="G476" s="7" t="s">
        <v>18</v>
      </c>
      <c r="H476" s="1">
        <f t="shared" si="7"/>
        <v>0</v>
      </c>
    </row>
    <row r="477" spans="1:8" x14ac:dyDescent="0.25">
      <c r="A477" s="1" t="s">
        <v>7</v>
      </c>
      <c r="B477" s="1" t="s">
        <v>11</v>
      </c>
      <c r="C477" s="6">
        <v>20000</v>
      </c>
      <c r="D477" s="6">
        <v>0</v>
      </c>
      <c r="E477" s="6">
        <v>0</v>
      </c>
      <c r="F477" s="6">
        <v>0</v>
      </c>
      <c r="G477" s="7" t="s">
        <v>18</v>
      </c>
      <c r="H477" s="1">
        <f t="shared" si="7"/>
        <v>0</v>
      </c>
    </row>
    <row r="478" spans="1:8" x14ac:dyDescent="0.25">
      <c r="A478" s="1" t="s">
        <v>7</v>
      </c>
      <c r="B478" s="1" t="s">
        <v>11</v>
      </c>
      <c r="C478" s="6">
        <v>1970976</v>
      </c>
      <c r="D478" s="6">
        <v>1458394.44</v>
      </c>
      <c r="E478" s="6">
        <v>1187260.8600000001</v>
      </c>
      <c r="F478" s="6">
        <v>1114835.55</v>
      </c>
      <c r="G478" s="7" t="s">
        <v>18</v>
      </c>
      <c r="H478" s="1">
        <f t="shared" si="7"/>
        <v>0.7399351590278116</v>
      </c>
    </row>
    <row r="479" spans="1:8" x14ac:dyDescent="0.25">
      <c r="A479" s="1" t="s">
        <v>7</v>
      </c>
      <c r="B479" s="1" t="s">
        <v>11</v>
      </c>
      <c r="C479" s="6">
        <v>7273000</v>
      </c>
      <c r="D479" s="6">
        <v>4344053.3499999996</v>
      </c>
      <c r="E479" s="6">
        <v>4334412.17</v>
      </c>
      <c r="F479" s="6">
        <v>4334412.17</v>
      </c>
      <c r="G479" s="7" t="s">
        <v>18</v>
      </c>
      <c r="H479" s="1">
        <f t="shared" si="7"/>
        <v>0.59728493743984601</v>
      </c>
    </row>
    <row r="480" spans="1:8" x14ac:dyDescent="0.25">
      <c r="A480" s="1" t="s">
        <v>7</v>
      </c>
      <c r="B480" s="1" t="s">
        <v>11</v>
      </c>
      <c r="C480" s="6">
        <v>188386</v>
      </c>
      <c r="D480" s="6">
        <v>0</v>
      </c>
      <c r="E480" s="6">
        <v>0</v>
      </c>
      <c r="F480" s="6">
        <v>0</v>
      </c>
      <c r="G480" s="7" t="s">
        <v>18</v>
      </c>
      <c r="H480" s="1">
        <f t="shared" si="7"/>
        <v>0</v>
      </c>
    </row>
    <row r="481" spans="1:8" x14ac:dyDescent="0.25">
      <c r="A481" s="1" t="s">
        <v>7</v>
      </c>
      <c r="B481" s="1" t="s">
        <v>11</v>
      </c>
      <c r="C481" s="6">
        <v>4000</v>
      </c>
      <c r="D481" s="6">
        <v>0</v>
      </c>
      <c r="E481" s="6">
        <v>0</v>
      </c>
      <c r="F481" s="6">
        <v>0</v>
      </c>
      <c r="G481" s="7" t="s">
        <v>18</v>
      </c>
      <c r="H481" s="1">
        <f t="shared" si="7"/>
        <v>0</v>
      </c>
    </row>
    <row r="482" spans="1:8" x14ac:dyDescent="0.25">
      <c r="A482" s="1" t="s">
        <v>7</v>
      </c>
      <c r="B482" s="1" t="s">
        <v>11</v>
      </c>
      <c r="C482" s="6">
        <v>3000</v>
      </c>
      <c r="D482" s="6">
        <v>0</v>
      </c>
      <c r="E482" s="6">
        <v>0</v>
      </c>
      <c r="F482" s="6">
        <v>0</v>
      </c>
      <c r="G482" s="7" t="s">
        <v>18</v>
      </c>
      <c r="H482" s="1">
        <f t="shared" si="7"/>
        <v>0</v>
      </c>
    </row>
    <row r="483" spans="1:8" x14ac:dyDescent="0.25">
      <c r="A483" s="1" t="s">
        <v>7</v>
      </c>
      <c r="B483" s="1" t="s">
        <v>11</v>
      </c>
      <c r="C483" s="6">
        <v>0</v>
      </c>
      <c r="D483" s="6">
        <v>705065.72</v>
      </c>
      <c r="E483" s="6">
        <v>0</v>
      </c>
      <c r="F483" s="6">
        <v>0</v>
      </c>
      <c r="G483" s="7" t="s">
        <v>18</v>
      </c>
      <c r="H483" s="1">
        <f t="shared" si="7"/>
        <v>0</v>
      </c>
    </row>
    <row r="484" spans="1:8" x14ac:dyDescent="0.25">
      <c r="A484" s="1" t="s">
        <v>7</v>
      </c>
      <c r="B484" s="1" t="s">
        <v>11</v>
      </c>
      <c r="C484" s="6">
        <v>1000</v>
      </c>
      <c r="D484" s="6">
        <v>0</v>
      </c>
      <c r="E484" s="6">
        <v>0</v>
      </c>
      <c r="F484" s="6">
        <v>0</v>
      </c>
      <c r="G484" s="7" t="s">
        <v>18</v>
      </c>
      <c r="H484" s="1">
        <f t="shared" si="7"/>
        <v>0</v>
      </c>
    </row>
    <row r="485" spans="1:8" x14ac:dyDescent="0.25">
      <c r="A485" s="1" t="s">
        <v>7</v>
      </c>
      <c r="B485" s="1" t="s">
        <v>11</v>
      </c>
      <c r="C485" s="6">
        <v>100000</v>
      </c>
      <c r="D485" s="6">
        <v>99057.1</v>
      </c>
      <c r="E485" s="6">
        <v>0</v>
      </c>
      <c r="F485" s="6">
        <v>0</v>
      </c>
      <c r="G485" s="7" t="s">
        <v>18</v>
      </c>
      <c r="H485" s="1">
        <f t="shared" si="7"/>
        <v>0.99057100000000009</v>
      </c>
    </row>
    <row r="486" spans="1:8" x14ac:dyDescent="0.25">
      <c r="A486" s="1" t="s">
        <v>7</v>
      </c>
      <c r="B486" s="1" t="s">
        <v>11</v>
      </c>
      <c r="C486" s="6">
        <v>1403000</v>
      </c>
      <c r="D486" s="6">
        <v>2461663.94</v>
      </c>
      <c r="E486" s="6">
        <v>1326623.3400000001</v>
      </c>
      <c r="F486" s="6">
        <v>1326623.3400000001</v>
      </c>
      <c r="G486" s="7" t="s">
        <v>18</v>
      </c>
      <c r="H486" s="1">
        <f t="shared" si="7"/>
        <v>1.754571589451176</v>
      </c>
    </row>
    <row r="487" spans="1:8" x14ac:dyDescent="0.25">
      <c r="A487" s="1" t="s">
        <v>7</v>
      </c>
      <c r="B487" s="1" t="s">
        <v>11</v>
      </c>
      <c r="C487" s="6">
        <v>1000</v>
      </c>
      <c r="D487" s="6">
        <v>0</v>
      </c>
      <c r="E487" s="6">
        <v>0</v>
      </c>
      <c r="F487" s="6">
        <v>0</v>
      </c>
      <c r="G487" s="7" t="s">
        <v>18</v>
      </c>
      <c r="H487" s="1">
        <f t="shared" si="7"/>
        <v>0</v>
      </c>
    </row>
    <row r="488" spans="1:8" x14ac:dyDescent="0.25">
      <c r="A488" s="1" t="s">
        <v>7</v>
      </c>
      <c r="B488" s="1" t="s">
        <v>11</v>
      </c>
      <c r="C488" s="6">
        <v>13282320</v>
      </c>
      <c r="D488" s="6">
        <v>121552493.81999999</v>
      </c>
      <c r="E488" s="6">
        <v>47596652.399999999</v>
      </c>
      <c r="F488" s="6">
        <v>47545652.399999999</v>
      </c>
      <c r="G488" s="7" t="s">
        <v>18</v>
      </c>
      <c r="H488" s="1">
        <f t="shared" si="7"/>
        <v>9.1514504860596642</v>
      </c>
    </row>
    <row r="489" spans="1:8" x14ac:dyDescent="0.25">
      <c r="A489" s="1" t="s">
        <v>7</v>
      </c>
      <c r="B489" s="1" t="s">
        <v>11</v>
      </c>
      <c r="C489" s="6">
        <v>9000</v>
      </c>
      <c r="D489" s="6">
        <v>0</v>
      </c>
      <c r="E489" s="6">
        <v>0</v>
      </c>
      <c r="F489" s="6">
        <v>0</v>
      </c>
      <c r="G489" s="7" t="s">
        <v>18</v>
      </c>
      <c r="H489" s="1">
        <f t="shared" si="7"/>
        <v>0</v>
      </c>
    </row>
    <row r="490" spans="1:8" x14ac:dyDescent="0.25">
      <c r="A490" s="1" t="s">
        <v>7</v>
      </c>
      <c r="B490" s="1" t="s">
        <v>11</v>
      </c>
      <c r="C490" s="6">
        <v>39900000</v>
      </c>
      <c r="D490" s="6">
        <v>192673031.81999999</v>
      </c>
      <c r="E490" s="6">
        <v>39616702.759999998</v>
      </c>
      <c r="F490" s="6">
        <v>39616702.759999998</v>
      </c>
      <c r="G490" s="7" t="s">
        <v>18</v>
      </c>
      <c r="H490" s="1">
        <f t="shared" si="7"/>
        <v>4.8288980406015032</v>
      </c>
    </row>
    <row r="491" spans="1:8" x14ac:dyDescent="0.25">
      <c r="A491" s="1" t="s">
        <v>7</v>
      </c>
      <c r="B491" s="1" t="s">
        <v>11</v>
      </c>
      <c r="C491" s="6">
        <v>43891369</v>
      </c>
      <c r="D491" s="6">
        <v>43159800</v>
      </c>
      <c r="E491" s="6">
        <v>42995510</v>
      </c>
      <c r="F491" s="6">
        <v>42995510</v>
      </c>
      <c r="G491" s="7" t="s">
        <v>18</v>
      </c>
      <c r="H491" s="1">
        <f t="shared" si="7"/>
        <v>0.98333228111431203</v>
      </c>
    </row>
    <row r="492" spans="1:8" x14ac:dyDescent="0.25">
      <c r="A492" s="1" t="s">
        <v>7</v>
      </c>
      <c r="B492" s="1" t="s">
        <v>11</v>
      </c>
      <c r="C492" s="6">
        <v>2667104</v>
      </c>
      <c r="D492" s="6">
        <v>3796974</v>
      </c>
      <c r="E492" s="6">
        <v>3796974</v>
      </c>
      <c r="F492" s="6">
        <v>3796974</v>
      </c>
      <c r="G492" s="7" t="s">
        <v>18</v>
      </c>
      <c r="H492" s="1">
        <f t="shared" si="7"/>
        <v>1.4236317743890001</v>
      </c>
    </row>
    <row r="493" spans="1:8" x14ac:dyDescent="0.25">
      <c r="A493" s="1" t="s">
        <v>7</v>
      </c>
      <c r="B493" s="1" t="s">
        <v>11</v>
      </c>
      <c r="C493" s="6">
        <v>1258869910</v>
      </c>
      <c r="D493" s="6">
        <v>1342164307.2</v>
      </c>
      <c r="E493" s="6">
        <v>1211539877.6600001</v>
      </c>
      <c r="F493" s="6">
        <v>1192456374.4300001</v>
      </c>
      <c r="G493" s="7" t="s">
        <v>18</v>
      </c>
      <c r="H493" s="1">
        <f t="shared" si="7"/>
        <v>1.066166008527442</v>
      </c>
    </row>
    <row r="494" spans="1:8" x14ac:dyDescent="0.25">
      <c r="A494" s="1" t="s">
        <v>7</v>
      </c>
      <c r="B494" s="1" t="s">
        <v>11</v>
      </c>
      <c r="C494" s="6">
        <v>1000</v>
      </c>
      <c r="D494" s="6">
        <v>0</v>
      </c>
      <c r="E494" s="6">
        <v>0</v>
      </c>
      <c r="F494" s="6">
        <v>0</v>
      </c>
      <c r="G494" s="7" t="s">
        <v>18</v>
      </c>
      <c r="H494" s="1">
        <f t="shared" si="7"/>
        <v>0</v>
      </c>
    </row>
    <row r="495" spans="1:8" x14ac:dyDescent="0.25">
      <c r="A495" s="1" t="s">
        <v>7</v>
      </c>
      <c r="B495" s="1" t="s">
        <v>11</v>
      </c>
      <c r="C495" s="6">
        <v>18534926</v>
      </c>
      <c r="D495" s="6">
        <v>0</v>
      </c>
      <c r="E495" s="6">
        <v>0</v>
      </c>
      <c r="F495" s="6">
        <v>0</v>
      </c>
      <c r="G495" s="7" t="s">
        <v>18</v>
      </c>
      <c r="H495" s="1">
        <f t="shared" si="7"/>
        <v>0</v>
      </c>
    </row>
    <row r="496" spans="1:8" x14ac:dyDescent="0.25">
      <c r="A496" s="1" t="s">
        <v>7</v>
      </c>
      <c r="B496" s="1" t="s">
        <v>11</v>
      </c>
      <c r="C496" s="6">
        <v>26000</v>
      </c>
      <c r="D496" s="6">
        <v>0</v>
      </c>
      <c r="E496" s="6">
        <v>0</v>
      </c>
      <c r="F496" s="6">
        <v>0</v>
      </c>
      <c r="G496" s="7" t="s">
        <v>18</v>
      </c>
      <c r="H496" s="1">
        <f t="shared" si="7"/>
        <v>0</v>
      </c>
    </row>
    <row r="497" spans="1:8" x14ac:dyDescent="0.25">
      <c r="A497" s="1" t="s">
        <v>7</v>
      </c>
      <c r="B497" s="1" t="s">
        <v>11</v>
      </c>
      <c r="C497" s="6">
        <v>2000</v>
      </c>
      <c r="D497" s="6">
        <v>0</v>
      </c>
      <c r="E497" s="6">
        <v>0</v>
      </c>
      <c r="F497" s="6">
        <v>0</v>
      </c>
      <c r="G497" s="7" t="s">
        <v>18</v>
      </c>
      <c r="H497" s="1">
        <f t="shared" si="7"/>
        <v>0</v>
      </c>
    </row>
    <row r="498" spans="1:8" x14ac:dyDescent="0.25">
      <c r="A498" s="1" t="s">
        <v>7</v>
      </c>
      <c r="B498" s="1" t="s">
        <v>11</v>
      </c>
      <c r="C498" s="6">
        <v>3000</v>
      </c>
      <c r="D498" s="6">
        <v>0</v>
      </c>
      <c r="E498" s="6">
        <v>0</v>
      </c>
      <c r="F498" s="6">
        <v>0</v>
      </c>
      <c r="G498" s="7" t="s">
        <v>18</v>
      </c>
      <c r="H498" s="1">
        <f t="shared" si="7"/>
        <v>0</v>
      </c>
    </row>
    <row r="499" spans="1:8" x14ac:dyDescent="0.25">
      <c r="A499" s="1" t="s">
        <v>7</v>
      </c>
      <c r="B499" s="1" t="s">
        <v>11</v>
      </c>
      <c r="C499" s="6">
        <v>42000</v>
      </c>
      <c r="D499" s="6">
        <v>0</v>
      </c>
      <c r="E499" s="6">
        <v>0</v>
      </c>
      <c r="F499" s="6">
        <v>0</v>
      </c>
      <c r="G499" s="7" t="s">
        <v>18</v>
      </c>
      <c r="H499" s="1">
        <f t="shared" si="7"/>
        <v>0</v>
      </c>
    </row>
    <row r="500" spans="1:8" x14ac:dyDescent="0.25">
      <c r="A500" s="1" t="s">
        <v>7</v>
      </c>
      <c r="B500" s="1" t="s">
        <v>11</v>
      </c>
      <c r="C500" s="6">
        <v>42000</v>
      </c>
      <c r="D500" s="6">
        <v>0</v>
      </c>
      <c r="E500" s="6">
        <v>0</v>
      </c>
      <c r="F500" s="6">
        <v>0</v>
      </c>
      <c r="G500" s="7" t="s">
        <v>18</v>
      </c>
      <c r="H500" s="1">
        <f t="shared" si="7"/>
        <v>0</v>
      </c>
    </row>
    <row r="501" spans="1:8" x14ac:dyDescent="0.25">
      <c r="A501" s="1" t="s">
        <v>7</v>
      </c>
      <c r="B501" s="1" t="s">
        <v>11</v>
      </c>
      <c r="C501" s="6">
        <v>42000</v>
      </c>
      <c r="D501" s="6">
        <v>0</v>
      </c>
      <c r="E501" s="6">
        <v>0</v>
      </c>
      <c r="F501" s="6">
        <v>0</v>
      </c>
      <c r="G501" s="7" t="s">
        <v>18</v>
      </c>
      <c r="H501" s="1">
        <f t="shared" si="7"/>
        <v>0</v>
      </c>
    </row>
    <row r="502" spans="1:8" x14ac:dyDescent="0.25">
      <c r="A502" s="1" t="s">
        <v>7</v>
      </c>
      <c r="B502" s="1" t="s">
        <v>11</v>
      </c>
      <c r="C502" s="6">
        <v>102305</v>
      </c>
      <c r="D502" s="6">
        <v>0</v>
      </c>
      <c r="E502" s="6">
        <v>0</v>
      </c>
      <c r="F502" s="6">
        <v>0</v>
      </c>
      <c r="G502" s="7" t="s">
        <v>18</v>
      </c>
      <c r="H502" s="1">
        <f t="shared" si="7"/>
        <v>0</v>
      </c>
    </row>
    <row r="503" spans="1:8" x14ac:dyDescent="0.25">
      <c r="A503" s="1" t="s">
        <v>7</v>
      </c>
      <c r="B503" s="1" t="s">
        <v>11</v>
      </c>
      <c r="C503" s="6">
        <v>100000</v>
      </c>
      <c r="D503" s="6">
        <v>0</v>
      </c>
      <c r="E503" s="6">
        <v>0</v>
      </c>
      <c r="F503" s="6">
        <v>0</v>
      </c>
      <c r="G503" s="7" t="s">
        <v>18</v>
      </c>
      <c r="H503" s="1">
        <f t="shared" si="7"/>
        <v>0</v>
      </c>
    </row>
    <row r="504" spans="1:8" x14ac:dyDescent="0.25">
      <c r="A504" s="1" t="s">
        <v>7</v>
      </c>
      <c r="B504" s="1" t="s">
        <v>11</v>
      </c>
      <c r="C504" s="6">
        <v>22000</v>
      </c>
      <c r="D504" s="6">
        <v>21190</v>
      </c>
      <c r="E504" s="6">
        <v>0</v>
      </c>
      <c r="F504" s="6">
        <v>0</v>
      </c>
      <c r="G504" s="7" t="s">
        <v>18</v>
      </c>
      <c r="H504" s="1">
        <f t="shared" si="7"/>
        <v>0.96318181818181814</v>
      </c>
    </row>
    <row r="505" spans="1:8" x14ac:dyDescent="0.25">
      <c r="A505" s="1" t="s">
        <v>7</v>
      </c>
      <c r="B505" s="1" t="s">
        <v>11</v>
      </c>
      <c r="C505" s="6">
        <v>22000</v>
      </c>
      <c r="D505" s="6">
        <v>21190</v>
      </c>
      <c r="E505" s="6">
        <v>0</v>
      </c>
      <c r="F505" s="6">
        <v>0</v>
      </c>
      <c r="G505" s="7" t="s">
        <v>18</v>
      </c>
      <c r="H505" s="1">
        <f t="shared" si="7"/>
        <v>0.96318181818181814</v>
      </c>
    </row>
    <row r="506" spans="1:8" x14ac:dyDescent="0.25">
      <c r="A506" s="1" t="s">
        <v>7</v>
      </c>
      <c r="B506" s="1" t="s">
        <v>11</v>
      </c>
      <c r="C506" s="6">
        <v>22000</v>
      </c>
      <c r="D506" s="6">
        <v>21190</v>
      </c>
      <c r="E506" s="6">
        <v>0</v>
      </c>
      <c r="F506" s="6">
        <v>0</v>
      </c>
      <c r="G506" s="7" t="s">
        <v>18</v>
      </c>
      <c r="H506" s="1">
        <f t="shared" si="7"/>
        <v>0.96318181818181814</v>
      </c>
    </row>
    <row r="507" spans="1:8" x14ac:dyDescent="0.25">
      <c r="A507" s="1" t="s">
        <v>7</v>
      </c>
      <c r="B507" s="1" t="s">
        <v>11</v>
      </c>
      <c r="C507" s="6">
        <v>22000</v>
      </c>
      <c r="D507" s="6">
        <v>21190</v>
      </c>
      <c r="E507" s="6">
        <v>0</v>
      </c>
      <c r="F507" s="6">
        <v>0</v>
      </c>
      <c r="G507" s="7" t="s">
        <v>18</v>
      </c>
      <c r="H507" s="1">
        <f t="shared" si="7"/>
        <v>0.96318181818181814</v>
      </c>
    </row>
    <row r="508" spans="1:8" x14ac:dyDescent="0.25">
      <c r="A508" s="1" t="s">
        <v>7</v>
      </c>
      <c r="B508" s="1" t="s">
        <v>11</v>
      </c>
      <c r="C508" s="6">
        <v>22000</v>
      </c>
      <c r="D508" s="6">
        <v>21190</v>
      </c>
      <c r="E508" s="6">
        <v>0</v>
      </c>
      <c r="F508" s="6">
        <v>0</v>
      </c>
      <c r="G508" s="7" t="s">
        <v>18</v>
      </c>
      <c r="H508" s="1">
        <f t="shared" si="7"/>
        <v>0.96318181818181814</v>
      </c>
    </row>
    <row r="509" spans="1:8" x14ac:dyDescent="0.25">
      <c r="A509" s="1" t="s">
        <v>7</v>
      </c>
      <c r="B509" s="1" t="s">
        <v>11</v>
      </c>
      <c r="C509" s="6">
        <v>22000</v>
      </c>
      <c r="D509" s="6">
        <v>21190</v>
      </c>
      <c r="E509" s="6">
        <v>0</v>
      </c>
      <c r="F509" s="6">
        <v>0</v>
      </c>
      <c r="G509" s="7" t="s">
        <v>18</v>
      </c>
      <c r="H509" s="1">
        <f t="shared" si="7"/>
        <v>0.96318181818181814</v>
      </c>
    </row>
    <row r="510" spans="1:8" x14ac:dyDescent="0.25">
      <c r="A510" s="1" t="s">
        <v>7</v>
      </c>
      <c r="B510" s="1" t="s">
        <v>11</v>
      </c>
      <c r="C510" s="6">
        <v>22000</v>
      </c>
      <c r="D510" s="6">
        <v>21190</v>
      </c>
      <c r="E510" s="6">
        <v>0</v>
      </c>
      <c r="F510" s="6">
        <v>0</v>
      </c>
      <c r="G510" s="7" t="s">
        <v>18</v>
      </c>
      <c r="H510" s="1">
        <f t="shared" si="7"/>
        <v>0.96318181818181814</v>
      </c>
    </row>
    <row r="511" spans="1:8" x14ac:dyDescent="0.25">
      <c r="A511" s="1" t="s">
        <v>7</v>
      </c>
      <c r="B511" s="1" t="s">
        <v>11</v>
      </c>
      <c r="C511" s="6">
        <v>22000</v>
      </c>
      <c r="D511" s="6">
        <v>21190</v>
      </c>
      <c r="E511" s="6">
        <v>0</v>
      </c>
      <c r="F511" s="6">
        <v>0</v>
      </c>
      <c r="G511" s="7" t="s">
        <v>18</v>
      </c>
      <c r="H511" s="1">
        <f t="shared" si="7"/>
        <v>0.96318181818181814</v>
      </c>
    </row>
    <row r="512" spans="1:8" x14ac:dyDescent="0.25">
      <c r="A512" s="1" t="s">
        <v>7</v>
      </c>
      <c r="B512" s="1" t="s">
        <v>11</v>
      </c>
      <c r="C512" s="6">
        <v>50000</v>
      </c>
      <c r="D512" s="6">
        <v>48005</v>
      </c>
      <c r="E512" s="6">
        <v>0</v>
      </c>
      <c r="F512" s="6">
        <v>0</v>
      </c>
      <c r="G512" s="7" t="s">
        <v>18</v>
      </c>
      <c r="H512" s="1">
        <f t="shared" si="7"/>
        <v>0.96009999999999995</v>
      </c>
    </row>
    <row r="513" spans="1:8" x14ac:dyDescent="0.25">
      <c r="A513" s="1" t="s">
        <v>7</v>
      </c>
      <c r="B513" s="1" t="s">
        <v>11</v>
      </c>
      <c r="C513" s="6">
        <v>50000</v>
      </c>
      <c r="D513" s="6">
        <v>48340</v>
      </c>
      <c r="E513" s="6">
        <v>0</v>
      </c>
      <c r="F513" s="6">
        <v>0</v>
      </c>
      <c r="G513" s="7" t="s">
        <v>18</v>
      </c>
      <c r="H513" s="1">
        <f t="shared" si="7"/>
        <v>0.96679999999999999</v>
      </c>
    </row>
    <row r="514" spans="1:8" x14ac:dyDescent="0.25">
      <c r="A514" s="1" t="s">
        <v>7</v>
      </c>
      <c r="B514" s="1" t="s">
        <v>11</v>
      </c>
      <c r="C514" s="6">
        <v>50000</v>
      </c>
      <c r="D514" s="6">
        <v>48340</v>
      </c>
      <c r="E514" s="6">
        <v>0</v>
      </c>
      <c r="F514" s="6">
        <v>0</v>
      </c>
      <c r="G514" s="7" t="s">
        <v>18</v>
      </c>
      <c r="H514" s="1">
        <f t="shared" ref="H514:H577" si="8">IF(OR(ISNA($D514),ISNA($C514),$C514=0),0,$D514/$C514)</f>
        <v>0.96679999999999999</v>
      </c>
    </row>
    <row r="515" spans="1:8" x14ac:dyDescent="0.25">
      <c r="A515" s="1" t="s">
        <v>7</v>
      </c>
      <c r="B515" s="1" t="s">
        <v>11</v>
      </c>
      <c r="C515" s="6">
        <v>50000</v>
      </c>
      <c r="D515" s="6">
        <v>48340</v>
      </c>
      <c r="E515" s="6">
        <v>0</v>
      </c>
      <c r="F515" s="6">
        <v>0</v>
      </c>
      <c r="G515" s="7" t="s">
        <v>18</v>
      </c>
      <c r="H515" s="1">
        <f t="shared" si="8"/>
        <v>0.96679999999999999</v>
      </c>
    </row>
    <row r="516" spans="1:8" x14ac:dyDescent="0.25">
      <c r="A516" s="1" t="s">
        <v>7</v>
      </c>
      <c r="B516" s="1" t="s">
        <v>11</v>
      </c>
      <c r="C516" s="6">
        <v>90000</v>
      </c>
      <c r="D516" s="6">
        <v>89980</v>
      </c>
      <c r="E516" s="6">
        <v>0</v>
      </c>
      <c r="F516" s="6">
        <v>0</v>
      </c>
      <c r="G516" s="7" t="s">
        <v>18</v>
      </c>
      <c r="H516" s="1">
        <f t="shared" si="8"/>
        <v>0.99977777777777777</v>
      </c>
    </row>
    <row r="517" spans="1:8" x14ac:dyDescent="0.25">
      <c r="A517" s="1" t="s">
        <v>7</v>
      </c>
      <c r="B517" s="1" t="s">
        <v>11</v>
      </c>
      <c r="C517" s="6">
        <v>22000</v>
      </c>
      <c r="D517" s="6">
        <v>21190</v>
      </c>
      <c r="E517" s="6">
        <v>0</v>
      </c>
      <c r="F517" s="6">
        <v>0</v>
      </c>
      <c r="G517" s="7" t="s">
        <v>18</v>
      </c>
      <c r="H517" s="1">
        <f t="shared" si="8"/>
        <v>0.96318181818181814</v>
      </c>
    </row>
    <row r="518" spans="1:8" x14ac:dyDescent="0.25">
      <c r="A518" s="1" t="s">
        <v>7</v>
      </c>
      <c r="B518" s="1" t="s">
        <v>11</v>
      </c>
      <c r="C518" s="6">
        <v>22000</v>
      </c>
      <c r="D518" s="6">
        <v>21190</v>
      </c>
      <c r="E518" s="6">
        <v>0</v>
      </c>
      <c r="F518" s="6">
        <v>0</v>
      </c>
      <c r="G518" s="7" t="s">
        <v>18</v>
      </c>
      <c r="H518" s="1">
        <f t="shared" si="8"/>
        <v>0.96318181818181814</v>
      </c>
    </row>
    <row r="519" spans="1:8" x14ac:dyDescent="0.25">
      <c r="A519" s="1" t="s">
        <v>7</v>
      </c>
      <c r="B519" s="1" t="s">
        <v>11</v>
      </c>
      <c r="C519" s="6">
        <v>22000</v>
      </c>
      <c r="D519" s="6">
        <v>21190</v>
      </c>
      <c r="E519" s="6">
        <v>0</v>
      </c>
      <c r="F519" s="6">
        <v>0</v>
      </c>
      <c r="G519" s="7" t="s">
        <v>18</v>
      </c>
      <c r="H519" s="1">
        <f t="shared" si="8"/>
        <v>0.96318181818181814</v>
      </c>
    </row>
    <row r="520" spans="1:8" x14ac:dyDescent="0.25">
      <c r="A520" s="1" t="s">
        <v>7</v>
      </c>
      <c r="B520" s="1" t="s">
        <v>11</v>
      </c>
      <c r="C520" s="6">
        <v>22000</v>
      </c>
      <c r="D520" s="6">
        <v>21190</v>
      </c>
      <c r="E520" s="6">
        <v>0</v>
      </c>
      <c r="F520" s="6">
        <v>0</v>
      </c>
      <c r="G520" s="7" t="s">
        <v>18</v>
      </c>
      <c r="H520" s="1">
        <f t="shared" si="8"/>
        <v>0.96318181818181814</v>
      </c>
    </row>
    <row r="521" spans="1:8" x14ac:dyDescent="0.25">
      <c r="A521" s="1" t="s">
        <v>7</v>
      </c>
      <c r="B521" s="1" t="s">
        <v>11</v>
      </c>
      <c r="C521" s="6">
        <v>22000</v>
      </c>
      <c r="D521" s="6">
        <v>21190</v>
      </c>
      <c r="E521" s="6">
        <v>0</v>
      </c>
      <c r="F521" s="6">
        <v>0</v>
      </c>
      <c r="G521" s="7" t="s">
        <v>18</v>
      </c>
      <c r="H521" s="1">
        <f t="shared" si="8"/>
        <v>0.96318181818181814</v>
      </c>
    </row>
    <row r="522" spans="1:8" x14ac:dyDescent="0.25">
      <c r="A522" s="1" t="s">
        <v>7</v>
      </c>
      <c r="B522" s="1" t="s">
        <v>11</v>
      </c>
      <c r="C522" s="6">
        <v>22000</v>
      </c>
      <c r="D522" s="6">
        <v>21190</v>
      </c>
      <c r="E522" s="6">
        <v>0</v>
      </c>
      <c r="F522" s="6">
        <v>0</v>
      </c>
      <c r="G522" s="7" t="s">
        <v>18</v>
      </c>
      <c r="H522" s="1">
        <f t="shared" si="8"/>
        <v>0.96318181818181814</v>
      </c>
    </row>
    <row r="523" spans="1:8" x14ac:dyDescent="0.25">
      <c r="A523" s="1" t="s">
        <v>7</v>
      </c>
      <c r="B523" s="1" t="s">
        <v>11</v>
      </c>
      <c r="C523" s="6">
        <v>22000</v>
      </c>
      <c r="D523" s="6">
        <v>21190</v>
      </c>
      <c r="E523" s="6">
        <v>0</v>
      </c>
      <c r="F523" s="6">
        <v>0</v>
      </c>
      <c r="G523" s="7" t="s">
        <v>18</v>
      </c>
      <c r="H523" s="1">
        <f t="shared" si="8"/>
        <v>0.96318181818181814</v>
      </c>
    </row>
    <row r="524" spans="1:8" x14ac:dyDescent="0.25">
      <c r="A524" s="1" t="s">
        <v>7</v>
      </c>
      <c r="B524" s="1" t="s">
        <v>11</v>
      </c>
      <c r="C524" s="6">
        <v>22000</v>
      </c>
      <c r="D524" s="6">
        <v>21190</v>
      </c>
      <c r="E524" s="6">
        <v>0</v>
      </c>
      <c r="F524" s="6">
        <v>0</v>
      </c>
      <c r="G524" s="7" t="s">
        <v>18</v>
      </c>
      <c r="H524" s="1">
        <f t="shared" si="8"/>
        <v>0.96318181818181814</v>
      </c>
    </row>
    <row r="525" spans="1:8" x14ac:dyDescent="0.25">
      <c r="A525" s="1" t="s">
        <v>7</v>
      </c>
      <c r="B525" s="1" t="s">
        <v>11</v>
      </c>
      <c r="C525" s="6">
        <v>25000</v>
      </c>
      <c r="D525" s="6">
        <v>0</v>
      </c>
      <c r="E525" s="6">
        <v>0</v>
      </c>
      <c r="F525" s="6">
        <v>0</v>
      </c>
      <c r="G525" s="7" t="s">
        <v>18</v>
      </c>
      <c r="H525" s="1">
        <f t="shared" si="8"/>
        <v>0</v>
      </c>
    </row>
    <row r="526" spans="1:8" x14ac:dyDescent="0.25">
      <c r="A526" s="1" t="s">
        <v>7</v>
      </c>
      <c r="B526" s="1" t="s">
        <v>11</v>
      </c>
      <c r="C526" s="6">
        <v>440000</v>
      </c>
      <c r="D526" s="6">
        <v>0</v>
      </c>
      <c r="E526" s="6">
        <v>0</v>
      </c>
      <c r="F526" s="6">
        <v>0</v>
      </c>
      <c r="G526" s="7" t="s">
        <v>18</v>
      </c>
      <c r="H526" s="1">
        <f t="shared" si="8"/>
        <v>0</v>
      </c>
    </row>
    <row r="527" spans="1:8" x14ac:dyDescent="0.25">
      <c r="A527" s="1" t="s">
        <v>7</v>
      </c>
      <c r="B527" s="1" t="s">
        <v>11</v>
      </c>
      <c r="C527" s="6">
        <v>1000</v>
      </c>
      <c r="D527" s="6">
        <v>0</v>
      </c>
      <c r="E527" s="6">
        <v>0</v>
      </c>
      <c r="F527" s="6">
        <v>0</v>
      </c>
      <c r="G527" s="7" t="s">
        <v>18</v>
      </c>
      <c r="H527" s="1">
        <f t="shared" si="8"/>
        <v>0</v>
      </c>
    </row>
    <row r="528" spans="1:8" x14ac:dyDescent="0.25">
      <c r="A528" s="1" t="s">
        <v>7</v>
      </c>
      <c r="B528" s="1" t="s">
        <v>11</v>
      </c>
      <c r="C528" s="6">
        <v>13132668</v>
      </c>
      <c r="D528" s="6">
        <v>31865680.199999999</v>
      </c>
      <c r="E528" s="6">
        <v>27451591.960000001</v>
      </c>
      <c r="F528" s="6">
        <v>26229292.039999999</v>
      </c>
      <c r="G528" s="7" t="s">
        <v>18</v>
      </c>
      <c r="H528" s="1">
        <f t="shared" si="8"/>
        <v>2.4264437508052437</v>
      </c>
    </row>
    <row r="529" spans="1:8" x14ac:dyDescent="0.25">
      <c r="A529" s="1" t="s">
        <v>7</v>
      </c>
      <c r="B529" s="1" t="s">
        <v>11</v>
      </c>
      <c r="C529" s="6">
        <v>3717000</v>
      </c>
      <c r="D529" s="6">
        <v>1496169.36</v>
      </c>
      <c r="E529" s="6">
        <v>1381666.59</v>
      </c>
      <c r="F529" s="6">
        <v>1381666.59</v>
      </c>
      <c r="G529" s="7" t="s">
        <v>18</v>
      </c>
      <c r="H529" s="1">
        <f t="shared" si="8"/>
        <v>0.40252067796610175</v>
      </c>
    </row>
    <row r="530" spans="1:8" x14ac:dyDescent="0.25">
      <c r="A530" s="1" t="s">
        <v>7</v>
      </c>
      <c r="B530" s="1" t="s">
        <v>11</v>
      </c>
      <c r="C530" s="6">
        <v>1000</v>
      </c>
      <c r="D530" s="6">
        <v>0</v>
      </c>
      <c r="E530" s="6">
        <v>0</v>
      </c>
      <c r="F530" s="6">
        <v>0</v>
      </c>
      <c r="G530" s="7" t="s">
        <v>18</v>
      </c>
      <c r="H530" s="1">
        <f t="shared" si="8"/>
        <v>0</v>
      </c>
    </row>
    <row r="531" spans="1:8" x14ac:dyDescent="0.25">
      <c r="A531" s="1" t="s">
        <v>7</v>
      </c>
      <c r="B531" s="1" t="s">
        <v>11</v>
      </c>
      <c r="C531" s="6">
        <v>1000</v>
      </c>
      <c r="D531" s="6">
        <v>0</v>
      </c>
      <c r="E531" s="6">
        <v>0</v>
      </c>
      <c r="F531" s="6">
        <v>0</v>
      </c>
      <c r="G531" s="7" t="s">
        <v>18</v>
      </c>
      <c r="H531" s="1">
        <f t="shared" si="8"/>
        <v>0</v>
      </c>
    </row>
    <row r="532" spans="1:8" x14ac:dyDescent="0.25">
      <c r="A532" s="1" t="s">
        <v>7</v>
      </c>
      <c r="B532" s="1" t="s">
        <v>11</v>
      </c>
      <c r="C532" s="6">
        <v>308000</v>
      </c>
      <c r="D532" s="6">
        <v>720357.06</v>
      </c>
      <c r="E532" s="6">
        <v>720357.06</v>
      </c>
      <c r="F532" s="6">
        <v>720357.06</v>
      </c>
      <c r="G532" s="7" t="s">
        <v>18</v>
      </c>
      <c r="H532" s="1">
        <f t="shared" si="8"/>
        <v>2.3388216233766235</v>
      </c>
    </row>
    <row r="533" spans="1:8" x14ac:dyDescent="0.25">
      <c r="A533" s="1" t="s">
        <v>7</v>
      </c>
      <c r="B533" s="1" t="s">
        <v>11</v>
      </c>
      <c r="C533" s="6">
        <v>80000</v>
      </c>
      <c r="D533" s="6">
        <v>0</v>
      </c>
      <c r="E533" s="6">
        <v>0</v>
      </c>
      <c r="F533" s="6">
        <v>0</v>
      </c>
      <c r="G533" s="7" t="s">
        <v>18</v>
      </c>
      <c r="H533" s="1">
        <f t="shared" si="8"/>
        <v>0</v>
      </c>
    </row>
    <row r="534" spans="1:8" x14ac:dyDescent="0.25">
      <c r="A534" s="1" t="s">
        <v>7</v>
      </c>
      <c r="B534" s="1" t="s">
        <v>11</v>
      </c>
      <c r="C534" s="6">
        <v>1000</v>
      </c>
      <c r="D534" s="6">
        <v>0</v>
      </c>
      <c r="E534" s="6">
        <v>0</v>
      </c>
      <c r="F534" s="6">
        <v>0</v>
      </c>
      <c r="G534" s="7" t="s">
        <v>18</v>
      </c>
      <c r="H534" s="1">
        <f t="shared" si="8"/>
        <v>0</v>
      </c>
    </row>
    <row r="535" spans="1:8" x14ac:dyDescent="0.25">
      <c r="A535" s="1" t="s">
        <v>7</v>
      </c>
      <c r="B535" s="1" t="s">
        <v>11</v>
      </c>
      <c r="C535" s="6">
        <v>1000</v>
      </c>
      <c r="D535" s="6">
        <v>0</v>
      </c>
      <c r="E535" s="6">
        <v>0</v>
      </c>
      <c r="F535" s="6">
        <v>0</v>
      </c>
      <c r="G535" s="7" t="s">
        <v>18</v>
      </c>
      <c r="H535" s="1">
        <f t="shared" si="8"/>
        <v>0</v>
      </c>
    </row>
    <row r="536" spans="1:8" x14ac:dyDescent="0.25">
      <c r="A536" s="1" t="s">
        <v>7</v>
      </c>
      <c r="B536" s="1" t="s">
        <v>11</v>
      </c>
      <c r="C536" s="6">
        <v>5584943</v>
      </c>
      <c r="D536" s="6">
        <v>5295906.5999999996</v>
      </c>
      <c r="E536" s="6">
        <v>317898.71999999997</v>
      </c>
      <c r="F536" s="6">
        <v>317898.71999999997</v>
      </c>
      <c r="G536" s="7" t="s">
        <v>18</v>
      </c>
      <c r="H536" s="1">
        <f t="shared" si="8"/>
        <v>0.94824720682019492</v>
      </c>
    </row>
    <row r="537" spans="1:8" x14ac:dyDescent="0.25">
      <c r="A537" s="1" t="s">
        <v>7</v>
      </c>
      <c r="B537" s="1" t="s">
        <v>11</v>
      </c>
      <c r="C537" s="6">
        <v>25000</v>
      </c>
      <c r="D537" s="6">
        <v>23535</v>
      </c>
      <c r="E537" s="6">
        <v>0</v>
      </c>
      <c r="F537" s="6">
        <v>0</v>
      </c>
      <c r="G537" s="7" t="s">
        <v>18</v>
      </c>
      <c r="H537" s="1">
        <f t="shared" si="8"/>
        <v>0.94140000000000001</v>
      </c>
    </row>
    <row r="538" spans="1:8" x14ac:dyDescent="0.25">
      <c r="A538" s="1" t="s">
        <v>7</v>
      </c>
      <c r="B538" s="1" t="s">
        <v>11</v>
      </c>
      <c r="C538" s="6">
        <v>293692</v>
      </c>
      <c r="D538" s="6">
        <v>3251230.19</v>
      </c>
      <c r="E538" s="6">
        <v>3251230.19</v>
      </c>
      <c r="F538" s="6">
        <v>3251230.19</v>
      </c>
      <c r="G538" s="7" t="s">
        <v>18</v>
      </c>
      <c r="H538" s="1">
        <f t="shared" si="8"/>
        <v>11.070203444424772</v>
      </c>
    </row>
    <row r="539" spans="1:8" x14ac:dyDescent="0.25">
      <c r="A539" s="1" t="s">
        <v>7</v>
      </c>
      <c r="B539" s="1" t="s">
        <v>11</v>
      </c>
      <c r="C539" s="6">
        <v>80000</v>
      </c>
      <c r="D539" s="6">
        <v>0</v>
      </c>
      <c r="E539" s="6">
        <v>0</v>
      </c>
      <c r="F539" s="6">
        <v>0</v>
      </c>
      <c r="G539" s="7" t="s">
        <v>18</v>
      </c>
      <c r="H539" s="1">
        <f t="shared" si="8"/>
        <v>0</v>
      </c>
    </row>
    <row r="540" spans="1:8" x14ac:dyDescent="0.25">
      <c r="A540" s="1" t="s">
        <v>7</v>
      </c>
      <c r="B540" s="1" t="s">
        <v>11</v>
      </c>
      <c r="C540" s="6">
        <v>80000</v>
      </c>
      <c r="D540" s="6">
        <v>0</v>
      </c>
      <c r="E540" s="6">
        <v>0</v>
      </c>
      <c r="F540" s="6">
        <v>0</v>
      </c>
      <c r="G540" s="7" t="s">
        <v>18</v>
      </c>
      <c r="H540" s="1">
        <f t="shared" si="8"/>
        <v>0</v>
      </c>
    </row>
    <row r="541" spans="1:8" x14ac:dyDescent="0.25">
      <c r="A541" s="1" t="s">
        <v>7</v>
      </c>
      <c r="B541" s="1" t="s">
        <v>11</v>
      </c>
      <c r="C541" s="6">
        <v>80000</v>
      </c>
      <c r="D541" s="6">
        <v>0</v>
      </c>
      <c r="E541" s="6">
        <v>0</v>
      </c>
      <c r="F541" s="6">
        <v>0</v>
      </c>
      <c r="G541" s="7" t="s">
        <v>18</v>
      </c>
      <c r="H541" s="1">
        <f t="shared" si="8"/>
        <v>0</v>
      </c>
    </row>
    <row r="542" spans="1:8" x14ac:dyDescent="0.25">
      <c r="A542" s="1" t="s">
        <v>7</v>
      </c>
      <c r="B542" s="1" t="s">
        <v>11</v>
      </c>
      <c r="C542" s="6">
        <v>80000</v>
      </c>
      <c r="D542" s="6">
        <v>0</v>
      </c>
      <c r="E542" s="6">
        <v>0</v>
      </c>
      <c r="F542" s="6">
        <v>0</v>
      </c>
      <c r="G542" s="7" t="s">
        <v>18</v>
      </c>
      <c r="H542" s="1">
        <f t="shared" si="8"/>
        <v>0</v>
      </c>
    </row>
    <row r="543" spans="1:8" x14ac:dyDescent="0.25">
      <c r="A543" s="1" t="s">
        <v>7</v>
      </c>
      <c r="B543" s="1" t="s">
        <v>11</v>
      </c>
      <c r="C543" s="6">
        <v>15000</v>
      </c>
      <c r="D543" s="6">
        <v>0</v>
      </c>
      <c r="E543" s="6">
        <v>0</v>
      </c>
      <c r="F543" s="6">
        <v>0</v>
      </c>
      <c r="G543" s="7" t="s">
        <v>18</v>
      </c>
      <c r="H543" s="1">
        <f t="shared" si="8"/>
        <v>0</v>
      </c>
    </row>
    <row r="544" spans="1:8" x14ac:dyDescent="0.25">
      <c r="A544" s="1" t="s">
        <v>7</v>
      </c>
      <c r="B544" s="1" t="s">
        <v>11</v>
      </c>
      <c r="C544" s="6">
        <v>644610</v>
      </c>
      <c r="D544" s="6">
        <v>0</v>
      </c>
      <c r="E544" s="6">
        <v>0</v>
      </c>
      <c r="F544" s="6">
        <v>0</v>
      </c>
      <c r="G544" s="7" t="s">
        <v>18</v>
      </c>
      <c r="H544" s="1">
        <f t="shared" si="8"/>
        <v>0</v>
      </c>
    </row>
    <row r="545" spans="1:8" x14ac:dyDescent="0.25">
      <c r="A545" s="1" t="s">
        <v>7</v>
      </c>
      <c r="B545" s="1" t="s">
        <v>11</v>
      </c>
      <c r="C545" s="6">
        <v>60000</v>
      </c>
      <c r="D545" s="6">
        <v>0</v>
      </c>
      <c r="E545" s="6">
        <v>0</v>
      </c>
      <c r="F545" s="6">
        <v>0</v>
      </c>
      <c r="G545" s="7" t="s">
        <v>18</v>
      </c>
      <c r="H545" s="1">
        <f t="shared" si="8"/>
        <v>0</v>
      </c>
    </row>
    <row r="546" spans="1:8" x14ac:dyDescent="0.25">
      <c r="A546" s="1" t="s">
        <v>7</v>
      </c>
      <c r="B546" s="1" t="s">
        <v>11</v>
      </c>
      <c r="C546" s="6">
        <v>10000</v>
      </c>
      <c r="D546" s="6">
        <v>0</v>
      </c>
      <c r="E546" s="6">
        <v>0</v>
      </c>
      <c r="F546" s="6">
        <v>0</v>
      </c>
      <c r="G546" s="7" t="s">
        <v>18</v>
      </c>
      <c r="H546" s="1">
        <f t="shared" si="8"/>
        <v>0</v>
      </c>
    </row>
    <row r="547" spans="1:8" x14ac:dyDescent="0.25">
      <c r="A547" s="1" t="s">
        <v>7</v>
      </c>
      <c r="B547" s="1" t="s">
        <v>11</v>
      </c>
      <c r="C547" s="6">
        <v>80000</v>
      </c>
      <c r="D547" s="6">
        <v>0</v>
      </c>
      <c r="E547" s="6">
        <v>0</v>
      </c>
      <c r="F547" s="6">
        <v>0</v>
      </c>
      <c r="G547" s="7" t="s">
        <v>18</v>
      </c>
      <c r="H547" s="1">
        <f t="shared" si="8"/>
        <v>0</v>
      </c>
    </row>
    <row r="548" spans="1:8" x14ac:dyDescent="0.25">
      <c r="A548" s="1" t="s">
        <v>7</v>
      </c>
      <c r="B548" s="1" t="s">
        <v>11</v>
      </c>
      <c r="C548" s="6">
        <v>80000</v>
      </c>
      <c r="D548" s="6">
        <v>0</v>
      </c>
      <c r="E548" s="6">
        <v>0</v>
      </c>
      <c r="F548" s="6">
        <v>0</v>
      </c>
      <c r="G548" s="7" t="s">
        <v>18</v>
      </c>
      <c r="H548" s="1">
        <f t="shared" si="8"/>
        <v>0</v>
      </c>
    </row>
    <row r="549" spans="1:8" x14ac:dyDescent="0.25">
      <c r="A549" s="1" t="s">
        <v>7</v>
      </c>
      <c r="B549" s="1" t="s">
        <v>11</v>
      </c>
      <c r="C549" s="6">
        <v>200000</v>
      </c>
      <c r="D549" s="6">
        <v>0</v>
      </c>
      <c r="E549" s="6">
        <v>0</v>
      </c>
      <c r="F549" s="6">
        <v>0</v>
      </c>
      <c r="G549" s="7" t="s">
        <v>18</v>
      </c>
      <c r="H549" s="1">
        <f t="shared" si="8"/>
        <v>0</v>
      </c>
    </row>
    <row r="550" spans="1:8" x14ac:dyDescent="0.25">
      <c r="A550" s="1" t="s">
        <v>7</v>
      </c>
      <c r="B550" s="1" t="s">
        <v>11</v>
      </c>
      <c r="C550" s="6">
        <v>78000</v>
      </c>
      <c r="D550" s="6">
        <v>0</v>
      </c>
      <c r="E550" s="6">
        <v>0</v>
      </c>
      <c r="F550" s="6">
        <v>0</v>
      </c>
      <c r="G550" s="7" t="s">
        <v>18</v>
      </c>
      <c r="H550" s="1">
        <f t="shared" si="8"/>
        <v>0</v>
      </c>
    </row>
    <row r="551" spans="1:8" x14ac:dyDescent="0.25">
      <c r="A551" s="1" t="s">
        <v>7</v>
      </c>
      <c r="B551" s="1" t="s">
        <v>11</v>
      </c>
      <c r="C551" s="6">
        <v>80000</v>
      </c>
      <c r="D551" s="6">
        <v>0</v>
      </c>
      <c r="E551" s="6">
        <v>0</v>
      </c>
      <c r="F551" s="6">
        <v>0</v>
      </c>
      <c r="G551" s="7" t="s">
        <v>18</v>
      </c>
      <c r="H551" s="1">
        <f t="shared" si="8"/>
        <v>0</v>
      </c>
    </row>
    <row r="552" spans="1:8" x14ac:dyDescent="0.25">
      <c r="A552" s="1" t="s">
        <v>7</v>
      </c>
      <c r="B552" s="1" t="s">
        <v>11</v>
      </c>
      <c r="C552" s="6">
        <v>100000</v>
      </c>
      <c r="D552" s="6">
        <v>0</v>
      </c>
      <c r="E552" s="6">
        <v>0</v>
      </c>
      <c r="F552" s="6">
        <v>0</v>
      </c>
      <c r="G552" s="7" t="s">
        <v>18</v>
      </c>
      <c r="H552" s="1">
        <f t="shared" si="8"/>
        <v>0</v>
      </c>
    </row>
    <row r="553" spans="1:8" x14ac:dyDescent="0.25">
      <c r="A553" s="1" t="s">
        <v>7</v>
      </c>
      <c r="B553" s="1" t="s">
        <v>11</v>
      </c>
      <c r="C553" s="6">
        <v>69610</v>
      </c>
      <c r="D553" s="6">
        <v>0</v>
      </c>
      <c r="E553" s="6">
        <v>0</v>
      </c>
      <c r="F553" s="6">
        <v>0</v>
      </c>
      <c r="G553" s="7" t="s">
        <v>18</v>
      </c>
      <c r="H553" s="1">
        <f t="shared" si="8"/>
        <v>0</v>
      </c>
    </row>
    <row r="554" spans="1:8" x14ac:dyDescent="0.25">
      <c r="A554" s="1" t="s">
        <v>7</v>
      </c>
      <c r="B554" s="1" t="s">
        <v>11</v>
      </c>
      <c r="C554" s="6">
        <v>69610</v>
      </c>
      <c r="D554" s="6">
        <v>0</v>
      </c>
      <c r="E554" s="6">
        <v>0</v>
      </c>
      <c r="F554" s="6">
        <v>0</v>
      </c>
      <c r="G554" s="7" t="s">
        <v>18</v>
      </c>
      <c r="H554" s="1">
        <f t="shared" si="8"/>
        <v>0</v>
      </c>
    </row>
    <row r="555" spans="1:8" x14ac:dyDescent="0.25">
      <c r="A555" s="1" t="s">
        <v>7</v>
      </c>
      <c r="B555" s="1" t="s">
        <v>11</v>
      </c>
      <c r="C555" s="6">
        <v>604000</v>
      </c>
      <c r="D555" s="6">
        <v>195399.37</v>
      </c>
      <c r="E555" s="6">
        <v>195399.37</v>
      </c>
      <c r="F555" s="6">
        <v>195399.37</v>
      </c>
      <c r="G555" s="7" t="s">
        <v>18</v>
      </c>
      <c r="H555" s="1">
        <f t="shared" si="8"/>
        <v>0.32350889072847683</v>
      </c>
    </row>
    <row r="556" spans="1:8" x14ac:dyDescent="0.25">
      <c r="A556" s="1" t="s">
        <v>7</v>
      </c>
      <c r="B556" s="1" t="s">
        <v>11</v>
      </c>
      <c r="C556" s="6">
        <v>8451528</v>
      </c>
      <c r="D556" s="6">
        <v>64383465.969999999</v>
      </c>
      <c r="E556" s="6">
        <v>17897637.170000002</v>
      </c>
      <c r="F556" s="6">
        <v>17897637.170000002</v>
      </c>
      <c r="G556" s="7" t="s">
        <v>18</v>
      </c>
      <c r="H556" s="1">
        <f t="shared" si="8"/>
        <v>7.6179675403075038</v>
      </c>
    </row>
    <row r="557" spans="1:8" x14ac:dyDescent="0.25">
      <c r="A557" s="1" t="s">
        <v>7</v>
      </c>
      <c r="B557" s="1" t="s">
        <v>11</v>
      </c>
      <c r="C557" s="6">
        <v>9000</v>
      </c>
      <c r="D557" s="6">
        <v>0</v>
      </c>
      <c r="E557" s="6">
        <v>0</v>
      </c>
      <c r="F557" s="6">
        <v>0</v>
      </c>
      <c r="G557" s="7" t="s">
        <v>18</v>
      </c>
      <c r="H557" s="1">
        <f t="shared" si="8"/>
        <v>0</v>
      </c>
    </row>
    <row r="558" spans="1:8" x14ac:dyDescent="0.25">
      <c r="A558" s="1" t="s">
        <v>7</v>
      </c>
      <c r="B558" s="1" t="s">
        <v>11</v>
      </c>
      <c r="C558" s="6">
        <v>2475000</v>
      </c>
      <c r="D558" s="6">
        <v>48972071.689999998</v>
      </c>
      <c r="E558" s="6">
        <v>3689883.55</v>
      </c>
      <c r="F558" s="6">
        <v>3689883.55</v>
      </c>
      <c r="G558" s="7" t="s">
        <v>18</v>
      </c>
      <c r="H558" s="1">
        <f t="shared" si="8"/>
        <v>19.78669563232323</v>
      </c>
    </row>
    <row r="559" spans="1:8" x14ac:dyDescent="0.25">
      <c r="A559" s="1" t="s">
        <v>7</v>
      </c>
      <c r="B559" s="1" t="s">
        <v>11</v>
      </c>
      <c r="C559" s="6">
        <v>60924</v>
      </c>
      <c r="D559" s="6">
        <v>1099500</v>
      </c>
      <c r="E559" s="6">
        <v>1099500</v>
      </c>
      <c r="F559" s="6">
        <v>1099500</v>
      </c>
      <c r="G559" s="7" t="s">
        <v>18</v>
      </c>
      <c r="H559" s="1">
        <f t="shared" si="8"/>
        <v>18.047075044317509</v>
      </c>
    </row>
    <row r="560" spans="1:8" x14ac:dyDescent="0.25">
      <c r="A560" s="1" t="s">
        <v>7</v>
      </c>
      <c r="B560" s="1" t="s">
        <v>11</v>
      </c>
      <c r="C560" s="6">
        <v>2248429</v>
      </c>
      <c r="D560" s="6">
        <v>1158656.3999999999</v>
      </c>
      <c r="E560" s="6">
        <v>1158656.3999999999</v>
      </c>
      <c r="F560" s="6">
        <v>1158656.3999999999</v>
      </c>
      <c r="G560" s="7" t="s">
        <v>18</v>
      </c>
      <c r="H560" s="1">
        <f t="shared" si="8"/>
        <v>0.51531820662338013</v>
      </c>
    </row>
    <row r="561" spans="1:8" x14ac:dyDescent="0.25">
      <c r="A561" s="1" t="s">
        <v>7</v>
      </c>
      <c r="B561" s="1" t="s">
        <v>11</v>
      </c>
      <c r="C561" s="6">
        <v>667284594</v>
      </c>
      <c r="D561" s="6">
        <v>739519601.13999999</v>
      </c>
      <c r="E561" s="6">
        <v>682861257.99000001</v>
      </c>
      <c r="F561" s="6">
        <v>671640272.63</v>
      </c>
      <c r="G561" s="7" t="s">
        <v>18</v>
      </c>
      <c r="H561" s="1">
        <f t="shared" si="8"/>
        <v>1.1082521727453518</v>
      </c>
    </row>
    <row r="562" spans="1:8" x14ac:dyDescent="0.25">
      <c r="A562" s="1" t="s">
        <v>7</v>
      </c>
      <c r="B562" s="1" t="s">
        <v>11</v>
      </c>
      <c r="C562" s="6">
        <v>9000</v>
      </c>
      <c r="D562" s="6">
        <v>0</v>
      </c>
      <c r="E562" s="6">
        <v>0</v>
      </c>
      <c r="F562" s="6">
        <v>0</v>
      </c>
      <c r="G562" s="7" t="s">
        <v>18</v>
      </c>
      <c r="H562" s="1">
        <f t="shared" si="8"/>
        <v>0</v>
      </c>
    </row>
    <row r="563" spans="1:8" x14ac:dyDescent="0.25">
      <c r="A563" s="1" t="s">
        <v>7</v>
      </c>
      <c r="B563" s="1" t="s">
        <v>11</v>
      </c>
      <c r="C563" s="6">
        <v>294071411</v>
      </c>
      <c r="D563" s="6">
        <v>263670845.16999999</v>
      </c>
      <c r="E563" s="6">
        <v>251084699.06</v>
      </c>
      <c r="F563" s="6">
        <v>249614868.81999999</v>
      </c>
      <c r="G563" s="7" t="s">
        <v>18</v>
      </c>
      <c r="H563" s="1">
        <f t="shared" si="8"/>
        <v>0.89662182486008468</v>
      </c>
    </row>
    <row r="564" spans="1:8" x14ac:dyDescent="0.25">
      <c r="A564" s="1" t="s">
        <v>7</v>
      </c>
      <c r="B564" s="1" t="s">
        <v>11</v>
      </c>
      <c r="C564" s="6">
        <v>2000</v>
      </c>
      <c r="D564" s="6">
        <v>0</v>
      </c>
      <c r="E564" s="6">
        <v>0</v>
      </c>
      <c r="F564" s="6">
        <v>0</v>
      </c>
      <c r="G564" s="7" t="s">
        <v>18</v>
      </c>
      <c r="H564" s="1">
        <f t="shared" si="8"/>
        <v>0</v>
      </c>
    </row>
    <row r="565" spans="1:8" x14ac:dyDescent="0.25">
      <c r="A565" s="1" t="s">
        <v>7</v>
      </c>
      <c r="B565" s="1" t="s">
        <v>11</v>
      </c>
      <c r="C565" s="6">
        <v>3000</v>
      </c>
      <c r="D565" s="6">
        <v>0</v>
      </c>
      <c r="E565" s="6">
        <v>0</v>
      </c>
      <c r="F565" s="6">
        <v>0</v>
      </c>
      <c r="G565" s="7" t="s">
        <v>18</v>
      </c>
      <c r="H565" s="1">
        <f t="shared" si="8"/>
        <v>0</v>
      </c>
    </row>
    <row r="566" spans="1:8" x14ac:dyDescent="0.25">
      <c r="A566" s="1" t="s">
        <v>7</v>
      </c>
      <c r="B566" s="1" t="s">
        <v>11</v>
      </c>
      <c r="C566" s="6">
        <v>28000</v>
      </c>
      <c r="D566" s="6">
        <v>0</v>
      </c>
      <c r="E566" s="6">
        <v>0</v>
      </c>
      <c r="F566" s="6">
        <v>0</v>
      </c>
      <c r="G566" s="7" t="s">
        <v>18</v>
      </c>
      <c r="H566" s="1">
        <f t="shared" si="8"/>
        <v>0</v>
      </c>
    </row>
    <row r="567" spans="1:8" x14ac:dyDescent="0.25">
      <c r="A567" s="1" t="s">
        <v>7</v>
      </c>
      <c r="B567" s="1" t="s">
        <v>11</v>
      </c>
      <c r="C567" s="6">
        <v>25000</v>
      </c>
      <c r="D567" s="6">
        <v>0</v>
      </c>
      <c r="E567" s="6">
        <v>0</v>
      </c>
      <c r="F567" s="6">
        <v>0</v>
      </c>
      <c r="G567" s="7" t="s">
        <v>18</v>
      </c>
      <c r="H567" s="1">
        <f t="shared" si="8"/>
        <v>0</v>
      </c>
    </row>
    <row r="568" spans="1:8" x14ac:dyDescent="0.25">
      <c r="A568" s="1" t="s">
        <v>7</v>
      </c>
      <c r="B568" s="1" t="s">
        <v>11</v>
      </c>
      <c r="C568" s="6">
        <v>22000</v>
      </c>
      <c r="D568" s="6">
        <v>21190</v>
      </c>
      <c r="E568" s="6">
        <v>0</v>
      </c>
      <c r="F568" s="6">
        <v>0</v>
      </c>
      <c r="G568" s="7" t="s">
        <v>18</v>
      </c>
      <c r="H568" s="1">
        <f t="shared" si="8"/>
        <v>0.96318181818181814</v>
      </c>
    </row>
    <row r="569" spans="1:8" x14ac:dyDescent="0.25">
      <c r="A569" s="1" t="s">
        <v>7</v>
      </c>
      <c r="B569" s="1" t="s">
        <v>11</v>
      </c>
      <c r="C569" s="6">
        <v>22000</v>
      </c>
      <c r="D569" s="6">
        <v>21190</v>
      </c>
      <c r="E569" s="6">
        <v>0</v>
      </c>
      <c r="F569" s="6">
        <v>0</v>
      </c>
      <c r="G569" s="7" t="s">
        <v>18</v>
      </c>
      <c r="H569" s="1">
        <f t="shared" si="8"/>
        <v>0.96318181818181814</v>
      </c>
    </row>
    <row r="570" spans="1:8" x14ac:dyDescent="0.25">
      <c r="A570" s="1" t="s">
        <v>7</v>
      </c>
      <c r="B570" s="1" t="s">
        <v>11</v>
      </c>
      <c r="C570" s="6">
        <v>22000</v>
      </c>
      <c r="D570" s="6">
        <v>21190</v>
      </c>
      <c r="E570" s="6">
        <v>0</v>
      </c>
      <c r="F570" s="6">
        <v>0</v>
      </c>
      <c r="G570" s="7" t="s">
        <v>18</v>
      </c>
      <c r="H570" s="1">
        <f t="shared" si="8"/>
        <v>0.96318181818181814</v>
      </c>
    </row>
    <row r="571" spans="1:8" x14ac:dyDescent="0.25">
      <c r="A571" s="1" t="s">
        <v>7</v>
      </c>
      <c r="B571" s="1" t="s">
        <v>11</v>
      </c>
      <c r="C571" s="6">
        <v>22000</v>
      </c>
      <c r="D571" s="6">
        <v>21190</v>
      </c>
      <c r="E571" s="6">
        <v>0</v>
      </c>
      <c r="F571" s="6">
        <v>0</v>
      </c>
      <c r="G571" s="7" t="s">
        <v>18</v>
      </c>
      <c r="H571" s="1">
        <f t="shared" si="8"/>
        <v>0.96318181818181814</v>
      </c>
    </row>
    <row r="572" spans="1:8" x14ac:dyDescent="0.25">
      <c r="A572" s="1" t="s">
        <v>7</v>
      </c>
      <c r="B572" s="1" t="s">
        <v>11</v>
      </c>
      <c r="C572" s="6">
        <v>22000</v>
      </c>
      <c r="D572" s="6">
        <v>21190</v>
      </c>
      <c r="E572" s="6">
        <v>0</v>
      </c>
      <c r="F572" s="6">
        <v>0</v>
      </c>
      <c r="G572" s="7" t="s">
        <v>18</v>
      </c>
      <c r="H572" s="1">
        <f t="shared" si="8"/>
        <v>0.96318181818181814</v>
      </c>
    </row>
    <row r="573" spans="1:8" x14ac:dyDescent="0.25">
      <c r="A573" s="1" t="s">
        <v>7</v>
      </c>
      <c r="B573" s="1" t="s">
        <v>11</v>
      </c>
      <c r="C573" s="6">
        <v>22000</v>
      </c>
      <c r="D573" s="6">
        <v>21190</v>
      </c>
      <c r="E573" s="6">
        <v>0</v>
      </c>
      <c r="F573" s="6">
        <v>0</v>
      </c>
      <c r="G573" s="7" t="s">
        <v>18</v>
      </c>
      <c r="H573" s="1">
        <f t="shared" si="8"/>
        <v>0.96318181818181814</v>
      </c>
    </row>
    <row r="574" spans="1:8" x14ac:dyDescent="0.25">
      <c r="A574" s="1" t="s">
        <v>7</v>
      </c>
      <c r="B574" s="1" t="s">
        <v>11</v>
      </c>
      <c r="C574" s="6">
        <v>22000</v>
      </c>
      <c r="D574" s="6">
        <v>21190</v>
      </c>
      <c r="E574" s="6">
        <v>0</v>
      </c>
      <c r="F574" s="6">
        <v>0</v>
      </c>
      <c r="G574" s="7" t="s">
        <v>18</v>
      </c>
      <c r="H574" s="1">
        <f t="shared" si="8"/>
        <v>0.96318181818181814</v>
      </c>
    </row>
    <row r="575" spans="1:8" x14ac:dyDescent="0.25">
      <c r="A575" s="1" t="s">
        <v>7</v>
      </c>
      <c r="B575" s="1" t="s">
        <v>11</v>
      </c>
      <c r="C575" s="6">
        <v>22000</v>
      </c>
      <c r="D575" s="6">
        <v>21190</v>
      </c>
      <c r="E575" s="6">
        <v>0</v>
      </c>
      <c r="F575" s="6">
        <v>0</v>
      </c>
      <c r="G575" s="7" t="s">
        <v>18</v>
      </c>
      <c r="H575" s="1">
        <f t="shared" si="8"/>
        <v>0.96318181818181814</v>
      </c>
    </row>
    <row r="576" spans="1:8" x14ac:dyDescent="0.25">
      <c r="A576" s="1" t="s">
        <v>7</v>
      </c>
      <c r="B576" s="1" t="s">
        <v>11</v>
      </c>
      <c r="C576" s="6">
        <v>22000</v>
      </c>
      <c r="D576" s="6">
        <v>21190</v>
      </c>
      <c r="E576" s="6">
        <v>0</v>
      </c>
      <c r="F576" s="6">
        <v>0</v>
      </c>
      <c r="G576" s="7" t="s">
        <v>18</v>
      </c>
      <c r="H576" s="1">
        <f t="shared" si="8"/>
        <v>0.96318181818181814</v>
      </c>
    </row>
    <row r="577" spans="1:8" x14ac:dyDescent="0.25">
      <c r="A577" s="1" t="s">
        <v>7</v>
      </c>
      <c r="B577" s="1" t="s">
        <v>11</v>
      </c>
      <c r="C577" s="6">
        <v>22000</v>
      </c>
      <c r="D577" s="6">
        <v>21190</v>
      </c>
      <c r="E577" s="6">
        <v>0</v>
      </c>
      <c r="F577" s="6">
        <v>0</v>
      </c>
      <c r="G577" s="7" t="s">
        <v>18</v>
      </c>
      <c r="H577" s="1">
        <f t="shared" si="8"/>
        <v>0.96318181818181814</v>
      </c>
    </row>
    <row r="578" spans="1:8" x14ac:dyDescent="0.25">
      <c r="A578" s="1" t="s">
        <v>7</v>
      </c>
      <c r="B578" s="1" t="s">
        <v>11</v>
      </c>
      <c r="C578" s="6">
        <v>22000</v>
      </c>
      <c r="D578" s="6">
        <v>21190</v>
      </c>
      <c r="E578" s="6">
        <v>0</v>
      </c>
      <c r="F578" s="6">
        <v>0</v>
      </c>
      <c r="G578" s="7" t="s">
        <v>18</v>
      </c>
      <c r="H578" s="1">
        <f t="shared" ref="H578:H641" si="9">IF(OR(ISNA($D578),ISNA($C578),$C578=0),0,$D578/$C578)</f>
        <v>0.96318181818181814</v>
      </c>
    </row>
    <row r="579" spans="1:8" x14ac:dyDescent="0.25">
      <c r="A579" s="1" t="s">
        <v>7</v>
      </c>
      <c r="B579" s="1" t="s">
        <v>11</v>
      </c>
      <c r="C579" s="6">
        <v>22000</v>
      </c>
      <c r="D579" s="6">
        <v>21190</v>
      </c>
      <c r="E579" s="6">
        <v>0</v>
      </c>
      <c r="F579" s="6">
        <v>0</v>
      </c>
      <c r="G579" s="7" t="s">
        <v>18</v>
      </c>
      <c r="H579" s="1">
        <f t="shared" si="9"/>
        <v>0.96318181818181814</v>
      </c>
    </row>
    <row r="580" spans="1:8" x14ac:dyDescent="0.25">
      <c r="A580" s="1" t="s">
        <v>7</v>
      </c>
      <c r="B580" s="1" t="s">
        <v>11</v>
      </c>
      <c r="C580" s="6">
        <v>22000</v>
      </c>
      <c r="D580" s="6">
        <v>21190</v>
      </c>
      <c r="E580" s="6">
        <v>0</v>
      </c>
      <c r="F580" s="6">
        <v>0</v>
      </c>
      <c r="G580" s="7" t="s">
        <v>18</v>
      </c>
      <c r="H580" s="1">
        <f t="shared" si="9"/>
        <v>0.96318181818181814</v>
      </c>
    </row>
    <row r="581" spans="1:8" x14ac:dyDescent="0.25">
      <c r="A581" s="1" t="s">
        <v>7</v>
      </c>
      <c r="B581" s="1" t="s">
        <v>11</v>
      </c>
      <c r="C581" s="6">
        <v>22000</v>
      </c>
      <c r="D581" s="6">
        <v>21190</v>
      </c>
      <c r="E581" s="6">
        <v>0</v>
      </c>
      <c r="F581" s="6">
        <v>0</v>
      </c>
      <c r="G581" s="7" t="s">
        <v>18</v>
      </c>
      <c r="H581" s="1">
        <f t="shared" si="9"/>
        <v>0.96318181818181814</v>
      </c>
    </row>
    <row r="582" spans="1:8" x14ac:dyDescent="0.25">
      <c r="A582" s="1" t="s">
        <v>7</v>
      </c>
      <c r="B582" s="1" t="s">
        <v>11</v>
      </c>
      <c r="C582" s="6">
        <v>22000</v>
      </c>
      <c r="D582" s="6">
        <v>21190</v>
      </c>
      <c r="E582" s="6">
        <v>0</v>
      </c>
      <c r="F582" s="6">
        <v>0</v>
      </c>
      <c r="G582" s="7" t="s">
        <v>18</v>
      </c>
      <c r="H582" s="1">
        <f t="shared" si="9"/>
        <v>0.96318181818181814</v>
      </c>
    </row>
    <row r="583" spans="1:8" x14ac:dyDescent="0.25">
      <c r="A583" s="1" t="s">
        <v>7</v>
      </c>
      <c r="B583" s="1" t="s">
        <v>11</v>
      </c>
      <c r="C583" s="6">
        <v>2238516</v>
      </c>
      <c r="D583" s="6">
        <v>189567.9</v>
      </c>
      <c r="E583" s="6">
        <v>189567.9</v>
      </c>
      <c r="F583" s="6">
        <v>189567.9</v>
      </c>
      <c r="G583" s="7" t="s">
        <v>18</v>
      </c>
      <c r="H583" s="1">
        <f t="shared" si="9"/>
        <v>8.4684630353323354E-2</v>
      </c>
    </row>
    <row r="584" spans="1:8" x14ac:dyDescent="0.25">
      <c r="A584" s="1" t="s">
        <v>7</v>
      </c>
      <c r="B584" s="1" t="s">
        <v>11</v>
      </c>
      <c r="C584" s="6">
        <v>3600000</v>
      </c>
      <c r="D584" s="6">
        <v>777322.84</v>
      </c>
      <c r="E584" s="6">
        <v>700987.72</v>
      </c>
      <c r="F584" s="6">
        <v>700987.72</v>
      </c>
      <c r="G584" s="7" t="s">
        <v>18</v>
      </c>
      <c r="H584" s="1">
        <f t="shared" si="9"/>
        <v>0.21592301111111109</v>
      </c>
    </row>
    <row r="585" spans="1:8" x14ac:dyDescent="0.25">
      <c r="A585" s="1" t="s">
        <v>7</v>
      </c>
      <c r="B585" s="1" t="s">
        <v>11</v>
      </c>
      <c r="C585" s="6">
        <v>1000</v>
      </c>
      <c r="D585" s="6">
        <v>0</v>
      </c>
      <c r="E585" s="6">
        <v>0</v>
      </c>
      <c r="F585" s="6">
        <v>0</v>
      </c>
      <c r="G585" s="7" t="s">
        <v>18</v>
      </c>
      <c r="H585" s="1">
        <f t="shared" si="9"/>
        <v>0</v>
      </c>
    </row>
    <row r="586" spans="1:8" x14ac:dyDescent="0.25">
      <c r="A586" s="1" t="s">
        <v>7</v>
      </c>
      <c r="B586" s="1" t="s">
        <v>11</v>
      </c>
      <c r="C586" s="6">
        <v>1000</v>
      </c>
      <c r="D586" s="6">
        <v>0</v>
      </c>
      <c r="E586" s="6">
        <v>0</v>
      </c>
      <c r="F586" s="6">
        <v>0</v>
      </c>
      <c r="G586" s="7" t="s">
        <v>18</v>
      </c>
      <c r="H586" s="1">
        <f t="shared" si="9"/>
        <v>0</v>
      </c>
    </row>
    <row r="587" spans="1:8" x14ac:dyDescent="0.25">
      <c r="A587" s="1" t="s">
        <v>7</v>
      </c>
      <c r="B587" s="1" t="s">
        <v>11</v>
      </c>
      <c r="C587" s="6">
        <v>1000</v>
      </c>
      <c r="D587" s="6">
        <v>0</v>
      </c>
      <c r="E587" s="6">
        <v>0</v>
      </c>
      <c r="F587" s="6">
        <v>0</v>
      </c>
      <c r="G587" s="7" t="s">
        <v>18</v>
      </c>
      <c r="H587" s="1">
        <f t="shared" si="9"/>
        <v>0</v>
      </c>
    </row>
    <row r="588" spans="1:8" x14ac:dyDescent="0.25">
      <c r="A588" s="1" t="s">
        <v>7</v>
      </c>
      <c r="B588" s="1" t="s">
        <v>11</v>
      </c>
      <c r="C588" s="6">
        <v>607100</v>
      </c>
      <c r="D588" s="6">
        <v>618441.43000000005</v>
      </c>
      <c r="E588" s="6">
        <v>618441.43000000005</v>
      </c>
      <c r="F588" s="6">
        <v>618441.43000000005</v>
      </c>
      <c r="G588" s="7" t="s">
        <v>18</v>
      </c>
      <c r="H588" s="1">
        <f t="shared" si="9"/>
        <v>1.0186813210344261</v>
      </c>
    </row>
    <row r="589" spans="1:8" x14ac:dyDescent="0.25">
      <c r="A589" s="1" t="s">
        <v>7</v>
      </c>
      <c r="B589" s="1" t="s">
        <v>11</v>
      </c>
      <c r="C589" s="6">
        <v>1000</v>
      </c>
      <c r="D589" s="6">
        <v>0</v>
      </c>
      <c r="E589" s="6">
        <v>0</v>
      </c>
      <c r="F589" s="6">
        <v>0</v>
      </c>
      <c r="G589" s="7" t="s">
        <v>18</v>
      </c>
      <c r="H589" s="1">
        <f t="shared" si="9"/>
        <v>0</v>
      </c>
    </row>
    <row r="590" spans="1:8" x14ac:dyDescent="0.25">
      <c r="A590" s="1" t="s">
        <v>7</v>
      </c>
      <c r="B590" s="1" t="s">
        <v>11</v>
      </c>
      <c r="C590" s="6">
        <v>1000</v>
      </c>
      <c r="D590" s="6">
        <v>0</v>
      </c>
      <c r="E590" s="6">
        <v>0</v>
      </c>
      <c r="F590" s="6">
        <v>0</v>
      </c>
      <c r="G590" s="7" t="s">
        <v>18</v>
      </c>
      <c r="H590" s="1">
        <f t="shared" si="9"/>
        <v>0</v>
      </c>
    </row>
    <row r="591" spans="1:8" x14ac:dyDescent="0.25">
      <c r="A591" s="1" t="s">
        <v>7</v>
      </c>
      <c r="B591" s="1" t="s">
        <v>11</v>
      </c>
      <c r="C591" s="6">
        <v>1000000</v>
      </c>
      <c r="D591" s="6">
        <v>0</v>
      </c>
      <c r="E591" s="6">
        <v>0</v>
      </c>
      <c r="F591" s="6">
        <v>0</v>
      </c>
      <c r="G591" s="7" t="s">
        <v>18</v>
      </c>
      <c r="H591" s="1">
        <f t="shared" si="9"/>
        <v>0</v>
      </c>
    </row>
    <row r="592" spans="1:8" x14ac:dyDescent="0.25">
      <c r="A592" s="1" t="s">
        <v>7</v>
      </c>
      <c r="B592" s="1" t="s">
        <v>11</v>
      </c>
      <c r="C592" s="6">
        <v>1000</v>
      </c>
      <c r="D592" s="6">
        <v>0</v>
      </c>
      <c r="E592" s="6">
        <v>0</v>
      </c>
      <c r="F592" s="6">
        <v>0</v>
      </c>
      <c r="G592" s="7" t="s">
        <v>18</v>
      </c>
      <c r="H592" s="1">
        <f t="shared" si="9"/>
        <v>0</v>
      </c>
    </row>
    <row r="593" spans="1:8" x14ac:dyDescent="0.25">
      <c r="A593" s="1" t="s">
        <v>7</v>
      </c>
      <c r="B593" s="1" t="s">
        <v>11</v>
      </c>
      <c r="C593" s="6">
        <v>1000</v>
      </c>
      <c r="D593" s="6">
        <v>0</v>
      </c>
      <c r="E593" s="6">
        <v>0</v>
      </c>
      <c r="F593" s="6">
        <v>0</v>
      </c>
      <c r="G593" s="7" t="s">
        <v>18</v>
      </c>
      <c r="H593" s="1">
        <f t="shared" si="9"/>
        <v>0</v>
      </c>
    </row>
    <row r="594" spans="1:8" x14ac:dyDescent="0.25">
      <c r="A594" s="1" t="s">
        <v>7</v>
      </c>
      <c r="B594" s="1" t="s">
        <v>11</v>
      </c>
      <c r="C594" s="6">
        <v>1800000</v>
      </c>
      <c r="D594" s="6">
        <v>1407590.3999999999</v>
      </c>
      <c r="E594" s="6">
        <v>0</v>
      </c>
      <c r="F594" s="6">
        <v>0</v>
      </c>
      <c r="G594" s="7" t="s">
        <v>18</v>
      </c>
      <c r="H594" s="1">
        <f t="shared" si="9"/>
        <v>0.78199466666666662</v>
      </c>
    </row>
    <row r="595" spans="1:8" x14ac:dyDescent="0.25">
      <c r="A595" s="1" t="s">
        <v>7</v>
      </c>
      <c r="B595" s="1" t="s">
        <v>11</v>
      </c>
      <c r="C595" s="6">
        <v>750</v>
      </c>
      <c r="D595" s="6">
        <v>0</v>
      </c>
      <c r="E595" s="6">
        <v>0</v>
      </c>
      <c r="F595" s="6">
        <v>0</v>
      </c>
      <c r="G595" s="7" t="s">
        <v>18</v>
      </c>
      <c r="H595" s="1">
        <f t="shared" si="9"/>
        <v>0</v>
      </c>
    </row>
    <row r="596" spans="1:8" x14ac:dyDescent="0.25">
      <c r="A596" s="1" t="s">
        <v>7</v>
      </c>
      <c r="B596" s="1" t="s">
        <v>11</v>
      </c>
      <c r="C596" s="6">
        <v>19305.75</v>
      </c>
      <c r="D596" s="6">
        <v>391993.5</v>
      </c>
      <c r="E596" s="6">
        <v>156642.5</v>
      </c>
      <c r="F596" s="6">
        <v>156642.5</v>
      </c>
      <c r="G596" s="7" t="s">
        <v>18</v>
      </c>
      <c r="H596" s="1">
        <f t="shared" si="9"/>
        <v>20.304494774872772</v>
      </c>
    </row>
    <row r="597" spans="1:8" x14ac:dyDescent="0.25">
      <c r="A597" s="1" t="s">
        <v>7</v>
      </c>
      <c r="B597" s="1" t="s">
        <v>11</v>
      </c>
      <c r="C597" s="6">
        <v>250</v>
      </c>
      <c r="D597" s="6">
        <v>0</v>
      </c>
      <c r="E597" s="6">
        <v>0</v>
      </c>
      <c r="F597" s="6">
        <v>0</v>
      </c>
      <c r="G597" s="7" t="s">
        <v>18</v>
      </c>
      <c r="H597" s="1">
        <f t="shared" si="9"/>
        <v>0</v>
      </c>
    </row>
    <row r="598" spans="1:8" x14ac:dyDescent="0.25">
      <c r="A598" s="1" t="s">
        <v>7</v>
      </c>
      <c r="B598" s="1" t="s">
        <v>11</v>
      </c>
      <c r="C598" s="6">
        <v>18750</v>
      </c>
      <c r="D598" s="6">
        <v>350373.185</v>
      </c>
      <c r="E598" s="6">
        <v>0</v>
      </c>
      <c r="F598" s="6">
        <v>0</v>
      </c>
      <c r="G598" s="7" t="s">
        <v>18</v>
      </c>
      <c r="H598" s="1">
        <f t="shared" si="9"/>
        <v>18.686569866666666</v>
      </c>
    </row>
    <row r="599" spans="1:8" x14ac:dyDescent="0.25">
      <c r="A599" s="1" t="s">
        <v>7</v>
      </c>
      <c r="B599" s="1" t="s">
        <v>11</v>
      </c>
      <c r="C599" s="6">
        <v>17157.5</v>
      </c>
      <c r="D599" s="6">
        <v>42363.75</v>
      </c>
      <c r="E599" s="6">
        <v>42363.75</v>
      </c>
      <c r="F599" s="6">
        <v>42363.75</v>
      </c>
      <c r="G599" s="7" t="s">
        <v>18</v>
      </c>
      <c r="H599" s="1">
        <f t="shared" si="9"/>
        <v>2.469109718781874</v>
      </c>
    </row>
    <row r="600" spans="1:8" x14ac:dyDescent="0.25">
      <c r="A600" s="1" t="s">
        <v>7</v>
      </c>
      <c r="B600" s="1" t="s">
        <v>11</v>
      </c>
      <c r="C600" s="6">
        <v>3876.75</v>
      </c>
      <c r="D600" s="6">
        <v>1723.5</v>
      </c>
      <c r="E600" s="6">
        <v>1723.5</v>
      </c>
      <c r="F600" s="6">
        <v>1723.5</v>
      </c>
      <c r="G600" s="7" t="s">
        <v>18</v>
      </c>
      <c r="H600" s="1">
        <f t="shared" si="9"/>
        <v>0.44457341845618109</v>
      </c>
    </row>
    <row r="601" spans="1:8" x14ac:dyDescent="0.25">
      <c r="A601" s="1" t="s">
        <v>7</v>
      </c>
      <c r="B601" s="1" t="s">
        <v>11</v>
      </c>
      <c r="C601" s="6">
        <v>7857521.25</v>
      </c>
      <c r="D601" s="6">
        <v>6566445.8499999996</v>
      </c>
      <c r="E601" s="6">
        <v>6288697.7699999996</v>
      </c>
      <c r="F601" s="6">
        <v>6288697.7699999996</v>
      </c>
      <c r="G601" s="7" t="s">
        <v>18</v>
      </c>
      <c r="H601" s="1">
        <f t="shared" si="9"/>
        <v>0.83568922578478544</v>
      </c>
    </row>
    <row r="602" spans="1:8" x14ac:dyDescent="0.25">
      <c r="A602" s="1" t="s">
        <v>7</v>
      </c>
      <c r="B602" s="1" t="s">
        <v>11</v>
      </c>
      <c r="C602" s="6">
        <v>144597</v>
      </c>
      <c r="D602" s="6">
        <v>0</v>
      </c>
      <c r="E602" s="6">
        <v>0</v>
      </c>
      <c r="F602" s="6">
        <v>0</v>
      </c>
      <c r="G602" s="7" t="s">
        <v>18</v>
      </c>
      <c r="H602" s="1">
        <f t="shared" si="9"/>
        <v>0</v>
      </c>
    </row>
    <row r="603" spans="1:8" x14ac:dyDescent="0.25">
      <c r="A603" s="1" t="s">
        <v>7</v>
      </c>
      <c r="B603" s="1" t="s">
        <v>11</v>
      </c>
      <c r="C603" s="6">
        <v>231669</v>
      </c>
      <c r="D603" s="6">
        <v>1880304</v>
      </c>
      <c r="E603" s="6">
        <v>541974</v>
      </c>
      <c r="F603" s="6">
        <v>541974</v>
      </c>
      <c r="G603" s="7" t="s">
        <v>18</v>
      </c>
      <c r="H603" s="1">
        <f t="shared" si="9"/>
        <v>8.1163383965916882</v>
      </c>
    </row>
    <row r="604" spans="1:8" x14ac:dyDescent="0.25">
      <c r="A604" s="1" t="s">
        <v>7</v>
      </c>
      <c r="B604" s="1" t="s">
        <v>11</v>
      </c>
      <c r="C604" s="6">
        <v>3000</v>
      </c>
      <c r="D604" s="6">
        <v>0</v>
      </c>
      <c r="E604" s="6">
        <v>0</v>
      </c>
      <c r="F604" s="6">
        <v>0</v>
      </c>
      <c r="G604" s="7" t="s">
        <v>18</v>
      </c>
      <c r="H604" s="1">
        <f t="shared" si="9"/>
        <v>0</v>
      </c>
    </row>
    <row r="605" spans="1:8" x14ac:dyDescent="0.25">
      <c r="A605" s="1" t="s">
        <v>7</v>
      </c>
      <c r="B605" s="1" t="s">
        <v>11</v>
      </c>
      <c r="C605" s="6">
        <v>225000</v>
      </c>
      <c r="D605" s="6">
        <v>4007967.67</v>
      </c>
      <c r="E605" s="6">
        <v>573939.30000000005</v>
      </c>
      <c r="F605" s="6">
        <v>573939.30000000005</v>
      </c>
      <c r="G605" s="7" t="s">
        <v>18</v>
      </c>
      <c r="H605" s="1">
        <f t="shared" si="9"/>
        <v>17.813189644444446</v>
      </c>
    </row>
    <row r="606" spans="1:8" x14ac:dyDescent="0.25">
      <c r="A606" s="1" t="s">
        <v>7</v>
      </c>
      <c r="B606" s="1" t="s">
        <v>11</v>
      </c>
      <c r="C606" s="6">
        <v>605372</v>
      </c>
      <c r="D606" s="6">
        <v>604419</v>
      </c>
      <c r="E606" s="6">
        <v>604419</v>
      </c>
      <c r="F606" s="6">
        <v>604419</v>
      </c>
      <c r="G606" s="7" t="s">
        <v>18</v>
      </c>
      <c r="H606" s="1">
        <f t="shared" si="9"/>
        <v>0.9984257613500459</v>
      </c>
    </row>
    <row r="607" spans="1:8" x14ac:dyDescent="0.25">
      <c r="A607" s="1" t="s">
        <v>7</v>
      </c>
      <c r="B607" s="1" t="s">
        <v>11</v>
      </c>
      <c r="C607" s="6">
        <v>46521</v>
      </c>
      <c r="D607" s="6">
        <v>21114</v>
      </c>
      <c r="E607" s="6">
        <v>21114</v>
      </c>
      <c r="F607" s="6">
        <v>21114</v>
      </c>
      <c r="G607" s="7" t="s">
        <v>18</v>
      </c>
      <c r="H607" s="1">
        <f t="shared" si="9"/>
        <v>0.4538595473012188</v>
      </c>
    </row>
    <row r="608" spans="1:8" x14ac:dyDescent="0.25">
      <c r="A608" s="1" t="s">
        <v>7</v>
      </c>
      <c r="B608" s="1" t="s">
        <v>11</v>
      </c>
      <c r="C608" s="6">
        <v>12000</v>
      </c>
      <c r="D608" s="6">
        <v>0</v>
      </c>
      <c r="E608" s="6">
        <v>0</v>
      </c>
      <c r="F608" s="6">
        <v>0</v>
      </c>
      <c r="G608" s="7" t="s">
        <v>18</v>
      </c>
      <c r="H608" s="1">
        <f t="shared" si="9"/>
        <v>0</v>
      </c>
    </row>
    <row r="609" spans="1:8" x14ac:dyDescent="0.25">
      <c r="A609" s="1" t="s">
        <v>7</v>
      </c>
      <c r="B609" s="1" t="s">
        <v>11</v>
      </c>
      <c r="C609" s="6">
        <v>344003</v>
      </c>
      <c r="D609" s="6">
        <v>17415.560000000001</v>
      </c>
      <c r="E609" s="6">
        <v>17415.560000000001</v>
      </c>
      <c r="F609" s="6">
        <v>17415.560000000001</v>
      </c>
      <c r="G609" s="7" t="s">
        <v>18</v>
      </c>
      <c r="H609" s="1">
        <f t="shared" si="9"/>
        <v>5.0626186399537219E-2</v>
      </c>
    </row>
    <row r="610" spans="1:8" x14ac:dyDescent="0.25">
      <c r="A610" s="1" t="s">
        <v>7</v>
      </c>
      <c r="B610" s="1" t="s">
        <v>11</v>
      </c>
      <c r="C610" s="6">
        <v>7970107</v>
      </c>
      <c r="D610" s="6">
        <v>0</v>
      </c>
      <c r="E610" s="6">
        <v>0</v>
      </c>
      <c r="F610" s="6">
        <v>0</v>
      </c>
      <c r="G610" s="7" t="s">
        <v>18</v>
      </c>
      <c r="H610" s="1">
        <f t="shared" si="9"/>
        <v>0</v>
      </c>
    </row>
    <row r="611" spans="1:8" x14ac:dyDescent="0.25">
      <c r="A611" s="1" t="s">
        <v>7</v>
      </c>
      <c r="B611" s="1" t="s">
        <v>11</v>
      </c>
      <c r="C611" s="6">
        <v>480000</v>
      </c>
      <c r="D611" s="6">
        <v>272250</v>
      </c>
      <c r="E611" s="6">
        <v>240000</v>
      </c>
      <c r="F611" s="6">
        <v>240000</v>
      </c>
      <c r="G611" s="7" t="s">
        <v>18</v>
      </c>
      <c r="H611" s="1">
        <f t="shared" si="9"/>
        <v>0.56718749999999996</v>
      </c>
    </row>
    <row r="612" spans="1:8" x14ac:dyDescent="0.25">
      <c r="A612" s="1" t="s">
        <v>7</v>
      </c>
      <c r="B612" s="1" t="s">
        <v>11</v>
      </c>
      <c r="C612" s="6">
        <v>9000</v>
      </c>
      <c r="D612" s="6">
        <v>0</v>
      </c>
      <c r="E612" s="6">
        <v>0</v>
      </c>
      <c r="F612" s="6">
        <v>0</v>
      </c>
      <c r="G612" s="7" t="s">
        <v>18</v>
      </c>
      <c r="H612" s="1">
        <f t="shared" si="9"/>
        <v>0</v>
      </c>
    </row>
    <row r="613" spans="1:8" x14ac:dyDescent="0.25">
      <c r="A613" s="1" t="s">
        <v>7</v>
      </c>
      <c r="B613" s="1" t="s">
        <v>11</v>
      </c>
      <c r="C613" s="6">
        <v>6330897</v>
      </c>
      <c r="D613" s="6">
        <v>5686946.1399999997</v>
      </c>
      <c r="E613" s="6">
        <v>5686946.1399999997</v>
      </c>
      <c r="F613" s="6">
        <v>5189114.92</v>
      </c>
      <c r="G613" s="7" t="s">
        <v>18</v>
      </c>
      <c r="H613" s="1">
        <f t="shared" si="9"/>
        <v>0.89828442004347875</v>
      </c>
    </row>
    <row r="614" spans="1:8" x14ac:dyDescent="0.25">
      <c r="A614" s="1" t="s">
        <v>7</v>
      </c>
      <c r="B614" s="1" t="s">
        <v>11</v>
      </c>
      <c r="C614" s="6">
        <v>9000</v>
      </c>
      <c r="D614" s="6">
        <v>0</v>
      </c>
      <c r="E614" s="6">
        <v>0</v>
      </c>
      <c r="F614" s="6">
        <v>0</v>
      </c>
      <c r="G614" s="7" t="s">
        <v>18</v>
      </c>
      <c r="H614" s="1">
        <f t="shared" si="9"/>
        <v>0</v>
      </c>
    </row>
    <row r="615" spans="1:8" x14ac:dyDescent="0.25">
      <c r="A615" s="1" t="s">
        <v>7</v>
      </c>
      <c r="B615" s="1" t="s">
        <v>11</v>
      </c>
      <c r="C615" s="6">
        <v>25000</v>
      </c>
      <c r="D615" s="6">
        <v>0</v>
      </c>
      <c r="E615" s="6">
        <v>0</v>
      </c>
      <c r="F615" s="6">
        <v>0</v>
      </c>
      <c r="G615" s="7" t="s">
        <v>18</v>
      </c>
      <c r="H615" s="1">
        <f t="shared" si="9"/>
        <v>0</v>
      </c>
    </row>
    <row r="616" spans="1:8" x14ac:dyDescent="0.25">
      <c r="A616" s="1" t="s">
        <v>7</v>
      </c>
      <c r="B616" s="1" t="s">
        <v>11</v>
      </c>
      <c r="C616" s="6">
        <v>1550</v>
      </c>
      <c r="D616" s="6">
        <v>1692.1724999999999</v>
      </c>
      <c r="E616" s="6">
        <v>1691.8125</v>
      </c>
      <c r="F616" s="6">
        <v>1691.8125</v>
      </c>
      <c r="G616" s="7" t="s">
        <v>18</v>
      </c>
      <c r="H616" s="1">
        <f t="shared" si="9"/>
        <v>1.091724193548387</v>
      </c>
    </row>
    <row r="617" spans="1:8" x14ac:dyDescent="0.25">
      <c r="A617" s="1" t="s">
        <v>7</v>
      </c>
      <c r="B617" s="1" t="s">
        <v>11</v>
      </c>
      <c r="C617" s="6">
        <v>8376.5</v>
      </c>
      <c r="D617" s="6">
        <v>0</v>
      </c>
      <c r="E617" s="6">
        <v>0</v>
      </c>
      <c r="F617" s="6">
        <v>0</v>
      </c>
      <c r="G617" s="7" t="s">
        <v>18</v>
      </c>
      <c r="H617" s="1">
        <f t="shared" si="9"/>
        <v>0</v>
      </c>
    </row>
    <row r="618" spans="1:8" x14ac:dyDescent="0.25">
      <c r="A618" s="1" t="s">
        <v>7</v>
      </c>
      <c r="B618" s="1" t="s">
        <v>11</v>
      </c>
      <c r="C618" s="6">
        <v>1650</v>
      </c>
      <c r="D618" s="6">
        <v>0</v>
      </c>
      <c r="E618" s="6">
        <v>0</v>
      </c>
      <c r="F618" s="6">
        <v>0</v>
      </c>
      <c r="G618" s="7" t="s">
        <v>18</v>
      </c>
      <c r="H618" s="1">
        <f t="shared" si="9"/>
        <v>0</v>
      </c>
    </row>
    <row r="619" spans="1:8" x14ac:dyDescent="0.25">
      <c r="A619" s="1" t="s">
        <v>7</v>
      </c>
      <c r="B619" s="1" t="s">
        <v>11</v>
      </c>
      <c r="C619" s="6">
        <v>19805</v>
      </c>
      <c r="D619" s="6">
        <v>17638.762500000001</v>
      </c>
      <c r="E619" s="6">
        <v>0</v>
      </c>
      <c r="F619" s="6">
        <v>0</v>
      </c>
      <c r="G619" s="7" t="s">
        <v>18</v>
      </c>
      <c r="H619" s="1">
        <f t="shared" si="9"/>
        <v>0.89062168644281747</v>
      </c>
    </row>
    <row r="620" spans="1:8" x14ac:dyDescent="0.25">
      <c r="A620" s="1" t="s">
        <v>7</v>
      </c>
      <c r="B620" s="1" t="s">
        <v>11</v>
      </c>
      <c r="C620" s="6">
        <v>16250</v>
      </c>
      <c r="D620" s="6">
        <v>0</v>
      </c>
      <c r="E620" s="6">
        <v>0</v>
      </c>
      <c r="F620" s="6">
        <v>0</v>
      </c>
      <c r="G620" s="7" t="s">
        <v>18</v>
      </c>
      <c r="H620" s="1">
        <f t="shared" si="9"/>
        <v>0</v>
      </c>
    </row>
    <row r="621" spans="1:8" x14ac:dyDescent="0.25">
      <c r="A621" s="1" t="s">
        <v>7</v>
      </c>
      <c r="B621" s="1" t="s">
        <v>11</v>
      </c>
      <c r="C621" s="6">
        <v>125000</v>
      </c>
      <c r="D621" s="6">
        <v>0</v>
      </c>
      <c r="E621" s="6">
        <v>0</v>
      </c>
      <c r="F621" s="6">
        <v>0</v>
      </c>
      <c r="G621" s="7" t="s">
        <v>18</v>
      </c>
      <c r="H621" s="1">
        <f t="shared" si="9"/>
        <v>0</v>
      </c>
    </row>
    <row r="622" spans="1:8" x14ac:dyDescent="0.25">
      <c r="A622" s="1" t="s">
        <v>7</v>
      </c>
      <c r="B622" s="1" t="s">
        <v>11</v>
      </c>
      <c r="C622" s="6">
        <v>12500</v>
      </c>
      <c r="D622" s="6">
        <v>0</v>
      </c>
      <c r="E622" s="6">
        <v>0</v>
      </c>
      <c r="F622" s="6">
        <v>0</v>
      </c>
      <c r="G622" s="7" t="s">
        <v>18</v>
      </c>
      <c r="H622" s="1">
        <f t="shared" si="9"/>
        <v>0</v>
      </c>
    </row>
    <row r="623" spans="1:8" x14ac:dyDescent="0.25">
      <c r="A623" s="1" t="s">
        <v>7</v>
      </c>
      <c r="B623" s="1" t="s">
        <v>11</v>
      </c>
      <c r="C623" s="6">
        <v>86738.75</v>
      </c>
      <c r="D623" s="6">
        <v>59152.855000000003</v>
      </c>
      <c r="E623" s="6">
        <v>57470.462500000001</v>
      </c>
      <c r="F623" s="6">
        <v>57470.462500000001</v>
      </c>
      <c r="G623" s="7" t="s">
        <v>18</v>
      </c>
      <c r="H623" s="1">
        <f t="shared" si="9"/>
        <v>0.68196573042613595</v>
      </c>
    </row>
    <row r="624" spans="1:8" x14ac:dyDescent="0.25">
      <c r="A624" s="1" t="s">
        <v>7</v>
      </c>
      <c r="B624" s="1" t="s">
        <v>11</v>
      </c>
      <c r="C624" s="6">
        <v>30600</v>
      </c>
      <c r="D624" s="6">
        <v>0</v>
      </c>
      <c r="E624" s="6">
        <v>0</v>
      </c>
      <c r="F624" s="6">
        <v>0</v>
      </c>
      <c r="G624" s="7" t="s">
        <v>18</v>
      </c>
      <c r="H624" s="1">
        <f t="shared" si="9"/>
        <v>0</v>
      </c>
    </row>
    <row r="625" spans="1:8" x14ac:dyDescent="0.25">
      <c r="A625" s="1" t="s">
        <v>7</v>
      </c>
      <c r="B625" s="1" t="s">
        <v>11</v>
      </c>
      <c r="C625" s="6">
        <v>762363.3</v>
      </c>
      <c r="D625" s="6">
        <v>711384.04</v>
      </c>
      <c r="E625" s="6">
        <v>594517.71</v>
      </c>
      <c r="F625" s="6">
        <v>594517.71</v>
      </c>
      <c r="G625" s="7" t="s">
        <v>18</v>
      </c>
      <c r="H625" s="1">
        <f t="shared" si="9"/>
        <v>0.93312996572631446</v>
      </c>
    </row>
    <row r="626" spans="1:8" x14ac:dyDescent="0.25">
      <c r="A626" s="1" t="s">
        <v>7</v>
      </c>
      <c r="B626" s="1" t="s">
        <v>11</v>
      </c>
      <c r="C626" s="6">
        <v>297500</v>
      </c>
      <c r="D626" s="6">
        <v>0</v>
      </c>
      <c r="E626" s="6">
        <v>0</v>
      </c>
      <c r="F626" s="6">
        <v>0</v>
      </c>
      <c r="G626" s="7" t="s">
        <v>18</v>
      </c>
      <c r="H626" s="1">
        <f t="shared" si="9"/>
        <v>0</v>
      </c>
    </row>
    <row r="627" spans="1:8" x14ac:dyDescent="0.25">
      <c r="A627" s="1" t="s">
        <v>16</v>
      </c>
      <c r="B627" s="1" t="s">
        <v>17</v>
      </c>
      <c r="C627" s="6">
        <v>4500</v>
      </c>
      <c r="D627" s="6">
        <v>0</v>
      </c>
      <c r="E627" s="6">
        <v>0</v>
      </c>
      <c r="F627" s="6">
        <v>0</v>
      </c>
      <c r="G627" s="7" t="s">
        <v>18</v>
      </c>
      <c r="H627" s="1">
        <f t="shared" si="9"/>
        <v>0</v>
      </c>
    </row>
    <row r="628" spans="1:8" x14ac:dyDescent="0.25">
      <c r="A628" s="1" t="s">
        <v>16</v>
      </c>
      <c r="B628" s="1" t="s">
        <v>17</v>
      </c>
      <c r="C628" s="6">
        <v>3250</v>
      </c>
      <c r="D628" s="6">
        <v>0</v>
      </c>
      <c r="E628" s="6">
        <v>0</v>
      </c>
      <c r="F628" s="6">
        <v>0</v>
      </c>
      <c r="G628" s="7" t="s">
        <v>18</v>
      </c>
      <c r="H628" s="1">
        <f t="shared" si="9"/>
        <v>0</v>
      </c>
    </row>
    <row r="629" spans="1:8" x14ac:dyDescent="0.25">
      <c r="A629" s="1" t="s">
        <v>16</v>
      </c>
      <c r="B629" s="1" t="s">
        <v>17</v>
      </c>
      <c r="C629" s="6">
        <v>10573915.5</v>
      </c>
      <c r="D629" s="6">
        <v>13815578.327500001</v>
      </c>
      <c r="E629" s="6">
        <v>13558802.9625</v>
      </c>
      <c r="F629" s="6">
        <v>13533222.727499999</v>
      </c>
      <c r="G629" s="7" t="s">
        <v>18</v>
      </c>
      <c r="H629" s="1">
        <f t="shared" si="9"/>
        <v>1.3065716599967157</v>
      </c>
    </row>
    <row r="630" spans="1:8" x14ac:dyDescent="0.25">
      <c r="A630" s="1" t="s">
        <v>16</v>
      </c>
      <c r="B630" s="1" t="s">
        <v>17</v>
      </c>
      <c r="C630" s="6">
        <v>348689.75</v>
      </c>
      <c r="D630" s="6">
        <v>349263.35999999999</v>
      </c>
      <c r="E630" s="6">
        <v>349263.35999999999</v>
      </c>
      <c r="F630" s="6">
        <v>349263.35999999999</v>
      </c>
      <c r="G630" s="7" t="s">
        <v>18</v>
      </c>
      <c r="H630" s="1">
        <f t="shared" si="9"/>
        <v>1.0016450440542057</v>
      </c>
    </row>
    <row r="631" spans="1:8" x14ac:dyDescent="0.25">
      <c r="A631" s="1" t="s">
        <v>16</v>
      </c>
      <c r="B631" s="1" t="s">
        <v>17</v>
      </c>
      <c r="C631" s="6">
        <v>935980.5</v>
      </c>
      <c r="D631" s="6">
        <v>804248.65749999997</v>
      </c>
      <c r="E631" s="6">
        <v>804248.65749999997</v>
      </c>
      <c r="F631" s="6">
        <v>804248.65749999997</v>
      </c>
      <c r="G631" s="7" t="s">
        <v>18</v>
      </c>
      <c r="H631" s="1">
        <f t="shared" si="9"/>
        <v>0.85925791990324585</v>
      </c>
    </row>
    <row r="632" spans="1:8" x14ac:dyDescent="0.25">
      <c r="A632" s="1" t="s">
        <v>16</v>
      </c>
      <c r="B632" s="1" t="s">
        <v>17</v>
      </c>
      <c r="C632" s="6">
        <v>4005633</v>
      </c>
      <c r="D632" s="6">
        <v>4003631.16</v>
      </c>
      <c r="E632" s="6">
        <v>4003631.16</v>
      </c>
      <c r="F632" s="6">
        <v>4003631.16</v>
      </c>
      <c r="G632" s="7" t="s">
        <v>18</v>
      </c>
      <c r="H632" s="1">
        <f t="shared" si="9"/>
        <v>0.99950024378169444</v>
      </c>
    </row>
    <row r="633" spans="1:8" x14ac:dyDescent="0.25">
      <c r="A633" s="1" t="s">
        <v>16</v>
      </c>
      <c r="B633" s="1" t="s">
        <v>17</v>
      </c>
      <c r="C633" s="6">
        <v>644000</v>
      </c>
      <c r="D633" s="6">
        <v>0</v>
      </c>
      <c r="E633" s="6">
        <v>0</v>
      </c>
      <c r="F633" s="6">
        <v>0</v>
      </c>
      <c r="G633" s="7" t="s">
        <v>18</v>
      </c>
      <c r="H633" s="1">
        <f t="shared" si="9"/>
        <v>0</v>
      </c>
    </row>
    <row r="634" spans="1:8" x14ac:dyDescent="0.25">
      <c r="A634" s="1" t="s">
        <v>16</v>
      </c>
      <c r="B634" s="1" t="s">
        <v>17</v>
      </c>
      <c r="C634" s="6">
        <v>644610</v>
      </c>
      <c r="D634" s="6">
        <v>0</v>
      </c>
      <c r="E634" s="6">
        <v>0</v>
      </c>
      <c r="F634" s="6">
        <v>0</v>
      </c>
      <c r="G634" s="7" t="s">
        <v>18</v>
      </c>
      <c r="H634" s="1">
        <f t="shared" si="9"/>
        <v>0</v>
      </c>
    </row>
    <row r="635" spans="1:8" x14ac:dyDescent="0.25">
      <c r="A635" s="1" t="s">
        <v>16</v>
      </c>
      <c r="B635" s="1" t="s">
        <v>17</v>
      </c>
      <c r="C635" s="6">
        <v>275927</v>
      </c>
      <c r="D635" s="6">
        <v>0</v>
      </c>
      <c r="E635" s="6">
        <v>0</v>
      </c>
      <c r="F635" s="6">
        <v>0</v>
      </c>
      <c r="G635" s="7" t="s">
        <v>18</v>
      </c>
      <c r="H635" s="1">
        <f t="shared" si="9"/>
        <v>0</v>
      </c>
    </row>
    <row r="636" spans="1:8" x14ac:dyDescent="0.25">
      <c r="A636" s="1" t="s">
        <v>16</v>
      </c>
      <c r="B636" s="1" t="s">
        <v>17</v>
      </c>
      <c r="C636" s="6">
        <v>26359307</v>
      </c>
      <c r="D636" s="6">
        <v>24877865.489999998</v>
      </c>
      <c r="E636" s="6">
        <v>24672358.370000001</v>
      </c>
      <c r="F636" s="6">
        <v>24671570.25</v>
      </c>
      <c r="G636" s="7" t="s">
        <v>18</v>
      </c>
      <c r="H636" s="1">
        <f t="shared" si="9"/>
        <v>0.94379816168915209</v>
      </c>
    </row>
    <row r="637" spans="1:8" x14ac:dyDescent="0.25">
      <c r="A637" s="1" t="s">
        <v>16</v>
      </c>
      <c r="B637" s="1" t="s">
        <v>17</v>
      </c>
      <c r="C637" s="6">
        <v>1092955</v>
      </c>
      <c r="D637" s="6">
        <v>1160742.18</v>
      </c>
      <c r="E637" s="6">
        <v>1160742.18</v>
      </c>
      <c r="F637" s="6">
        <v>982166.46</v>
      </c>
      <c r="G637" s="7" t="s">
        <v>18</v>
      </c>
      <c r="H637" s="1">
        <f t="shared" si="9"/>
        <v>1.062021931369544</v>
      </c>
    </row>
    <row r="638" spans="1:8" x14ac:dyDescent="0.25">
      <c r="A638" s="1" t="s">
        <v>16</v>
      </c>
      <c r="B638" s="1" t="s">
        <v>17</v>
      </c>
      <c r="C638" s="6">
        <v>25000</v>
      </c>
      <c r="D638" s="6">
        <v>0</v>
      </c>
      <c r="E638" s="6">
        <v>0</v>
      </c>
      <c r="F638" s="6">
        <v>0</v>
      </c>
      <c r="G638" s="7" t="s">
        <v>18</v>
      </c>
      <c r="H638" s="1">
        <f t="shared" si="9"/>
        <v>0</v>
      </c>
    </row>
    <row r="639" spans="1:8" x14ac:dyDescent="0.25">
      <c r="A639" s="1" t="s">
        <v>16</v>
      </c>
      <c r="B639" s="1" t="s">
        <v>17</v>
      </c>
      <c r="C639" s="6">
        <v>7500</v>
      </c>
      <c r="D639" s="6">
        <v>0</v>
      </c>
      <c r="E639" s="6">
        <v>0</v>
      </c>
      <c r="F639" s="6">
        <v>0</v>
      </c>
      <c r="G639" s="7" t="s">
        <v>18</v>
      </c>
      <c r="H639" s="1">
        <f t="shared" si="9"/>
        <v>0</v>
      </c>
    </row>
    <row r="640" spans="1:8" x14ac:dyDescent="0.25">
      <c r="A640" s="1" t="s">
        <v>16</v>
      </c>
      <c r="B640" s="1" t="s">
        <v>17</v>
      </c>
      <c r="C640" s="6">
        <v>873370</v>
      </c>
      <c r="D640" s="6">
        <v>416854.48</v>
      </c>
      <c r="E640" s="6">
        <v>416235.43</v>
      </c>
      <c r="F640" s="6">
        <v>415693.06</v>
      </c>
      <c r="G640" s="7" t="s">
        <v>18</v>
      </c>
      <c r="H640" s="1">
        <f t="shared" si="9"/>
        <v>0.47729425100472878</v>
      </c>
    </row>
    <row r="641" spans="1:8" x14ac:dyDescent="0.25">
      <c r="A641" s="1" t="s">
        <v>16</v>
      </c>
      <c r="B641" s="1" t="s">
        <v>17</v>
      </c>
      <c r="C641" s="6">
        <v>356400</v>
      </c>
      <c r="D641" s="6">
        <v>346632</v>
      </c>
      <c r="E641" s="6">
        <v>345420</v>
      </c>
      <c r="F641" s="6">
        <v>345420</v>
      </c>
      <c r="G641" s="7" t="s">
        <v>18</v>
      </c>
      <c r="H641" s="1">
        <f t="shared" si="9"/>
        <v>0.97259259259259256</v>
      </c>
    </row>
    <row r="642" spans="1:8" x14ac:dyDescent="0.25">
      <c r="A642" s="1" t="s">
        <v>16</v>
      </c>
      <c r="B642" s="1" t="s">
        <v>17</v>
      </c>
      <c r="C642" s="6">
        <v>739200</v>
      </c>
      <c r="D642" s="6">
        <v>578124</v>
      </c>
      <c r="E642" s="6">
        <v>576912</v>
      </c>
      <c r="F642" s="6">
        <v>576912</v>
      </c>
      <c r="G642" s="7" t="s">
        <v>18</v>
      </c>
      <c r="H642" s="1">
        <f t="shared" ref="H642:H705" si="10">IF(OR(ISNA($D642),ISNA($C642),$C642=0),0,$D642/$C642)</f>
        <v>0.78209415584415587</v>
      </c>
    </row>
    <row r="643" spans="1:8" x14ac:dyDescent="0.25">
      <c r="A643" s="1" t="s">
        <v>16</v>
      </c>
      <c r="B643" s="1" t="s">
        <v>17</v>
      </c>
      <c r="C643" s="6">
        <v>581764</v>
      </c>
      <c r="D643" s="6">
        <v>601909.55000000005</v>
      </c>
      <c r="E643" s="6">
        <v>56315.26</v>
      </c>
      <c r="F643" s="6">
        <v>50726.48</v>
      </c>
      <c r="G643" s="7" t="s">
        <v>18</v>
      </c>
      <c r="H643" s="1">
        <f t="shared" si="10"/>
        <v>1.03462838883121</v>
      </c>
    </row>
    <row r="644" spans="1:8" x14ac:dyDescent="0.25">
      <c r="A644" s="1" t="s">
        <v>16</v>
      </c>
      <c r="B644" s="1" t="s">
        <v>17</v>
      </c>
      <c r="C644" s="6">
        <v>11400</v>
      </c>
      <c r="D644" s="6">
        <v>0</v>
      </c>
      <c r="E644" s="6">
        <v>0</v>
      </c>
      <c r="F644" s="6">
        <v>0</v>
      </c>
      <c r="G644" s="7" t="s">
        <v>18</v>
      </c>
      <c r="H644" s="1">
        <f t="shared" si="10"/>
        <v>0</v>
      </c>
    </row>
    <row r="645" spans="1:8" x14ac:dyDescent="0.25">
      <c r="A645" s="1" t="s">
        <v>16</v>
      </c>
      <c r="B645" s="1" t="s">
        <v>17</v>
      </c>
      <c r="C645" s="6">
        <v>1108761</v>
      </c>
      <c r="D645" s="6">
        <v>806670.55</v>
      </c>
      <c r="E645" s="6">
        <v>802308.89</v>
      </c>
      <c r="F645" s="6">
        <v>801581.35</v>
      </c>
      <c r="G645" s="7" t="s">
        <v>18</v>
      </c>
      <c r="H645" s="1">
        <f t="shared" si="10"/>
        <v>0.72754231976052552</v>
      </c>
    </row>
    <row r="646" spans="1:8" x14ac:dyDescent="0.25">
      <c r="A646" s="1" t="s">
        <v>16</v>
      </c>
      <c r="B646" s="1" t="s">
        <v>17</v>
      </c>
      <c r="C646" s="6">
        <v>675198.25</v>
      </c>
      <c r="D646" s="6">
        <v>226273.255</v>
      </c>
      <c r="E646" s="6">
        <v>113733.0675</v>
      </c>
      <c r="F646" s="6">
        <v>113733.0675</v>
      </c>
      <c r="G646" s="7" t="s">
        <v>18</v>
      </c>
      <c r="H646" s="1">
        <f t="shared" si="10"/>
        <v>0.33512121069626588</v>
      </c>
    </row>
    <row r="647" spans="1:8" x14ac:dyDescent="0.25">
      <c r="A647" s="1" t="s">
        <v>16</v>
      </c>
      <c r="B647" s="1" t="s">
        <v>17</v>
      </c>
      <c r="C647" s="6">
        <v>5000</v>
      </c>
      <c r="D647" s="6">
        <v>0</v>
      </c>
      <c r="E647" s="6">
        <v>0</v>
      </c>
      <c r="F647" s="6">
        <v>0</v>
      </c>
      <c r="G647" s="7" t="s">
        <v>18</v>
      </c>
      <c r="H647" s="1">
        <f t="shared" si="10"/>
        <v>0</v>
      </c>
    </row>
    <row r="648" spans="1:8" x14ac:dyDescent="0.25">
      <c r="A648" s="1" t="s">
        <v>16</v>
      </c>
      <c r="B648" s="1" t="s">
        <v>17</v>
      </c>
      <c r="C648" s="6">
        <v>3000</v>
      </c>
      <c r="D648" s="6">
        <v>0</v>
      </c>
      <c r="E648" s="6">
        <v>0</v>
      </c>
      <c r="F648" s="6">
        <v>0</v>
      </c>
      <c r="G648" s="7" t="s">
        <v>18</v>
      </c>
      <c r="H648" s="1">
        <f t="shared" si="10"/>
        <v>0</v>
      </c>
    </row>
    <row r="649" spans="1:8" x14ac:dyDescent="0.25">
      <c r="A649" s="1" t="s">
        <v>16</v>
      </c>
      <c r="B649" s="1" t="s">
        <v>17</v>
      </c>
      <c r="C649" s="6">
        <v>30000</v>
      </c>
      <c r="D649" s="6">
        <v>0</v>
      </c>
      <c r="E649" s="6">
        <v>0</v>
      </c>
      <c r="F649" s="6">
        <v>0</v>
      </c>
      <c r="G649" s="7" t="s">
        <v>18</v>
      </c>
      <c r="H649" s="1">
        <f t="shared" si="10"/>
        <v>0</v>
      </c>
    </row>
    <row r="650" spans="1:8" x14ac:dyDescent="0.25">
      <c r="A650" s="1" t="s">
        <v>16</v>
      </c>
      <c r="B650" s="1" t="s">
        <v>17</v>
      </c>
      <c r="C650" s="6">
        <v>7500</v>
      </c>
      <c r="D650" s="6">
        <v>0</v>
      </c>
      <c r="E650" s="6">
        <v>0</v>
      </c>
      <c r="F650" s="6">
        <v>0</v>
      </c>
      <c r="G650" s="7" t="s">
        <v>18</v>
      </c>
      <c r="H650" s="1">
        <f t="shared" si="10"/>
        <v>0</v>
      </c>
    </row>
    <row r="651" spans="1:8" x14ac:dyDescent="0.25">
      <c r="A651" s="1" t="s">
        <v>16</v>
      </c>
      <c r="B651" s="1" t="s">
        <v>17</v>
      </c>
      <c r="C651" s="6">
        <v>30000</v>
      </c>
      <c r="D651" s="6">
        <v>0</v>
      </c>
      <c r="E651" s="6">
        <v>0</v>
      </c>
      <c r="F651" s="6">
        <v>0</v>
      </c>
      <c r="G651" s="7" t="s">
        <v>18</v>
      </c>
      <c r="H651" s="1">
        <f t="shared" si="10"/>
        <v>0</v>
      </c>
    </row>
    <row r="652" spans="1:8" x14ac:dyDescent="0.25">
      <c r="A652" s="1" t="s">
        <v>16</v>
      </c>
      <c r="B652" s="1" t="s">
        <v>17</v>
      </c>
      <c r="C652" s="6">
        <v>30000</v>
      </c>
      <c r="D652" s="6">
        <v>0</v>
      </c>
      <c r="E652" s="6">
        <v>0</v>
      </c>
      <c r="F652" s="6">
        <v>0</v>
      </c>
      <c r="G652" s="7" t="s">
        <v>18</v>
      </c>
      <c r="H652" s="1">
        <f t="shared" si="10"/>
        <v>0</v>
      </c>
    </row>
    <row r="653" spans="1:8" x14ac:dyDescent="0.25">
      <c r="A653" s="1" t="s">
        <v>16</v>
      </c>
      <c r="B653" s="1" t="s">
        <v>17</v>
      </c>
      <c r="C653" s="6">
        <v>50000</v>
      </c>
      <c r="D653" s="6">
        <v>0</v>
      </c>
      <c r="E653" s="6">
        <v>0</v>
      </c>
      <c r="F653" s="6">
        <v>0</v>
      </c>
      <c r="G653" s="7" t="s">
        <v>18</v>
      </c>
      <c r="H653" s="1">
        <f t="shared" si="10"/>
        <v>0</v>
      </c>
    </row>
    <row r="654" spans="1:8" x14ac:dyDescent="0.25">
      <c r="A654" s="1" t="s">
        <v>16</v>
      </c>
      <c r="B654" s="1" t="s">
        <v>17</v>
      </c>
      <c r="C654" s="6">
        <v>50000</v>
      </c>
      <c r="D654" s="6">
        <v>0</v>
      </c>
      <c r="E654" s="6">
        <v>0</v>
      </c>
      <c r="F654" s="6">
        <v>0</v>
      </c>
      <c r="G654" s="7" t="s">
        <v>18</v>
      </c>
      <c r="H654" s="1">
        <f t="shared" si="10"/>
        <v>0</v>
      </c>
    </row>
    <row r="655" spans="1:8" x14ac:dyDescent="0.25">
      <c r="A655" s="1" t="s">
        <v>16</v>
      </c>
      <c r="B655" s="1" t="s">
        <v>17</v>
      </c>
      <c r="C655" s="6">
        <v>5000</v>
      </c>
      <c r="D655" s="6">
        <v>0</v>
      </c>
      <c r="E655" s="6">
        <v>0</v>
      </c>
      <c r="F655" s="6">
        <v>0</v>
      </c>
      <c r="G655" s="7" t="s">
        <v>18</v>
      </c>
      <c r="H655" s="1">
        <f t="shared" si="10"/>
        <v>0</v>
      </c>
    </row>
    <row r="656" spans="1:8" x14ac:dyDescent="0.25">
      <c r="A656" s="1" t="s">
        <v>16</v>
      </c>
      <c r="B656" s="1" t="s">
        <v>17</v>
      </c>
      <c r="C656" s="6">
        <v>50000</v>
      </c>
      <c r="D656" s="6">
        <v>0</v>
      </c>
      <c r="E656" s="6">
        <v>0</v>
      </c>
      <c r="F656" s="6">
        <v>0</v>
      </c>
      <c r="G656" s="7" t="s">
        <v>18</v>
      </c>
      <c r="H656" s="1">
        <f t="shared" si="10"/>
        <v>0</v>
      </c>
    </row>
    <row r="657" spans="1:8" x14ac:dyDescent="0.25">
      <c r="A657" s="1" t="s">
        <v>16</v>
      </c>
      <c r="B657" s="1" t="s">
        <v>17</v>
      </c>
      <c r="C657" s="6">
        <v>30805</v>
      </c>
      <c r="D657" s="6">
        <v>0</v>
      </c>
      <c r="E657" s="6">
        <v>0</v>
      </c>
      <c r="F657" s="6">
        <v>0</v>
      </c>
      <c r="G657" s="7" t="s">
        <v>18</v>
      </c>
      <c r="H657" s="1">
        <f t="shared" si="10"/>
        <v>0</v>
      </c>
    </row>
    <row r="658" spans="1:8" x14ac:dyDescent="0.25">
      <c r="A658" s="1" t="s">
        <v>16</v>
      </c>
      <c r="B658" s="1" t="s">
        <v>17</v>
      </c>
      <c r="C658" s="6">
        <v>8695737.75</v>
      </c>
      <c r="D658" s="6">
        <v>8437383.8574999999</v>
      </c>
      <c r="E658" s="6">
        <v>8025106.8674999997</v>
      </c>
      <c r="F658" s="6">
        <v>8008281.0199999996</v>
      </c>
      <c r="G658" s="7" t="s">
        <v>18</v>
      </c>
      <c r="H658" s="1">
        <f t="shared" si="10"/>
        <v>0.97028959475002563</v>
      </c>
    </row>
    <row r="659" spans="1:8" x14ac:dyDescent="0.25">
      <c r="A659" s="1" t="s">
        <v>16</v>
      </c>
      <c r="B659" s="1" t="s">
        <v>17</v>
      </c>
      <c r="C659" s="6">
        <v>1704524.75</v>
      </c>
      <c r="D659" s="6">
        <v>2128910.3424999998</v>
      </c>
      <c r="E659" s="6">
        <v>2126151.2374999998</v>
      </c>
      <c r="F659" s="6">
        <v>2049149.2625</v>
      </c>
      <c r="G659" s="7" t="s">
        <v>18</v>
      </c>
      <c r="H659" s="1">
        <f t="shared" si="10"/>
        <v>1.2489759051606613</v>
      </c>
    </row>
    <row r="660" spans="1:8" x14ac:dyDescent="0.25">
      <c r="A660" s="1" t="s">
        <v>16</v>
      </c>
      <c r="B660" s="1" t="s">
        <v>17</v>
      </c>
      <c r="C660" s="6">
        <v>0</v>
      </c>
      <c r="D660" s="6">
        <v>69111.75</v>
      </c>
      <c r="E660" s="6">
        <v>61524.417500000003</v>
      </c>
      <c r="F660" s="6">
        <v>53290.39</v>
      </c>
      <c r="G660" s="7" t="s">
        <v>18</v>
      </c>
      <c r="H660" s="1">
        <f t="shared" si="10"/>
        <v>0</v>
      </c>
    </row>
    <row r="661" spans="1:8" x14ac:dyDescent="0.25">
      <c r="A661" s="1" t="s">
        <v>16</v>
      </c>
      <c r="B661" s="1" t="s">
        <v>17</v>
      </c>
      <c r="C661" s="6">
        <v>7500</v>
      </c>
      <c r="D661" s="6">
        <v>0</v>
      </c>
      <c r="E661" s="6">
        <v>0</v>
      </c>
      <c r="F661" s="6">
        <v>0</v>
      </c>
      <c r="G661" s="7" t="s">
        <v>18</v>
      </c>
      <c r="H661" s="1">
        <f t="shared" si="10"/>
        <v>0</v>
      </c>
    </row>
    <row r="662" spans="1:8" x14ac:dyDescent="0.25">
      <c r="A662" s="1" t="s">
        <v>16</v>
      </c>
      <c r="B662" s="1" t="s">
        <v>17</v>
      </c>
      <c r="C662" s="6">
        <v>12500</v>
      </c>
      <c r="D662" s="6">
        <v>0</v>
      </c>
      <c r="E662" s="6">
        <v>0</v>
      </c>
      <c r="F662" s="6">
        <v>0</v>
      </c>
      <c r="G662" s="7" t="s">
        <v>18</v>
      </c>
      <c r="H662" s="1">
        <f t="shared" si="10"/>
        <v>0</v>
      </c>
    </row>
    <row r="663" spans="1:8" x14ac:dyDescent="0.25">
      <c r="A663" s="1" t="s">
        <v>16</v>
      </c>
      <c r="B663" s="1" t="s">
        <v>17</v>
      </c>
      <c r="C663" s="6">
        <v>59000</v>
      </c>
      <c r="D663" s="6">
        <v>0</v>
      </c>
      <c r="E663" s="6">
        <v>0</v>
      </c>
      <c r="F663" s="6">
        <v>0</v>
      </c>
      <c r="G663" s="7" t="s">
        <v>18</v>
      </c>
      <c r="H663" s="1">
        <f t="shared" si="10"/>
        <v>0</v>
      </c>
    </row>
    <row r="664" spans="1:8" x14ac:dyDescent="0.25">
      <c r="A664" s="1" t="s">
        <v>16</v>
      </c>
      <c r="B664" s="1" t="s">
        <v>17</v>
      </c>
      <c r="C664" s="6">
        <v>4000</v>
      </c>
      <c r="D664" s="6">
        <v>0</v>
      </c>
      <c r="E664" s="6">
        <v>0</v>
      </c>
      <c r="F664" s="6">
        <v>0</v>
      </c>
      <c r="G664" s="7" t="s">
        <v>18</v>
      </c>
      <c r="H664" s="1">
        <f t="shared" si="10"/>
        <v>0</v>
      </c>
    </row>
    <row r="665" spans="1:8" x14ac:dyDescent="0.25">
      <c r="A665" s="1" t="s">
        <v>16</v>
      </c>
      <c r="B665" s="1" t="s">
        <v>17</v>
      </c>
      <c r="C665" s="6">
        <v>26250</v>
      </c>
      <c r="D665" s="6">
        <v>0</v>
      </c>
      <c r="E665" s="6">
        <v>0</v>
      </c>
      <c r="F665" s="6">
        <v>0</v>
      </c>
      <c r="G665" s="7" t="s">
        <v>18</v>
      </c>
      <c r="H665" s="1">
        <f t="shared" si="10"/>
        <v>0</v>
      </c>
    </row>
    <row r="666" spans="1:8" x14ac:dyDescent="0.25">
      <c r="A666" s="1" t="s">
        <v>16</v>
      </c>
      <c r="B666" s="1" t="s">
        <v>17</v>
      </c>
      <c r="C666" s="6">
        <v>25576.25</v>
      </c>
      <c r="D666" s="6">
        <v>11645</v>
      </c>
      <c r="E666" s="6">
        <v>0</v>
      </c>
      <c r="F666" s="6">
        <v>0</v>
      </c>
      <c r="G666" s="7" t="s">
        <v>18</v>
      </c>
      <c r="H666" s="1">
        <f t="shared" si="10"/>
        <v>0.45530521479888569</v>
      </c>
    </row>
    <row r="667" spans="1:8" x14ac:dyDescent="0.25">
      <c r="A667" s="1" t="s">
        <v>16</v>
      </c>
      <c r="B667" s="1" t="s">
        <v>17</v>
      </c>
      <c r="C667" s="6">
        <v>12500</v>
      </c>
      <c r="D667" s="6">
        <v>10450</v>
      </c>
      <c r="E667" s="6">
        <v>0</v>
      </c>
      <c r="F667" s="6">
        <v>0</v>
      </c>
      <c r="G667" s="7" t="s">
        <v>18</v>
      </c>
      <c r="H667" s="1">
        <f t="shared" si="10"/>
        <v>0.83599999999999997</v>
      </c>
    </row>
    <row r="668" spans="1:8" x14ac:dyDescent="0.25">
      <c r="A668" s="1" t="s">
        <v>16</v>
      </c>
      <c r="B668" s="1" t="s">
        <v>17</v>
      </c>
      <c r="C668" s="6">
        <v>7500</v>
      </c>
      <c r="D668" s="6">
        <v>0</v>
      </c>
      <c r="E668" s="6">
        <v>0</v>
      </c>
      <c r="F668" s="6">
        <v>0</v>
      </c>
      <c r="G668" s="7" t="s">
        <v>18</v>
      </c>
      <c r="H668" s="1">
        <f t="shared" si="10"/>
        <v>0</v>
      </c>
    </row>
    <row r="669" spans="1:8" x14ac:dyDescent="0.25">
      <c r="A669" s="1" t="s">
        <v>16</v>
      </c>
      <c r="B669" s="1" t="s">
        <v>17</v>
      </c>
      <c r="C669" s="6">
        <v>7500</v>
      </c>
      <c r="D669" s="6">
        <v>0</v>
      </c>
      <c r="E669" s="6">
        <v>0</v>
      </c>
      <c r="F669" s="6">
        <v>0</v>
      </c>
      <c r="G669" s="7" t="s">
        <v>18</v>
      </c>
      <c r="H669" s="1">
        <f t="shared" si="10"/>
        <v>0</v>
      </c>
    </row>
    <row r="670" spans="1:8" x14ac:dyDescent="0.25">
      <c r="A670" s="1" t="s">
        <v>16</v>
      </c>
      <c r="B670" s="1" t="s">
        <v>17</v>
      </c>
      <c r="C670" s="6">
        <v>7500</v>
      </c>
      <c r="D670" s="6">
        <v>0</v>
      </c>
      <c r="E670" s="6">
        <v>0</v>
      </c>
      <c r="F670" s="6">
        <v>0</v>
      </c>
      <c r="G670" s="7" t="s">
        <v>18</v>
      </c>
      <c r="H670" s="1">
        <f t="shared" si="10"/>
        <v>0</v>
      </c>
    </row>
    <row r="671" spans="1:8" x14ac:dyDescent="0.25">
      <c r="A671" s="1" t="s">
        <v>16</v>
      </c>
      <c r="B671" s="1" t="s">
        <v>17</v>
      </c>
      <c r="C671" s="6">
        <v>7500</v>
      </c>
      <c r="D671" s="6">
        <v>0</v>
      </c>
      <c r="E671" s="6">
        <v>0</v>
      </c>
      <c r="F671" s="6">
        <v>0</v>
      </c>
      <c r="G671" s="7" t="s">
        <v>18</v>
      </c>
      <c r="H671" s="1">
        <f t="shared" si="10"/>
        <v>0</v>
      </c>
    </row>
    <row r="672" spans="1:8" x14ac:dyDescent="0.25">
      <c r="A672" s="1" t="s">
        <v>16</v>
      </c>
      <c r="B672" s="1" t="s">
        <v>17</v>
      </c>
      <c r="C672" s="6">
        <v>160000</v>
      </c>
      <c r="D672" s="6">
        <v>0</v>
      </c>
      <c r="E672" s="6">
        <v>0</v>
      </c>
      <c r="F672" s="6">
        <v>0</v>
      </c>
      <c r="G672" s="7" t="s">
        <v>18</v>
      </c>
      <c r="H672" s="1">
        <f t="shared" si="10"/>
        <v>0</v>
      </c>
    </row>
    <row r="673" spans="1:8" x14ac:dyDescent="0.25">
      <c r="A673" s="1" t="s">
        <v>16</v>
      </c>
      <c r="B673" s="1" t="s">
        <v>17</v>
      </c>
      <c r="C673" s="6">
        <v>12500</v>
      </c>
      <c r="D673" s="6">
        <v>0</v>
      </c>
      <c r="E673" s="6">
        <v>0</v>
      </c>
      <c r="F673" s="6">
        <v>0</v>
      </c>
      <c r="G673" s="7" t="s">
        <v>18</v>
      </c>
      <c r="H673" s="1">
        <f t="shared" si="10"/>
        <v>0</v>
      </c>
    </row>
    <row r="674" spans="1:8" x14ac:dyDescent="0.25">
      <c r="A674" s="1" t="s">
        <v>16</v>
      </c>
      <c r="B674" s="1" t="s">
        <v>17</v>
      </c>
      <c r="C674" s="6">
        <v>25000</v>
      </c>
      <c r="D674" s="6">
        <v>0</v>
      </c>
      <c r="E674" s="6">
        <v>0</v>
      </c>
      <c r="F674" s="6">
        <v>0</v>
      </c>
      <c r="G674" s="7" t="s">
        <v>18</v>
      </c>
      <c r="H674" s="1">
        <f t="shared" si="10"/>
        <v>0</v>
      </c>
    </row>
    <row r="675" spans="1:8" x14ac:dyDescent="0.25">
      <c r="A675" s="1" t="s">
        <v>16</v>
      </c>
      <c r="B675" s="1" t="s">
        <v>17</v>
      </c>
      <c r="C675" s="6">
        <v>25000</v>
      </c>
      <c r="D675" s="6">
        <v>0</v>
      </c>
      <c r="E675" s="6">
        <v>0</v>
      </c>
      <c r="F675" s="6">
        <v>0</v>
      </c>
      <c r="G675" s="7" t="s">
        <v>18</v>
      </c>
      <c r="H675" s="1">
        <f t="shared" si="10"/>
        <v>0</v>
      </c>
    </row>
    <row r="676" spans="1:8" x14ac:dyDescent="0.25">
      <c r="A676" s="1" t="s">
        <v>16</v>
      </c>
      <c r="B676" s="1" t="s">
        <v>17</v>
      </c>
      <c r="C676" s="6">
        <v>80500</v>
      </c>
      <c r="D676" s="6">
        <v>0</v>
      </c>
      <c r="E676" s="6">
        <v>0</v>
      </c>
      <c r="F676" s="6">
        <v>0</v>
      </c>
      <c r="G676" s="7" t="s">
        <v>18</v>
      </c>
      <c r="H676" s="1">
        <f t="shared" si="10"/>
        <v>0</v>
      </c>
    </row>
    <row r="677" spans="1:8" x14ac:dyDescent="0.25">
      <c r="A677" s="1" t="s">
        <v>16</v>
      </c>
      <c r="B677" s="1" t="s">
        <v>17</v>
      </c>
      <c r="C677" s="6">
        <v>136152.5</v>
      </c>
      <c r="D677" s="6">
        <v>0</v>
      </c>
      <c r="E677" s="6">
        <v>0</v>
      </c>
      <c r="F677" s="6">
        <v>0</v>
      </c>
      <c r="G677" s="7" t="s">
        <v>18</v>
      </c>
      <c r="H677" s="1">
        <f t="shared" si="10"/>
        <v>0</v>
      </c>
    </row>
    <row r="678" spans="1:8" x14ac:dyDescent="0.25">
      <c r="A678" s="1" t="s">
        <v>16</v>
      </c>
      <c r="B678" s="1" t="s">
        <v>17</v>
      </c>
      <c r="C678" s="6">
        <v>11000</v>
      </c>
      <c r="D678" s="6">
        <v>0</v>
      </c>
      <c r="E678" s="6">
        <v>0</v>
      </c>
      <c r="F678" s="6">
        <v>0</v>
      </c>
      <c r="G678" s="7" t="s">
        <v>18</v>
      </c>
      <c r="H678" s="1">
        <f t="shared" si="10"/>
        <v>0</v>
      </c>
    </row>
    <row r="679" spans="1:8" x14ac:dyDescent="0.25">
      <c r="A679" s="1" t="s">
        <v>16</v>
      </c>
      <c r="B679" s="1" t="s">
        <v>17</v>
      </c>
      <c r="C679" s="6">
        <v>11250</v>
      </c>
      <c r="D679" s="6">
        <v>0</v>
      </c>
      <c r="E679" s="6">
        <v>0</v>
      </c>
      <c r="F679" s="6">
        <v>0</v>
      </c>
      <c r="G679" s="7" t="s">
        <v>18</v>
      </c>
      <c r="H679" s="1">
        <f t="shared" si="10"/>
        <v>0</v>
      </c>
    </row>
    <row r="680" spans="1:8" x14ac:dyDescent="0.25">
      <c r="A680" s="1" t="s">
        <v>16</v>
      </c>
      <c r="B680" s="1" t="s">
        <v>17</v>
      </c>
      <c r="C680" s="6">
        <v>18750</v>
      </c>
      <c r="D680" s="6">
        <v>0</v>
      </c>
      <c r="E680" s="6">
        <v>0</v>
      </c>
      <c r="F680" s="6">
        <v>0</v>
      </c>
      <c r="G680" s="7" t="s">
        <v>18</v>
      </c>
      <c r="H680" s="1">
        <f t="shared" si="10"/>
        <v>0</v>
      </c>
    </row>
    <row r="681" spans="1:8" x14ac:dyDescent="0.25">
      <c r="A681" s="1" t="s">
        <v>16</v>
      </c>
      <c r="B681" s="1" t="s">
        <v>17</v>
      </c>
      <c r="C681" s="6">
        <v>25000</v>
      </c>
      <c r="D681" s="6">
        <v>0</v>
      </c>
      <c r="E681" s="6">
        <v>0</v>
      </c>
      <c r="F681" s="6">
        <v>0</v>
      </c>
      <c r="G681" s="7" t="s">
        <v>18</v>
      </c>
      <c r="H681" s="1">
        <f t="shared" si="10"/>
        <v>0</v>
      </c>
    </row>
    <row r="682" spans="1:8" x14ac:dyDescent="0.25">
      <c r="A682" s="1" t="s">
        <v>16</v>
      </c>
      <c r="B682" s="1" t="s">
        <v>17</v>
      </c>
      <c r="C682" s="6">
        <v>7652.5</v>
      </c>
      <c r="D682" s="6">
        <v>0</v>
      </c>
      <c r="E682" s="6">
        <v>0</v>
      </c>
      <c r="F682" s="6">
        <v>0</v>
      </c>
      <c r="G682" s="7" t="s">
        <v>18</v>
      </c>
      <c r="H682" s="1">
        <f t="shared" si="10"/>
        <v>0</v>
      </c>
    </row>
    <row r="683" spans="1:8" x14ac:dyDescent="0.25">
      <c r="A683" s="1" t="s">
        <v>16</v>
      </c>
      <c r="B683" s="1" t="s">
        <v>17</v>
      </c>
      <c r="C683" s="6">
        <v>52500</v>
      </c>
      <c r="D683" s="6">
        <v>0</v>
      </c>
      <c r="E683" s="6">
        <v>0</v>
      </c>
      <c r="F683" s="6">
        <v>0</v>
      </c>
      <c r="G683" s="7" t="s">
        <v>18</v>
      </c>
      <c r="H683" s="1">
        <f t="shared" si="10"/>
        <v>0</v>
      </c>
    </row>
    <row r="684" spans="1:8" x14ac:dyDescent="0.25">
      <c r="A684" s="1" t="s">
        <v>16</v>
      </c>
      <c r="B684" s="1" t="s">
        <v>17</v>
      </c>
      <c r="C684" s="6">
        <v>1264750</v>
      </c>
      <c r="D684" s="6">
        <v>678218.86</v>
      </c>
      <c r="E684" s="6">
        <v>678218.86</v>
      </c>
      <c r="F684" s="6">
        <v>678218.86</v>
      </c>
      <c r="G684" s="7" t="s">
        <v>18</v>
      </c>
      <c r="H684" s="1">
        <f t="shared" si="10"/>
        <v>0.53624736904526582</v>
      </c>
    </row>
    <row r="685" spans="1:8" x14ac:dyDescent="0.25">
      <c r="A685" s="1" t="s">
        <v>16</v>
      </c>
      <c r="B685" s="1" t="s">
        <v>17</v>
      </c>
      <c r="C685" s="6">
        <v>125</v>
      </c>
      <c r="D685" s="6">
        <v>0</v>
      </c>
      <c r="E685" s="6">
        <v>0</v>
      </c>
      <c r="F685" s="6">
        <v>0</v>
      </c>
      <c r="G685" s="7" t="s">
        <v>18</v>
      </c>
      <c r="H685" s="1">
        <f t="shared" si="10"/>
        <v>0</v>
      </c>
    </row>
    <row r="686" spans="1:8" x14ac:dyDescent="0.25">
      <c r="A686" s="1" t="s">
        <v>16</v>
      </c>
      <c r="B686" s="1" t="s">
        <v>17</v>
      </c>
      <c r="C686" s="6">
        <v>3250</v>
      </c>
      <c r="D686" s="6">
        <v>1829.4974999999999</v>
      </c>
      <c r="E686" s="6">
        <v>0</v>
      </c>
      <c r="F686" s="6">
        <v>0</v>
      </c>
      <c r="G686" s="7" t="s">
        <v>18</v>
      </c>
      <c r="H686" s="1">
        <f t="shared" si="10"/>
        <v>0.56292230769230767</v>
      </c>
    </row>
    <row r="687" spans="1:8" x14ac:dyDescent="0.25">
      <c r="A687" s="1" t="s">
        <v>16</v>
      </c>
      <c r="B687" s="1" t="s">
        <v>17</v>
      </c>
      <c r="C687" s="6">
        <v>7500</v>
      </c>
      <c r="D687" s="6">
        <v>0</v>
      </c>
      <c r="E687" s="6">
        <v>0</v>
      </c>
      <c r="F687" s="6">
        <v>0</v>
      </c>
      <c r="G687" s="7" t="s">
        <v>18</v>
      </c>
      <c r="H687" s="1">
        <f t="shared" si="10"/>
        <v>0</v>
      </c>
    </row>
    <row r="688" spans="1:8" x14ac:dyDescent="0.25">
      <c r="A688" s="1" t="s">
        <v>16</v>
      </c>
      <c r="B688" s="1" t="s">
        <v>17</v>
      </c>
      <c r="C688" s="6">
        <v>7500</v>
      </c>
      <c r="D688" s="6">
        <v>0</v>
      </c>
      <c r="E688" s="6">
        <v>0</v>
      </c>
      <c r="F688" s="6">
        <v>0</v>
      </c>
      <c r="G688" s="7" t="s">
        <v>18</v>
      </c>
      <c r="H688" s="1">
        <f t="shared" si="10"/>
        <v>0</v>
      </c>
    </row>
    <row r="689" spans="1:8" x14ac:dyDescent="0.25">
      <c r="A689" s="1" t="s">
        <v>16</v>
      </c>
      <c r="B689" s="1" t="s">
        <v>17</v>
      </c>
      <c r="C689" s="6">
        <v>1618578.25</v>
      </c>
      <c r="D689" s="6">
        <v>1744973.7350000001</v>
      </c>
      <c r="E689" s="6">
        <v>1442745.2675000001</v>
      </c>
      <c r="F689" s="6">
        <v>1419406.34</v>
      </c>
      <c r="G689" s="7" t="s">
        <v>18</v>
      </c>
      <c r="H689" s="1">
        <f t="shared" si="10"/>
        <v>1.0780904383214096</v>
      </c>
    </row>
    <row r="690" spans="1:8" x14ac:dyDescent="0.25">
      <c r="A690" s="1" t="s">
        <v>16</v>
      </c>
      <c r="B690" s="1" t="s">
        <v>17</v>
      </c>
      <c r="C690" s="6">
        <v>334000</v>
      </c>
      <c r="D690" s="6">
        <v>202950</v>
      </c>
      <c r="E690" s="6">
        <v>196875</v>
      </c>
      <c r="F690" s="6">
        <v>192825</v>
      </c>
      <c r="G690" s="7" t="s">
        <v>18</v>
      </c>
      <c r="H690" s="1">
        <f t="shared" si="10"/>
        <v>0.60763473053892214</v>
      </c>
    </row>
    <row r="691" spans="1:8" x14ac:dyDescent="0.25">
      <c r="A691" s="1" t="s">
        <v>16</v>
      </c>
      <c r="B691" s="1" t="s">
        <v>17</v>
      </c>
      <c r="C691" s="6">
        <v>219693.75</v>
      </c>
      <c r="D691" s="6">
        <v>158074.5975</v>
      </c>
      <c r="E691" s="6">
        <v>131949.2475</v>
      </c>
      <c r="F691" s="6">
        <v>116338.92750000001</v>
      </c>
      <c r="G691" s="7" t="s">
        <v>18</v>
      </c>
      <c r="H691" s="1">
        <f t="shared" si="10"/>
        <v>0.7195225057608603</v>
      </c>
    </row>
    <row r="692" spans="1:8" x14ac:dyDescent="0.25">
      <c r="A692" s="1" t="s">
        <v>16</v>
      </c>
      <c r="B692" s="1" t="s">
        <v>17</v>
      </c>
      <c r="C692" s="6">
        <v>41874</v>
      </c>
      <c r="D692" s="6">
        <v>35857.440000000002</v>
      </c>
      <c r="E692" s="6">
        <v>28128.38</v>
      </c>
      <c r="F692" s="6">
        <v>28128.38</v>
      </c>
      <c r="G692" s="7" t="s">
        <v>18</v>
      </c>
      <c r="H692" s="1">
        <f t="shared" si="10"/>
        <v>0.85631752400057315</v>
      </c>
    </row>
    <row r="693" spans="1:8" x14ac:dyDescent="0.25">
      <c r="A693" s="1" t="s">
        <v>16</v>
      </c>
      <c r="B693" s="1" t="s">
        <v>17</v>
      </c>
      <c r="C693" s="6">
        <v>62500</v>
      </c>
      <c r="D693" s="6">
        <v>0</v>
      </c>
      <c r="E693" s="6">
        <v>0</v>
      </c>
      <c r="F693" s="6">
        <v>0</v>
      </c>
      <c r="G693" s="7" t="s">
        <v>18</v>
      </c>
      <c r="H693" s="1">
        <f t="shared" si="10"/>
        <v>0</v>
      </c>
    </row>
    <row r="694" spans="1:8" x14ac:dyDescent="0.25">
      <c r="A694" s="1" t="s">
        <v>16</v>
      </c>
      <c r="B694" s="1" t="s">
        <v>17</v>
      </c>
      <c r="C694" s="6">
        <v>204425</v>
      </c>
      <c r="D694" s="6">
        <v>289000</v>
      </c>
      <c r="E694" s="6">
        <v>289000</v>
      </c>
      <c r="F694" s="6">
        <v>289000</v>
      </c>
      <c r="G694" s="7" t="s">
        <v>18</v>
      </c>
      <c r="H694" s="1">
        <f t="shared" si="10"/>
        <v>1.4137214137214138</v>
      </c>
    </row>
    <row r="695" spans="1:8" x14ac:dyDescent="0.25">
      <c r="A695" s="1" t="s">
        <v>16</v>
      </c>
      <c r="B695" s="1" t="s">
        <v>17</v>
      </c>
      <c r="C695" s="6">
        <v>114750</v>
      </c>
      <c r="D695" s="6">
        <v>0</v>
      </c>
      <c r="E695" s="6">
        <v>0</v>
      </c>
      <c r="F695" s="6">
        <v>0</v>
      </c>
      <c r="G695" s="7" t="s">
        <v>18</v>
      </c>
      <c r="H695" s="1">
        <f t="shared" si="10"/>
        <v>0</v>
      </c>
    </row>
    <row r="696" spans="1:8" x14ac:dyDescent="0.25">
      <c r="A696" s="1" t="s">
        <v>16</v>
      </c>
      <c r="B696" s="1" t="s">
        <v>17</v>
      </c>
      <c r="C696" s="6">
        <v>50000</v>
      </c>
      <c r="D696" s="6">
        <v>0</v>
      </c>
      <c r="E696" s="6">
        <v>0</v>
      </c>
      <c r="F696" s="6">
        <v>0</v>
      </c>
      <c r="G696" s="7" t="s">
        <v>18</v>
      </c>
      <c r="H696" s="1">
        <f t="shared" si="10"/>
        <v>0</v>
      </c>
    </row>
    <row r="697" spans="1:8" x14ac:dyDescent="0.25">
      <c r="A697" s="1" t="s">
        <v>16</v>
      </c>
      <c r="B697" s="1" t="s">
        <v>17</v>
      </c>
      <c r="C697" s="6">
        <v>1484750</v>
      </c>
      <c r="D697" s="6">
        <v>919188.64500000002</v>
      </c>
      <c r="E697" s="6">
        <v>919188.49750000006</v>
      </c>
      <c r="F697" s="6">
        <v>919188.49750000006</v>
      </c>
      <c r="G697" s="7" t="s">
        <v>18</v>
      </c>
      <c r="H697" s="1">
        <f t="shared" si="10"/>
        <v>0.61908647583768317</v>
      </c>
    </row>
    <row r="698" spans="1:8" x14ac:dyDescent="0.25">
      <c r="A698" s="1" t="s">
        <v>16</v>
      </c>
      <c r="B698" s="1" t="s">
        <v>17</v>
      </c>
      <c r="C698" s="6">
        <v>125</v>
      </c>
      <c r="D698" s="6">
        <v>0</v>
      </c>
      <c r="E698" s="6">
        <v>0</v>
      </c>
      <c r="F698" s="6">
        <v>0</v>
      </c>
      <c r="G698" s="7" t="s">
        <v>18</v>
      </c>
      <c r="H698" s="1">
        <f t="shared" si="10"/>
        <v>0</v>
      </c>
    </row>
    <row r="699" spans="1:8" x14ac:dyDescent="0.25">
      <c r="A699" s="1" t="s">
        <v>16</v>
      </c>
      <c r="B699" s="1" t="s">
        <v>17</v>
      </c>
      <c r="C699" s="6">
        <v>1662007.5</v>
      </c>
      <c r="D699" s="6">
        <v>1810279.405</v>
      </c>
      <c r="E699" s="6">
        <v>1796664.2124999999</v>
      </c>
      <c r="F699" s="6">
        <v>1790903.9075</v>
      </c>
      <c r="G699" s="7" t="s">
        <v>18</v>
      </c>
      <c r="H699" s="1">
        <f t="shared" si="10"/>
        <v>1.0892125366461944</v>
      </c>
    </row>
    <row r="700" spans="1:8" x14ac:dyDescent="0.25">
      <c r="A700" s="1" t="s">
        <v>16</v>
      </c>
      <c r="B700" s="1" t="s">
        <v>17</v>
      </c>
      <c r="C700" s="6">
        <v>114165.25</v>
      </c>
      <c r="D700" s="6">
        <v>109319.16499999999</v>
      </c>
      <c r="E700" s="6">
        <v>109319.16499999999</v>
      </c>
      <c r="F700" s="6">
        <v>109319.16499999999</v>
      </c>
      <c r="G700" s="7" t="s">
        <v>18</v>
      </c>
      <c r="H700" s="1">
        <f t="shared" si="10"/>
        <v>0.95755201341914453</v>
      </c>
    </row>
    <row r="701" spans="1:8" x14ac:dyDescent="0.25">
      <c r="A701" s="1" t="s">
        <v>16</v>
      </c>
      <c r="B701" s="1" t="s">
        <v>17</v>
      </c>
      <c r="C701" s="6">
        <v>50500</v>
      </c>
      <c r="D701" s="6">
        <v>24091.642500000002</v>
      </c>
      <c r="E701" s="6">
        <v>20227.46</v>
      </c>
      <c r="F701" s="6">
        <v>16684.017500000002</v>
      </c>
      <c r="G701" s="7" t="s">
        <v>18</v>
      </c>
      <c r="H701" s="1">
        <f t="shared" si="10"/>
        <v>0.47706222772277229</v>
      </c>
    </row>
    <row r="702" spans="1:8" x14ac:dyDescent="0.25">
      <c r="A702" s="1" t="s">
        <v>16</v>
      </c>
      <c r="B702" s="1" t="s">
        <v>17</v>
      </c>
      <c r="C702" s="6">
        <v>500</v>
      </c>
      <c r="D702" s="6">
        <v>0</v>
      </c>
      <c r="E702" s="6">
        <v>0</v>
      </c>
      <c r="F702" s="6">
        <v>0</v>
      </c>
      <c r="G702" s="7" t="s">
        <v>18</v>
      </c>
      <c r="H702" s="1">
        <f t="shared" si="10"/>
        <v>0</v>
      </c>
    </row>
    <row r="703" spans="1:8" x14ac:dyDescent="0.25">
      <c r="A703" s="1" t="s">
        <v>16</v>
      </c>
      <c r="B703" s="1" t="s">
        <v>17</v>
      </c>
      <c r="C703" s="6">
        <v>450000</v>
      </c>
      <c r="D703" s="6">
        <v>0</v>
      </c>
      <c r="E703" s="6">
        <v>0</v>
      </c>
      <c r="F703" s="6">
        <v>0</v>
      </c>
      <c r="G703" s="7" t="s">
        <v>18</v>
      </c>
      <c r="H703" s="1">
        <f t="shared" si="10"/>
        <v>0</v>
      </c>
    </row>
    <row r="704" spans="1:8" x14ac:dyDescent="0.25">
      <c r="A704" s="1" t="s">
        <v>16</v>
      </c>
      <c r="B704" s="1" t="s">
        <v>17</v>
      </c>
      <c r="C704" s="6">
        <v>500</v>
      </c>
      <c r="D704" s="6">
        <v>0</v>
      </c>
      <c r="E704" s="6">
        <v>0</v>
      </c>
      <c r="F704" s="6">
        <v>0</v>
      </c>
      <c r="G704" s="7" t="s">
        <v>18</v>
      </c>
      <c r="H704" s="1">
        <f t="shared" si="10"/>
        <v>0</v>
      </c>
    </row>
    <row r="705" spans="1:8" x14ac:dyDescent="0.25">
      <c r="A705" s="1" t="s">
        <v>16</v>
      </c>
      <c r="B705" s="1" t="s">
        <v>17</v>
      </c>
      <c r="C705" s="6">
        <v>250</v>
      </c>
      <c r="D705" s="6">
        <v>0</v>
      </c>
      <c r="E705" s="6">
        <v>0</v>
      </c>
      <c r="F705" s="6">
        <v>0</v>
      </c>
      <c r="G705" s="7" t="s">
        <v>18</v>
      </c>
      <c r="H705" s="1">
        <f t="shared" si="10"/>
        <v>0</v>
      </c>
    </row>
    <row r="706" spans="1:8" x14ac:dyDescent="0.25">
      <c r="A706" s="1" t="s">
        <v>16</v>
      </c>
      <c r="B706" s="1" t="s">
        <v>17</v>
      </c>
      <c r="C706" s="6">
        <v>6459090.25</v>
      </c>
      <c r="D706" s="6">
        <v>6564965.5999999996</v>
      </c>
      <c r="E706" s="6">
        <v>6408041.4225000003</v>
      </c>
      <c r="F706" s="6">
        <v>6346882.7525000004</v>
      </c>
      <c r="G706" s="7" t="s">
        <v>18</v>
      </c>
      <c r="H706" s="1">
        <f t="shared" ref="H706:H769" si="11">IF(OR(ISNA($D706),ISNA($C706),$C706=0),0,$D706/$C706)</f>
        <v>1.0163916814755762</v>
      </c>
    </row>
    <row r="707" spans="1:8" x14ac:dyDescent="0.25">
      <c r="A707" s="1" t="s">
        <v>16</v>
      </c>
      <c r="B707" s="1" t="s">
        <v>17</v>
      </c>
      <c r="C707" s="6">
        <v>287737.25</v>
      </c>
      <c r="D707" s="6">
        <v>336862.01</v>
      </c>
      <c r="E707" s="6">
        <v>336862.01</v>
      </c>
      <c r="F707" s="6">
        <v>336862.01</v>
      </c>
      <c r="G707" s="7" t="s">
        <v>18</v>
      </c>
      <c r="H707" s="1">
        <f t="shared" si="11"/>
        <v>1.1707278428496832</v>
      </c>
    </row>
    <row r="708" spans="1:8" x14ac:dyDescent="0.25">
      <c r="A708" s="1" t="s">
        <v>16</v>
      </c>
      <c r="B708" s="1" t="s">
        <v>17</v>
      </c>
      <c r="C708" s="6">
        <v>1282155</v>
      </c>
      <c r="D708" s="6">
        <v>1395546.16</v>
      </c>
      <c r="E708" s="6">
        <v>1386772.335</v>
      </c>
      <c r="F708" s="6">
        <v>1386772.335</v>
      </c>
      <c r="G708" s="7" t="s">
        <v>18</v>
      </c>
      <c r="H708" s="1">
        <f t="shared" si="11"/>
        <v>1.0884379501698311</v>
      </c>
    </row>
    <row r="709" spans="1:8" x14ac:dyDescent="0.25">
      <c r="A709" s="1" t="s">
        <v>16</v>
      </c>
      <c r="B709" s="1" t="s">
        <v>17</v>
      </c>
      <c r="C709" s="6">
        <v>1060530</v>
      </c>
      <c r="D709" s="6">
        <v>935280</v>
      </c>
      <c r="E709" s="6">
        <v>935280</v>
      </c>
      <c r="F709" s="6">
        <v>935280</v>
      </c>
      <c r="G709" s="7" t="s">
        <v>18</v>
      </c>
      <c r="H709" s="1">
        <f t="shared" si="11"/>
        <v>0.88189867330485705</v>
      </c>
    </row>
    <row r="710" spans="1:8" x14ac:dyDescent="0.25">
      <c r="A710" s="1" t="s">
        <v>16</v>
      </c>
      <c r="B710" s="1" t="s">
        <v>17</v>
      </c>
      <c r="C710" s="6">
        <v>34250</v>
      </c>
      <c r="D710" s="6">
        <v>1100</v>
      </c>
      <c r="E710" s="6">
        <v>236.41499999999999</v>
      </c>
      <c r="F710" s="6">
        <v>27.0625</v>
      </c>
      <c r="G710" s="7" t="s">
        <v>18</v>
      </c>
      <c r="H710" s="1">
        <f t="shared" si="11"/>
        <v>3.2116788321167884E-2</v>
      </c>
    </row>
    <row r="711" spans="1:8" x14ac:dyDescent="0.25">
      <c r="A711" s="1" t="s">
        <v>16</v>
      </c>
      <c r="B711" s="1" t="s">
        <v>17</v>
      </c>
      <c r="C711" s="6">
        <v>25125</v>
      </c>
      <c r="D711" s="6">
        <v>25125</v>
      </c>
      <c r="E711" s="6">
        <v>0</v>
      </c>
      <c r="F711" s="6">
        <v>0</v>
      </c>
      <c r="G711" s="7" t="s">
        <v>18</v>
      </c>
      <c r="H711" s="1">
        <f t="shared" si="11"/>
        <v>1</v>
      </c>
    </row>
    <row r="712" spans="1:8" x14ac:dyDescent="0.25">
      <c r="A712" s="1" t="s">
        <v>16</v>
      </c>
      <c r="B712" s="1" t="s">
        <v>17</v>
      </c>
      <c r="C712" s="6">
        <v>161000</v>
      </c>
      <c r="D712" s="6">
        <v>0</v>
      </c>
      <c r="E712" s="6">
        <v>0</v>
      </c>
      <c r="F712" s="6">
        <v>0</v>
      </c>
      <c r="G712" s="7" t="s">
        <v>18</v>
      </c>
      <c r="H712" s="1">
        <f t="shared" si="11"/>
        <v>0</v>
      </c>
    </row>
    <row r="713" spans="1:8" x14ac:dyDescent="0.25">
      <c r="A713" s="1" t="s">
        <v>16</v>
      </c>
      <c r="B713" s="1" t="s">
        <v>17</v>
      </c>
      <c r="C713" s="6">
        <v>2500</v>
      </c>
      <c r="D713" s="6">
        <v>0</v>
      </c>
      <c r="E713" s="6">
        <v>0</v>
      </c>
      <c r="F713" s="6">
        <v>0</v>
      </c>
      <c r="G713" s="7" t="s">
        <v>18</v>
      </c>
      <c r="H713" s="1">
        <f t="shared" si="11"/>
        <v>0</v>
      </c>
    </row>
    <row r="714" spans="1:8" x14ac:dyDescent="0.25">
      <c r="A714" s="1" t="s">
        <v>16</v>
      </c>
      <c r="B714" s="1" t="s">
        <v>17</v>
      </c>
      <c r="C714" s="6">
        <v>12500</v>
      </c>
      <c r="D714" s="6">
        <v>0</v>
      </c>
      <c r="E714" s="6">
        <v>0</v>
      </c>
      <c r="F714" s="6">
        <v>0</v>
      </c>
      <c r="G714" s="7" t="s">
        <v>18</v>
      </c>
      <c r="H714" s="1">
        <f t="shared" si="11"/>
        <v>0</v>
      </c>
    </row>
    <row r="715" spans="1:8" x14ac:dyDescent="0.25">
      <c r="A715" s="1" t="s">
        <v>16</v>
      </c>
      <c r="B715" s="1" t="s">
        <v>17</v>
      </c>
      <c r="C715" s="6">
        <v>6250</v>
      </c>
      <c r="D715" s="6">
        <v>0</v>
      </c>
      <c r="E715" s="6">
        <v>0</v>
      </c>
      <c r="F715" s="6">
        <v>0</v>
      </c>
      <c r="G715" s="7" t="s">
        <v>18</v>
      </c>
      <c r="H715" s="1">
        <f t="shared" si="11"/>
        <v>0</v>
      </c>
    </row>
    <row r="716" spans="1:8" x14ac:dyDescent="0.25">
      <c r="A716" s="1" t="s">
        <v>16</v>
      </c>
      <c r="B716" s="1" t="s">
        <v>17</v>
      </c>
      <c r="C716" s="6">
        <v>250</v>
      </c>
      <c r="D716" s="6">
        <v>0</v>
      </c>
      <c r="E716" s="6">
        <v>0</v>
      </c>
      <c r="F716" s="6">
        <v>0</v>
      </c>
      <c r="G716" s="7" t="s">
        <v>18</v>
      </c>
      <c r="H716" s="1">
        <f t="shared" si="11"/>
        <v>0</v>
      </c>
    </row>
    <row r="717" spans="1:8" x14ac:dyDescent="0.25">
      <c r="A717" s="1" t="s">
        <v>16</v>
      </c>
      <c r="B717" s="1" t="s">
        <v>17</v>
      </c>
      <c r="C717" s="6">
        <v>1686397.5</v>
      </c>
      <c r="D717" s="6">
        <v>1671209.55</v>
      </c>
      <c r="E717" s="6">
        <v>1562805.2625</v>
      </c>
      <c r="F717" s="6">
        <v>1556495.2625</v>
      </c>
      <c r="G717" s="7" t="s">
        <v>18</v>
      </c>
      <c r="H717" s="1">
        <f t="shared" si="11"/>
        <v>0.99099384931488577</v>
      </c>
    </row>
    <row r="718" spans="1:8" x14ac:dyDescent="0.25">
      <c r="A718" s="1" t="s">
        <v>16</v>
      </c>
      <c r="B718" s="1" t="s">
        <v>17</v>
      </c>
      <c r="C718" s="6">
        <v>24625</v>
      </c>
      <c r="D718" s="6">
        <v>0</v>
      </c>
      <c r="E718" s="6">
        <v>0</v>
      </c>
      <c r="F718" s="6">
        <v>0</v>
      </c>
      <c r="G718" s="7" t="s">
        <v>18</v>
      </c>
      <c r="H718" s="1">
        <f t="shared" si="11"/>
        <v>0</v>
      </c>
    </row>
    <row r="719" spans="1:8" x14ac:dyDescent="0.25">
      <c r="A719" s="1" t="s">
        <v>16</v>
      </c>
      <c r="B719" s="1" t="s">
        <v>17</v>
      </c>
      <c r="C719" s="6">
        <v>6030280.25</v>
      </c>
      <c r="D719" s="6">
        <v>5864978.7999999998</v>
      </c>
      <c r="E719" s="6">
        <v>5762546.1425000001</v>
      </c>
      <c r="F719" s="6">
        <v>5758585.7324999999</v>
      </c>
      <c r="G719" s="7" t="s">
        <v>18</v>
      </c>
      <c r="H719" s="1">
        <f t="shared" si="11"/>
        <v>0.97258809820654679</v>
      </c>
    </row>
    <row r="720" spans="1:8" x14ac:dyDescent="0.25">
      <c r="A720" s="1" t="s">
        <v>16</v>
      </c>
      <c r="B720" s="1" t="s">
        <v>17</v>
      </c>
      <c r="C720" s="6">
        <v>309803</v>
      </c>
      <c r="D720" s="6">
        <v>133579.125</v>
      </c>
      <c r="E720" s="6">
        <v>133579.125</v>
      </c>
      <c r="F720" s="6">
        <v>133579.125</v>
      </c>
      <c r="G720" s="7" t="s">
        <v>18</v>
      </c>
      <c r="H720" s="1">
        <f t="shared" si="11"/>
        <v>0.43117440760741504</v>
      </c>
    </row>
    <row r="721" spans="1:8" x14ac:dyDescent="0.25">
      <c r="A721" s="1" t="s">
        <v>16</v>
      </c>
      <c r="B721" s="1" t="s">
        <v>17</v>
      </c>
      <c r="C721" s="6">
        <v>250</v>
      </c>
      <c r="D721" s="6">
        <v>0</v>
      </c>
      <c r="E721" s="6">
        <v>0</v>
      </c>
      <c r="F721" s="6">
        <v>0</v>
      </c>
      <c r="G721" s="7" t="s">
        <v>18</v>
      </c>
      <c r="H721" s="1">
        <f t="shared" si="11"/>
        <v>0</v>
      </c>
    </row>
    <row r="722" spans="1:8" x14ac:dyDescent="0.25">
      <c r="A722" s="1" t="s">
        <v>16</v>
      </c>
      <c r="B722" s="1" t="s">
        <v>17</v>
      </c>
      <c r="C722" s="6">
        <v>86657.5</v>
      </c>
      <c r="D722" s="6">
        <v>64495</v>
      </c>
      <c r="E722" s="6">
        <v>53351.517500000002</v>
      </c>
      <c r="F722" s="6">
        <v>51705.06</v>
      </c>
      <c r="G722" s="7" t="s">
        <v>18</v>
      </c>
      <c r="H722" s="1">
        <f t="shared" si="11"/>
        <v>0.74425179586302392</v>
      </c>
    </row>
    <row r="723" spans="1:8" x14ac:dyDescent="0.25">
      <c r="A723" s="1" t="s">
        <v>16</v>
      </c>
      <c r="B723" s="1" t="s">
        <v>17</v>
      </c>
      <c r="C723" s="6">
        <v>27375</v>
      </c>
      <c r="D723" s="6">
        <v>0</v>
      </c>
      <c r="E723" s="6">
        <v>0</v>
      </c>
      <c r="F723" s="6">
        <v>0</v>
      </c>
      <c r="G723" s="7" t="s">
        <v>18</v>
      </c>
      <c r="H723" s="1">
        <f t="shared" si="11"/>
        <v>0</v>
      </c>
    </row>
    <row r="724" spans="1:8" x14ac:dyDescent="0.25">
      <c r="A724" s="1" t="s">
        <v>16</v>
      </c>
      <c r="B724" s="1" t="s">
        <v>17</v>
      </c>
      <c r="C724" s="6">
        <v>6250</v>
      </c>
      <c r="D724" s="6">
        <v>0</v>
      </c>
      <c r="E724" s="6">
        <v>0</v>
      </c>
      <c r="F724" s="6">
        <v>0</v>
      </c>
      <c r="G724" s="7" t="s">
        <v>18</v>
      </c>
      <c r="H724" s="1">
        <f t="shared" si="11"/>
        <v>0</v>
      </c>
    </row>
    <row r="725" spans="1:8" x14ac:dyDescent="0.25">
      <c r="A725" s="1" t="s">
        <v>16</v>
      </c>
      <c r="B725" s="1" t="s">
        <v>17</v>
      </c>
      <c r="C725" s="6">
        <v>250</v>
      </c>
      <c r="D725" s="6">
        <v>0</v>
      </c>
      <c r="E725" s="6">
        <v>0</v>
      </c>
      <c r="F725" s="6">
        <v>0</v>
      </c>
      <c r="G725" s="7" t="s">
        <v>18</v>
      </c>
      <c r="H725" s="1">
        <f t="shared" si="11"/>
        <v>0</v>
      </c>
    </row>
    <row r="726" spans="1:8" x14ac:dyDescent="0.25">
      <c r="A726" s="1" t="s">
        <v>16</v>
      </c>
      <c r="B726" s="1" t="s">
        <v>17</v>
      </c>
      <c r="C726" s="6">
        <v>500</v>
      </c>
      <c r="D726" s="6">
        <v>0</v>
      </c>
      <c r="E726" s="6">
        <v>0</v>
      </c>
      <c r="F726" s="6">
        <v>0</v>
      </c>
      <c r="G726" s="7" t="s">
        <v>18</v>
      </c>
      <c r="H726" s="1">
        <f t="shared" si="11"/>
        <v>0</v>
      </c>
    </row>
    <row r="727" spans="1:8" x14ac:dyDescent="0.25">
      <c r="A727" s="1" t="s">
        <v>16</v>
      </c>
      <c r="B727" s="1" t="s">
        <v>17</v>
      </c>
      <c r="C727" s="6">
        <v>230856</v>
      </c>
      <c r="D727" s="6">
        <v>120793.95</v>
      </c>
      <c r="E727" s="6">
        <v>4437.0749999999998</v>
      </c>
      <c r="F727" s="6">
        <v>4437.0749999999998</v>
      </c>
      <c r="G727" s="7" t="s">
        <v>18</v>
      </c>
      <c r="H727" s="1">
        <f t="shared" si="11"/>
        <v>0.5232437103649028</v>
      </c>
    </row>
    <row r="728" spans="1:8" x14ac:dyDescent="0.25">
      <c r="A728" s="1" t="s">
        <v>16</v>
      </c>
      <c r="B728" s="1" t="s">
        <v>17</v>
      </c>
      <c r="C728" s="6">
        <v>9047.25</v>
      </c>
      <c r="D728" s="6">
        <v>16591.48</v>
      </c>
      <c r="E728" s="6">
        <v>10860.3</v>
      </c>
      <c r="F728" s="6">
        <v>6460.3</v>
      </c>
      <c r="G728" s="7" t="s">
        <v>18</v>
      </c>
      <c r="H728" s="1">
        <f t="shared" si="11"/>
        <v>1.8338699604852302</v>
      </c>
    </row>
    <row r="729" spans="1:8" x14ac:dyDescent="0.25">
      <c r="A729" s="1" t="s">
        <v>16</v>
      </c>
      <c r="B729" s="1" t="s">
        <v>17</v>
      </c>
      <c r="C729" s="6">
        <v>27436.25</v>
      </c>
      <c r="D729" s="6">
        <v>899</v>
      </c>
      <c r="E729" s="6">
        <v>898.90499999999997</v>
      </c>
      <c r="F729" s="6">
        <v>0</v>
      </c>
      <c r="G729" s="7" t="s">
        <v>18</v>
      </c>
      <c r="H729" s="1">
        <f t="shared" si="11"/>
        <v>3.2766868650052391E-2</v>
      </c>
    </row>
    <row r="730" spans="1:8" x14ac:dyDescent="0.25">
      <c r="A730" s="1" t="s">
        <v>16</v>
      </c>
      <c r="B730" s="1" t="s">
        <v>17</v>
      </c>
      <c r="C730" s="6">
        <v>4375</v>
      </c>
      <c r="D730" s="6">
        <v>5634.0725000000002</v>
      </c>
      <c r="E730" s="6">
        <v>3205.1025</v>
      </c>
      <c r="F730" s="6">
        <v>2697.6025</v>
      </c>
      <c r="G730" s="7" t="s">
        <v>18</v>
      </c>
      <c r="H730" s="1">
        <f t="shared" si="11"/>
        <v>1.2877880000000002</v>
      </c>
    </row>
    <row r="731" spans="1:8" x14ac:dyDescent="0.25">
      <c r="A731" s="1" t="s">
        <v>16</v>
      </c>
      <c r="B731" s="1" t="s">
        <v>17</v>
      </c>
      <c r="C731" s="6">
        <v>25000</v>
      </c>
      <c r="D731" s="6">
        <v>25000</v>
      </c>
      <c r="E731" s="6">
        <v>0</v>
      </c>
      <c r="F731" s="6">
        <v>0</v>
      </c>
      <c r="G731" s="7" t="s">
        <v>18</v>
      </c>
      <c r="H731" s="1">
        <f t="shared" si="11"/>
        <v>1</v>
      </c>
    </row>
    <row r="732" spans="1:8" x14ac:dyDescent="0.25">
      <c r="A732" s="1" t="s">
        <v>16</v>
      </c>
      <c r="B732" s="1" t="s">
        <v>17</v>
      </c>
      <c r="C732" s="6">
        <v>11725</v>
      </c>
      <c r="D732" s="6">
        <v>344094.68</v>
      </c>
      <c r="E732" s="6">
        <v>344094.68</v>
      </c>
      <c r="F732" s="6">
        <v>344094.68</v>
      </c>
      <c r="G732" s="7" t="s">
        <v>18</v>
      </c>
      <c r="H732" s="1">
        <f t="shared" si="11"/>
        <v>29.347094243070362</v>
      </c>
    </row>
    <row r="733" spans="1:8" x14ac:dyDescent="0.25">
      <c r="A733" s="1" t="s">
        <v>16</v>
      </c>
      <c r="B733" s="1" t="s">
        <v>17</v>
      </c>
      <c r="C733" s="6">
        <v>1500</v>
      </c>
      <c r="D733" s="6">
        <v>21123.48</v>
      </c>
      <c r="E733" s="6">
        <v>21123.48</v>
      </c>
      <c r="F733" s="6">
        <v>20111</v>
      </c>
      <c r="G733" s="7" t="s">
        <v>18</v>
      </c>
      <c r="H733" s="1">
        <f t="shared" si="11"/>
        <v>14.082319999999999</v>
      </c>
    </row>
    <row r="734" spans="1:8" x14ac:dyDescent="0.25">
      <c r="A734" s="1" t="s">
        <v>16</v>
      </c>
      <c r="B734" s="1" t="s">
        <v>17</v>
      </c>
      <c r="C734" s="6">
        <v>1250</v>
      </c>
      <c r="D734" s="6">
        <v>0</v>
      </c>
      <c r="E734" s="6">
        <v>0</v>
      </c>
      <c r="F734" s="6">
        <v>0</v>
      </c>
      <c r="G734" s="7" t="s">
        <v>18</v>
      </c>
      <c r="H734" s="1">
        <f t="shared" si="11"/>
        <v>0</v>
      </c>
    </row>
    <row r="735" spans="1:8" x14ac:dyDescent="0.25">
      <c r="A735" s="1" t="s">
        <v>16</v>
      </c>
      <c r="B735" s="1" t="s">
        <v>17</v>
      </c>
      <c r="C735" s="6">
        <v>80576.25</v>
      </c>
      <c r="D735" s="6">
        <v>0</v>
      </c>
      <c r="E735" s="6">
        <v>0</v>
      </c>
      <c r="F735" s="6">
        <v>0</v>
      </c>
      <c r="G735" s="7" t="s">
        <v>18</v>
      </c>
      <c r="H735" s="1">
        <f t="shared" si="11"/>
        <v>0</v>
      </c>
    </row>
    <row r="736" spans="1:8" x14ac:dyDescent="0.25">
      <c r="A736" s="1" t="s">
        <v>16</v>
      </c>
      <c r="B736" s="1" t="s">
        <v>17</v>
      </c>
      <c r="C736" s="6">
        <v>15520612.5</v>
      </c>
      <c r="D736" s="6">
        <v>46956225</v>
      </c>
      <c r="E736" s="6">
        <v>46822000</v>
      </c>
      <c r="F736" s="6">
        <v>46822000</v>
      </c>
      <c r="G736" s="7" t="s">
        <v>18</v>
      </c>
      <c r="H736" s="1">
        <f t="shared" si="11"/>
        <v>3.0254105628885459</v>
      </c>
    </row>
    <row r="737" spans="1:8" x14ac:dyDescent="0.25">
      <c r="A737" s="1" t="s">
        <v>16</v>
      </c>
      <c r="B737" s="1" t="s">
        <v>17</v>
      </c>
      <c r="C737" s="6">
        <v>408500.5</v>
      </c>
      <c r="D737" s="6">
        <v>441765.75</v>
      </c>
      <c r="E737" s="6">
        <v>388146.30499999999</v>
      </c>
      <c r="F737" s="6">
        <v>370011.53499999997</v>
      </c>
      <c r="G737" s="7" t="s">
        <v>18</v>
      </c>
      <c r="H737" s="1">
        <f t="shared" si="11"/>
        <v>1.081432580865874</v>
      </c>
    </row>
    <row r="738" spans="1:8" x14ac:dyDescent="0.25">
      <c r="A738" s="1" t="s">
        <v>16</v>
      </c>
      <c r="B738" s="1" t="s">
        <v>17</v>
      </c>
      <c r="C738" s="6">
        <v>2805750</v>
      </c>
      <c r="D738" s="6">
        <v>5141934.54</v>
      </c>
      <c r="E738" s="6">
        <v>4164168.9049999998</v>
      </c>
      <c r="F738" s="6">
        <v>4007960.7949999999</v>
      </c>
      <c r="G738" s="7" t="s">
        <v>18</v>
      </c>
      <c r="H738" s="1">
        <f t="shared" si="11"/>
        <v>1.8326417321571773</v>
      </c>
    </row>
    <row r="739" spans="1:8" x14ac:dyDescent="0.25">
      <c r="A739" s="1" t="s">
        <v>16</v>
      </c>
      <c r="B739" s="1" t="s">
        <v>17</v>
      </c>
      <c r="C739" s="6">
        <v>432750</v>
      </c>
      <c r="D739" s="6">
        <v>268736.33250000002</v>
      </c>
      <c r="E739" s="6">
        <v>264671.65749999997</v>
      </c>
      <c r="F739" s="6">
        <v>263832.40749999997</v>
      </c>
      <c r="G739" s="7" t="s">
        <v>18</v>
      </c>
      <c r="H739" s="1">
        <f t="shared" si="11"/>
        <v>0.62099672443674181</v>
      </c>
    </row>
    <row r="740" spans="1:8" x14ac:dyDescent="0.25">
      <c r="A740" s="1" t="s">
        <v>16</v>
      </c>
      <c r="B740" s="1" t="s">
        <v>17</v>
      </c>
      <c r="C740" s="6">
        <v>2500</v>
      </c>
      <c r="D740" s="6">
        <v>0</v>
      </c>
      <c r="E740" s="6">
        <v>0</v>
      </c>
      <c r="F740" s="6">
        <v>0</v>
      </c>
      <c r="G740" s="7" t="s">
        <v>18</v>
      </c>
      <c r="H740" s="1">
        <f t="shared" si="11"/>
        <v>0</v>
      </c>
    </row>
    <row r="741" spans="1:8" x14ac:dyDescent="0.25">
      <c r="A741" s="1" t="s">
        <v>16</v>
      </c>
      <c r="B741" s="1" t="s">
        <v>17</v>
      </c>
      <c r="C741" s="6">
        <v>30000</v>
      </c>
      <c r="D741" s="6">
        <v>0</v>
      </c>
      <c r="E741" s="6">
        <v>0</v>
      </c>
      <c r="F741" s="6">
        <v>0</v>
      </c>
      <c r="G741" s="7" t="s">
        <v>18</v>
      </c>
      <c r="H741" s="1">
        <f t="shared" si="11"/>
        <v>0</v>
      </c>
    </row>
    <row r="742" spans="1:8" x14ac:dyDescent="0.25">
      <c r="A742" s="1" t="s">
        <v>16</v>
      </c>
      <c r="B742" s="1" t="s">
        <v>17</v>
      </c>
      <c r="C742" s="6">
        <v>32500</v>
      </c>
      <c r="D742" s="6">
        <v>0</v>
      </c>
      <c r="E742" s="6">
        <v>0</v>
      </c>
      <c r="F742" s="6">
        <v>0</v>
      </c>
      <c r="G742" s="7" t="s">
        <v>18</v>
      </c>
      <c r="H742" s="1">
        <f t="shared" si="11"/>
        <v>0</v>
      </c>
    </row>
    <row r="743" spans="1:8" x14ac:dyDescent="0.25">
      <c r="A743" s="1" t="s">
        <v>16</v>
      </c>
      <c r="B743" s="1" t="s">
        <v>17</v>
      </c>
      <c r="C743" s="6">
        <v>7035</v>
      </c>
      <c r="D743" s="6">
        <v>1653.75</v>
      </c>
      <c r="E743" s="6">
        <v>1653.75</v>
      </c>
      <c r="F743" s="6">
        <v>1653.75</v>
      </c>
      <c r="G743" s="7" t="s">
        <v>18</v>
      </c>
      <c r="H743" s="1">
        <f t="shared" si="11"/>
        <v>0.23507462686567165</v>
      </c>
    </row>
    <row r="744" spans="1:8" x14ac:dyDescent="0.25">
      <c r="A744" s="1" t="s">
        <v>16</v>
      </c>
      <c r="B744" s="1" t="s">
        <v>17</v>
      </c>
      <c r="C744" s="6">
        <v>88743</v>
      </c>
      <c r="D744" s="6">
        <v>58835.347500000003</v>
      </c>
      <c r="E744" s="6">
        <v>20185.255000000001</v>
      </c>
      <c r="F744" s="6">
        <v>19887.755000000001</v>
      </c>
      <c r="G744" s="7" t="s">
        <v>18</v>
      </c>
      <c r="H744" s="1">
        <f t="shared" si="11"/>
        <v>0.66298578479429371</v>
      </c>
    </row>
    <row r="745" spans="1:8" x14ac:dyDescent="0.25">
      <c r="A745" s="1" t="s">
        <v>16</v>
      </c>
      <c r="B745" s="1" t="s">
        <v>17</v>
      </c>
      <c r="C745" s="6">
        <v>40000</v>
      </c>
      <c r="D745" s="6">
        <v>32688.557499999999</v>
      </c>
      <c r="E745" s="6">
        <v>3866.1374999999998</v>
      </c>
      <c r="F745" s="6">
        <v>0</v>
      </c>
      <c r="G745" s="7" t="s">
        <v>18</v>
      </c>
      <c r="H745" s="1">
        <f t="shared" si="11"/>
        <v>0.81721393749999993</v>
      </c>
    </row>
    <row r="746" spans="1:8" x14ac:dyDescent="0.25">
      <c r="A746" s="1" t="s">
        <v>16</v>
      </c>
      <c r="B746" s="1" t="s">
        <v>17</v>
      </c>
      <c r="C746" s="6">
        <v>194222</v>
      </c>
      <c r="D746" s="6">
        <v>171798.69500000001</v>
      </c>
      <c r="E746" s="6">
        <v>160637.4975</v>
      </c>
      <c r="F746" s="6">
        <v>117214.57</v>
      </c>
      <c r="G746" s="7" t="s">
        <v>18</v>
      </c>
      <c r="H746" s="1">
        <f t="shared" si="11"/>
        <v>0.88454806870488412</v>
      </c>
    </row>
    <row r="747" spans="1:8" x14ac:dyDescent="0.25">
      <c r="A747" s="1" t="s">
        <v>16</v>
      </c>
      <c r="B747" s="1" t="s">
        <v>17</v>
      </c>
      <c r="C747" s="6">
        <v>15800</v>
      </c>
      <c r="D747" s="6">
        <v>190573.20499999999</v>
      </c>
      <c r="E747" s="6">
        <v>176462.8475</v>
      </c>
      <c r="F747" s="6">
        <v>175712.76500000001</v>
      </c>
      <c r="G747" s="7" t="s">
        <v>18</v>
      </c>
      <c r="H747" s="1">
        <f t="shared" si="11"/>
        <v>12.061595253164556</v>
      </c>
    </row>
    <row r="748" spans="1:8" x14ac:dyDescent="0.25">
      <c r="A748" s="1" t="s">
        <v>16</v>
      </c>
      <c r="B748" s="1" t="s">
        <v>17</v>
      </c>
      <c r="C748" s="6">
        <v>112612.5</v>
      </c>
      <c r="D748" s="6">
        <v>49142.652499999997</v>
      </c>
      <c r="E748" s="6">
        <v>45776.959999999999</v>
      </c>
      <c r="F748" s="6">
        <v>45455.25</v>
      </c>
      <c r="G748" s="7" t="s">
        <v>18</v>
      </c>
      <c r="H748" s="1">
        <f t="shared" si="11"/>
        <v>0.43638719058719055</v>
      </c>
    </row>
    <row r="749" spans="1:8" x14ac:dyDescent="0.25">
      <c r="A749" s="1" t="s">
        <v>16</v>
      </c>
      <c r="B749" s="1" t="s">
        <v>17</v>
      </c>
      <c r="C749" s="6">
        <v>37500</v>
      </c>
      <c r="D749" s="6">
        <v>0</v>
      </c>
      <c r="E749" s="6">
        <v>0</v>
      </c>
      <c r="F749" s="6">
        <v>0</v>
      </c>
      <c r="G749" s="7" t="s">
        <v>18</v>
      </c>
      <c r="H749" s="1">
        <f t="shared" si="11"/>
        <v>0</v>
      </c>
    </row>
    <row r="750" spans="1:8" x14ac:dyDescent="0.25">
      <c r="A750" s="1" t="s">
        <v>16</v>
      </c>
      <c r="B750" s="1" t="s">
        <v>17</v>
      </c>
      <c r="C750" s="6">
        <v>75000</v>
      </c>
      <c r="D750" s="6">
        <v>0</v>
      </c>
      <c r="E750" s="6">
        <v>0</v>
      </c>
      <c r="F750" s="6">
        <v>0</v>
      </c>
      <c r="G750" s="7" t="s">
        <v>18</v>
      </c>
      <c r="H750" s="1">
        <f t="shared" si="11"/>
        <v>0</v>
      </c>
    </row>
    <row r="751" spans="1:8" x14ac:dyDescent="0.25">
      <c r="A751" s="1" t="s">
        <v>16</v>
      </c>
      <c r="B751" s="1" t="s">
        <v>17</v>
      </c>
      <c r="C751" s="6">
        <v>161152.5</v>
      </c>
      <c r="D751" s="6">
        <v>0</v>
      </c>
      <c r="E751" s="6">
        <v>0</v>
      </c>
      <c r="F751" s="6">
        <v>0</v>
      </c>
      <c r="G751" s="7" t="s">
        <v>18</v>
      </c>
      <c r="H751" s="1">
        <f t="shared" si="11"/>
        <v>0</v>
      </c>
    </row>
    <row r="752" spans="1:8" x14ac:dyDescent="0.25">
      <c r="A752" s="1" t="s">
        <v>16</v>
      </c>
      <c r="B752" s="1" t="s">
        <v>17</v>
      </c>
      <c r="C752" s="6">
        <v>37500</v>
      </c>
      <c r="D752" s="6">
        <v>0</v>
      </c>
      <c r="E752" s="6">
        <v>0</v>
      </c>
      <c r="F752" s="6">
        <v>0</v>
      </c>
      <c r="G752" s="7" t="s">
        <v>18</v>
      </c>
      <c r="H752" s="1">
        <f t="shared" si="11"/>
        <v>0</v>
      </c>
    </row>
    <row r="753" spans="1:8" x14ac:dyDescent="0.25">
      <c r="A753" s="1" t="s">
        <v>16</v>
      </c>
      <c r="B753" s="1" t="s">
        <v>17</v>
      </c>
      <c r="C753" s="6">
        <v>37500</v>
      </c>
      <c r="D753" s="6">
        <v>0</v>
      </c>
      <c r="E753" s="6">
        <v>0</v>
      </c>
      <c r="F753" s="6">
        <v>0</v>
      </c>
      <c r="G753" s="7" t="s">
        <v>18</v>
      </c>
      <c r="H753" s="1">
        <f t="shared" si="11"/>
        <v>0</v>
      </c>
    </row>
    <row r="754" spans="1:8" x14ac:dyDescent="0.25">
      <c r="A754" s="1" t="s">
        <v>16</v>
      </c>
      <c r="B754" s="1" t="s">
        <v>17</v>
      </c>
      <c r="C754" s="6">
        <v>12500</v>
      </c>
      <c r="D754" s="6">
        <v>0</v>
      </c>
      <c r="E754" s="6">
        <v>0</v>
      </c>
      <c r="F754" s="6">
        <v>0</v>
      </c>
      <c r="G754" s="7" t="s">
        <v>18</v>
      </c>
      <c r="H754" s="1">
        <f t="shared" si="11"/>
        <v>0</v>
      </c>
    </row>
    <row r="755" spans="1:8" x14ac:dyDescent="0.25">
      <c r="A755" s="1" t="s">
        <v>16</v>
      </c>
      <c r="B755" s="1" t="s">
        <v>17</v>
      </c>
      <c r="C755" s="6">
        <v>25000</v>
      </c>
      <c r="D755" s="6">
        <v>0</v>
      </c>
      <c r="E755" s="6">
        <v>0</v>
      </c>
      <c r="F755" s="6">
        <v>0</v>
      </c>
      <c r="G755" s="7" t="s">
        <v>18</v>
      </c>
      <c r="H755" s="1">
        <f t="shared" si="11"/>
        <v>0</v>
      </c>
    </row>
    <row r="756" spans="1:8" x14ac:dyDescent="0.25">
      <c r="A756" s="1" t="s">
        <v>16</v>
      </c>
      <c r="B756" s="1" t="s">
        <v>17</v>
      </c>
      <c r="C756" s="6">
        <v>100000</v>
      </c>
      <c r="D756" s="6">
        <v>0</v>
      </c>
      <c r="E756" s="6">
        <v>0</v>
      </c>
      <c r="F756" s="6">
        <v>0</v>
      </c>
      <c r="G756" s="7" t="s">
        <v>18</v>
      </c>
      <c r="H756" s="1">
        <f t="shared" si="11"/>
        <v>0</v>
      </c>
    </row>
    <row r="757" spans="1:8" x14ac:dyDescent="0.25">
      <c r="A757" s="1" t="s">
        <v>16</v>
      </c>
      <c r="B757" s="1" t="s">
        <v>17</v>
      </c>
      <c r="C757" s="6">
        <v>84734</v>
      </c>
      <c r="D757" s="6">
        <v>0</v>
      </c>
      <c r="E757" s="6">
        <v>0</v>
      </c>
      <c r="F757" s="6">
        <v>0</v>
      </c>
      <c r="G757" s="7" t="s">
        <v>18</v>
      </c>
      <c r="H757" s="1">
        <f t="shared" si="11"/>
        <v>0</v>
      </c>
    </row>
    <row r="758" spans="1:8" x14ac:dyDescent="0.25">
      <c r="A758" s="1" t="s">
        <v>16</v>
      </c>
      <c r="B758" s="1" t="s">
        <v>17</v>
      </c>
      <c r="C758" s="6">
        <v>84734</v>
      </c>
      <c r="D758" s="6">
        <v>0</v>
      </c>
      <c r="E758" s="6">
        <v>0</v>
      </c>
      <c r="F758" s="6">
        <v>0</v>
      </c>
      <c r="G758" s="7" t="s">
        <v>18</v>
      </c>
      <c r="H758" s="1">
        <f t="shared" si="11"/>
        <v>0</v>
      </c>
    </row>
    <row r="759" spans="1:8" x14ac:dyDescent="0.25">
      <c r="A759" s="1" t="s">
        <v>16</v>
      </c>
      <c r="B759" s="1" t="s">
        <v>17</v>
      </c>
      <c r="C759" s="6">
        <v>38020</v>
      </c>
      <c r="D759" s="6">
        <v>0</v>
      </c>
      <c r="E759" s="6">
        <v>0</v>
      </c>
      <c r="F759" s="6">
        <v>0</v>
      </c>
      <c r="G759" s="7" t="s">
        <v>18</v>
      </c>
      <c r="H759" s="1">
        <f t="shared" si="11"/>
        <v>0</v>
      </c>
    </row>
    <row r="760" spans="1:8" x14ac:dyDescent="0.25">
      <c r="A760" s="1" t="s">
        <v>16</v>
      </c>
      <c r="B760" s="1" t="s">
        <v>17</v>
      </c>
      <c r="C760" s="6">
        <v>220000</v>
      </c>
      <c r="D760" s="6">
        <v>0</v>
      </c>
      <c r="E760" s="6">
        <v>0</v>
      </c>
      <c r="F760" s="6">
        <v>0</v>
      </c>
      <c r="G760" s="7" t="s">
        <v>18</v>
      </c>
      <c r="H760" s="1">
        <f t="shared" si="11"/>
        <v>0</v>
      </c>
    </row>
    <row r="761" spans="1:8" x14ac:dyDescent="0.25">
      <c r="A761" s="1" t="s">
        <v>16</v>
      </c>
      <c r="B761" s="1" t="s">
        <v>17</v>
      </c>
      <c r="C761" s="6">
        <v>54494</v>
      </c>
      <c r="D761" s="6">
        <v>12317.8375</v>
      </c>
      <c r="E761" s="6">
        <v>2858.5374999999999</v>
      </c>
      <c r="F761" s="6">
        <v>2858.5374999999999</v>
      </c>
      <c r="G761" s="7" t="s">
        <v>18</v>
      </c>
      <c r="H761" s="1">
        <f t="shared" si="11"/>
        <v>0.22604025213785003</v>
      </c>
    </row>
    <row r="762" spans="1:8" x14ac:dyDescent="0.25">
      <c r="A762" s="1" t="s">
        <v>16</v>
      </c>
      <c r="B762" s="1" t="s">
        <v>17</v>
      </c>
      <c r="C762" s="6">
        <v>2779264.75</v>
      </c>
      <c r="D762" s="6">
        <v>2769054.5525000002</v>
      </c>
      <c r="E762" s="6">
        <v>2608006.6949999998</v>
      </c>
      <c r="F762" s="6">
        <v>2560802.6549999998</v>
      </c>
      <c r="G762" s="7" t="s">
        <v>18</v>
      </c>
      <c r="H762" s="1">
        <f t="shared" si="11"/>
        <v>0.99632629547077167</v>
      </c>
    </row>
    <row r="763" spans="1:8" x14ac:dyDescent="0.25">
      <c r="A763" s="1" t="s">
        <v>16</v>
      </c>
      <c r="B763" s="1" t="s">
        <v>17</v>
      </c>
      <c r="C763" s="6">
        <v>9864501.75</v>
      </c>
      <c r="D763" s="6">
        <v>9127812.6374999993</v>
      </c>
      <c r="E763" s="6">
        <v>8757995.2200000007</v>
      </c>
      <c r="F763" s="6">
        <v>8637631.7349999994</v>
      </c>
      <c r="G763" s="7" t="s">
        <v>18</v>
      </c>
      <c r="H763" s="1">
        <f t="shared" si="11"/>
        <v>0.92531917666292662</v>
      </c>
    </row>
    <row r="764" spans="1:8" x14ac:dyDescent="0.25">
      <c r="A764" s="1" t="s">
        <v>16</v>
      </c>
      <c r="B764" s="1" t="s">
        <v>17</v>
      </c>
      <c r="C764" s="6">
        <v>149750</v>
      </c>
      <c r="D764" s="6">
        <v>100000</v>
      </c>
      <c r="E764" s="6">
        <v>0</v>
      </c>
      <c r="F764" s="6">
        <v>0</v>
      </c>
      <c r="G764" s="7" t="s">
        <v>18</v>
      </c>
      <c r="H764" s="1">
        <f t="shared" si="11"/>
        <v>0.667779632721202</v>
      </c>
    </row>
    <row r="765" spans="1:8" x14ac:dyDescent="0.25">
      <c r="A765" s="1" t="s">
        <v>16</v>
      </c>
      <c r="B765" s="1" t="s">
        <v>17</v>
      </c>
      <c r="C765" s="6">
        <v>449163.75</v>
      </c>
      <c r="D765" s="6">
        <v>346229.0625</v>
      </c>
      <c r="E765" s="6">
        <v>275292.73249999998</v>
      </c>
      <c r="F765" s="6">
        <v>266240.28000000003</v>
      </c>
      <c r="G765" s="7" t="s">
        <v>18</v>
      </c>
      <c r="H765" s="1">
        <f t="shared" si="11"/>
        <v>0.77083037644956875</v>
      </c>
    </row>
    <row r="766" spans="1:8" x14ac:dyDescent="0.25">
      <c r="A766" s="1" t="s">
        <v>16</v>
      </c>
      <c r="B766" s="1" t="s">
        <v>17</v>
      </c>
      <c r="C766" s="6">
        <v>34000</v>
      </c>
      <c r="D766" s="6">
        <v>0</v>
      </c>
      <c r="E766" s="6">
        <v>0</v>
      </c>
      <c r="F766" s="6">
        <v>0</v>
      </c>
      <c r="G766" s="7" t="s">
        <v>18</v>
      </c>
      <c r="H766" s="1">
        <f t="shared" si="11"/>
        <v>0</v>
      </c>
    </row>
    <row r="767" spans="1:8" x14ac:dyDescent="0.25">
      <c r="A767" s="1" t="s">
        <v>16</v>
      </c>
      <c r="B767" s="1" t="s">
        <v>19</v>
      </c>
      <c r="C767" s="6">
        <v>5601124</v>
      </c>
      <c r="D767" s="6">
        <v>1097882.19</v>
      </c>
      <c r="E767" s="6">
        <v>919214.13</v>
      </c>
      <c r="F767" s="6">
        <v>860661.13</v>
      </c>
      <c r="G767" s="7" t="s">
        <v>18</v>
      </c>
      <c r="H767" s="1">
        <f t="shared" si="11"/>
        <v>0.19601104885376577</v>
      </c>
    </row>
    <row r="768" spans="1:8" x14ac:dyDescent="0.25">
      <c r="A768" s="1" t="s">
        <v>16</v>
      </c>
      <c r="B768" s="1" t="s">
        <v>19</v>
      </c>
      <c r="C768" s="6">
        <v>50000</v>
      </c>
      <c r="D768" s="6">
        <v>1436.4</v>
      </c>
      <c r="E768" s="6">
        <v>1436.4</v>
      </c>
      <c r="F768" s="6">
        <v>1436.4</v>
      </c>
      <c r="G768" s="7" t="s">
        <v>18</v>
      </c>
      <c r="H768" s="1">
        <f t="shared" si="11"/>
        <v>2.8728000000000004E-2</v>
      </c>
    </row>
    <row r="769" spans="1:8" x14ac:dyDescent="0.25">
      <c r="A769" s="1" t="s">
        <v>16</v>
      </c>
      <c r="B769" s="1" t="s">
        <v>19</v>
      </c>
      <c r="C769" s="6">
        <v>644610</v>
      </c>
      <c r="D769" s="6">
        <v>0</v>
      </c>
      <c r="E769" s="6">
        <v>0</v>
      </c>
      <c r="F769" s="6">
        <v>0</v>
      </c>
      <c r="G769" s="7" t="s">
        <v>18</v>
      </c>
      <c r="H769" s="1">
        <f t="shared" si="11"/>
        <v>0</v>
      </c>
    </row>
    <row r="770" spans="1:8" x14ac:dyDescent="0.25">
      <c r="A770" s="1" t="s">
        <v>16</v>
      </c>
      <c r="B770" s="1" t="s">
        <v>19</v>
      </c>
      <c r="C770" s="6">
        <v>80000</v>
      </c>
      <c r="D770" s="6">
        <v>79999.64</v>
      </c>
      <c r="E770" s="6">
        <v>0</v>
      </c>
      <c r="F770" s="6">
        <v>0</v>
      </c>
      <c r="G770" s="7" t="s">
        <v>18</v>
      </c>
      <c r="H770" s="1">
        <f t="shared" ref="H770:H833" si="12">IF(OR(ISNA($D770),ISNA($C770),$C770=0),0,$D770/$C770)</f>
        <v>0.99999550000000004</v>
      </c>
    </row>
    <row r="771" spans="1:8" x14ac:dyDescent="0.25">
      <c r="A771" s="1" t="s">
        <v>16</v>
      </c>
      <c r="B771" s="1" t="s">
        <v>19</v>
      </c>
      <c r="C771" s="6">
        <v>100000</v>
      </c>
      <c r="D771" s="6">
        <v>0</v>
      </c>
      <c r="E771" s="6">
        <v>0</v>
      </c>
      <c r="F771" s="6">
        <v>0</v>
      </c>
      <c r="G771" s="7" t="s">
        <v>18</v>
      </c>
      <c r="H771" s="1">
        <f t="shared" si="12"/>
        <v>0</v>
      </c>
    </row>
    <row r="772" spans="1:8" x14ac:dyDescent="0.25">
      <c r="A772" s="1" t="s">
        <v>16</v>
      </c>
      <c r="B772" s="1" t="s">
        <v>19</v>
      </c>
      <c r="C772" s="6">
        <v>100000</v>
      </c>
      <c r="D772" s="6">
        <v>0</v>
      </c>
      <c r="E772" s="6">
        <v>0</v>
      </c>
      <c r="F772" s="6">
        <v>0</v>
      </c>
      <c r="G772" s="7" t="s">
        <v>18</v>
      </c>
      <c r="H772" s="1">
        <f t="shared" si="12"/>
        <v>0</v>
      </c>
    </row>
    <row r="773" spans="1:8" x14ac:dyDescent="0.25">
      <c r="A773" s="1" t="s">
        <v>16</v>
      </c>
      <c r="B773" s="1" t="s">
        <v>19</v>
      </c>
      <c r="C773" s="6">
        <v>2518.75</v>
      </c>
      <c r="D773" s="6">
        <v>2948.2925</v>
      </c>
      <c r="E773" s="6">
        <v>2450</v>
      </c>
      <c r="F773" s="6">
        <v>2341.25</v>
      </c>
      <c r="G773" s="7" t="s">
        <v>18</v>
      </c>
      <c r="H773" s="1">
        <f t="shared" si="12"/>
        <v>1.1705379652605459</v>
      </c>
    </row>
    <row r="774" spans="1:8" x14ac:dyDescent="0.25">
      <c r="A774" s="1" t="s">
        <v>16</v>
      </c>
      <c r="B774" s="1" t="s">
        <v>19</v>
      </c>
      <c r="C774" s="6">
        <v>397045</v>
      </c>
      <c r="D774" s="6">
        <v>261874.83249999999</v>
      </c>
      <c r="E774" s="6">
        <v>258471.88500000001</v>
      </c>
      <c r="F774" s="6">
        <v>257647.19750000001</v>
      </c>
      <c r="G774" s="7" t="s">
        <v>18</v>
      </c>
      <c r="H774" s="1">
        <f t="shared" si="12"/>
        <v>0.65955957762973971</v>
      </c>
    </row>
    <row r="775" spans="1:8" x14ac:dyDescent="0.25">
      <c r="A775" s="1" t="s">
        <v>16</v>
      </c>
      <c r="B775" s="1" t="s">
        <v>19</v>
      </c>
      <c r="C775" s="6">
        <v>110000</v>
      </c>
      <c r="D775" s="6">
        <v>165021.6</v>
      </c>
      <c r="E775" s="6">
        <v>147983.4325</v>
      </c>
      <c r="F775" s="6">
        <v>79541.925000000003</v>
      </c>
      <c r="G775" s="7" t="s">
        <v>18</v>
      </c>
      <c r="H775" s="1">
        <f t="shared" si="12"/>
        <v>1.5001963636363638</v>
      </c>
    </row>
    <row r="776" spans="1:8" x14ac:dyDescent="0.25">
      <c r="A776" s="1" t="s">
        <v>16</v>
      </c>
      <c r="B776" s="1" t="s">
        <v>19</v>
      </c>
      <c r="C776" s="6">
        <v>14457</v>
      </c>
      <c r="D776" s="6">
        <v>0</v>
      </c>
      <c r="E776" s="6">
        <v>0</v>
      </c>
      <c r="F776" s="6">
        <v>0</v>
      </c>
      <c r="G776" s="7" t="s">
        <v>18</v>
      </c>
      <c r="H776" s="1">
        <f t="shared" si="12"/>
        <v>0</v>
      </c>
    </row>
    <row r="777" spans="1:8" x14ac:dyDescent="0.25">
      <c r="A777" s="1" t="s">
        <v>16</v>
      </c>
      <c r="B777" s="1" t="s">
        <v>19</v>
      </c>
      <c r="C777" s="6">
        <v>13875</v>
      </c>
      <c r="D777" s="6">
        <v>0</v>
      </c>
      <c r="E777" s="6">
        <v>0</v>
      </c>
      <c r="F777" s="6">
        <v>0</v>
      </c>
      <c r="G777" s="7" t="s">
        <v>18</v>
      </c>
      <c r="H777" s="1">
        <f t="shared" si="12"/>
        <v>0</v>
      </c>
    </row>
    <row r="778" spans="1:8" x14ac:dyDescent="0.25">
      <c r="A778" s="1" t="s">
        <v>16</v>
      </c>
      <c r="B778" s="1" t="s">
        <v>19</v>
      </c>
      <c r="C778" s="6">
        <v>4927.75</v>
      </c>
      <c r="D778" s="6">
        <v>5760.6</v>
      </c>
      <c r="E778" s="6">
        <v>4180.1450000000004</v>
      </c>
      <c r="F778" s="6">
        <v>3190.38</v>
      </c>
      <c r="G778" s="7" t="s">
        <v>18</v>
      </c>
      <c r="H778" s="1">
        <f t="shared" si="12"/>
        <v>1.1690122266754606</v>
      </c>
    </row>
    <row r="779" spans="1:8" x14ac:dyDescent="0.25">
      <c r="A779" s="1" t="s">
        <v>16</v>
      </c>
      <c r="B779" s="1" t="s">
        <v>19</v>
      </c>
      <c r="C779" s="6">
        <v>166921.5</v>
      </c>
      <c r="D779" s="6">
        <v>125</v>
      </c>
      <c r="E779" s="6">
        <v>0</v>
      </c>
      <c r="F779" s="6">
        <v>0</v>
      </c>
      <c r="G779" s="7" t="s">
        <v>18</v>
      </c>
      <c r="H779" s="1">
        <f t="shared" si="12"/>
        <v>7.4885500070392367E-4</v>
      </c>
    </row>
    <row r="780" spans="1:8" x14ac:dyDescent="0.25">
      <c r="A780" s="1" t="s">
        <v>16</v>
      </c>
      <c r="B780" s="1" t="s">
        <v>19</v>
      </c>
      <c r="C780" s="6">
        <v>10000.25</v>
      </c>
      <c r="D780" s="6">
        <v>2375</v>
      </c>
      <c r="E780" s="6">
        <v>1620</v>
      </c>
      <c r="F780" s="6">
        <v>1620</v>
      </c>
      <c r="G780" s="7" t="s">
        <v>18</v>
      </c>
      <c r="H780" s="1">
        <f t="shared" si="12"/>
        <v>0.23749406264843378</v>
      </c>
    </row>
    <row r="781" spans="1:8" x14ac:dyDescent="0.25">
      <c r="A781" s="1" t="s">
        <v>16</v>
      </c>
      <c r="B781" s="1" t="s">
        <v>19</v>
      </c>
      <c r="C781" s="6">
        <v>10000</v>
      </c>
      <c r="D781" s="6">
        <v>0</v>
      </c>
      <c r="E781" s="6">
        <v>0</v>
      </c>
      <c r="F781" s="6">
        <v>0</v>
      </c>
      <c r="G781" s="7" t="s">
        <v>18</v>
      </c>
      <c r="H781" s="1">
        <f t="shared" si="12"/>
        <v>0</v>
      </c>
    </row>
    <row r="782" spans="1:8" x14ac:dyDescent="0.25">
      <c r="A782" s="1" t="s">
        <v>16</v>
      </c>
      <c r="B782" s="1" t="s">
        <v>19</v>
      </c>
      <c r="C782" s="6">
        <v>75000</v>
      </c>
      <c r="D782" s="6">
        <v>75000</v>
      </c>
      <c r="E782" s="6">
        <v>0</v>
      </c>
      <c r="F782" s="6">
        <v>0</v>
      </c>
      <c r="G782" s="7" t="s">
        <v>18</v>
      </c>
      <c r="H782" s="1">
        <f t="shared" si="12"/>
        <v>1</v>
      </c>
    </row>
    <row r="783" spans="1:8" x14ac:dyDescent="0.25">
      <c r="A783" s="1" t="s">
        <v>16</v>
      </c>
      <c r="B783" s="1" t="s">
        <v>19</v>
      </c>
      <c r="C783" s="6">
        <v>12500</v>
      </c>
      <c r="D783" s="6">
        <v>642.5</v>
      </c>
      <c r="E783" s="6">
        <v>642.5</v>
      </c>
      <c r="F783" s="6">
        <v>642.5</v>
      </c>
      <c r="G783" s="7" t="s">
        <v>18</v>
      </c>
      <c r="H783" s="1">
        <f t="shared" si="12"/>
        <v>5.1400000000000001E-2</v>
      </c>
    </row>
    <row r="784" spans="1:8" x14ac:dyDescent="0.25">
      <c r="A784" s="1" t="s">
        <v>16</v>
      </c>
      <c r="B784" s="1" t="s">
        <v>19</v>
      </c>
      <c r="C784" s="6">
        <v>648596.5</v>
      </c>
      <c r="D784" s="6">
        <v>454623.79749999999</v>
      </c>
      <c r="E784" s="6">
        <v>389459.26750000002</v>
      </c>
      <c r="F784" s="6">
        <v>388206.6</v>
      </c>
      <c r="G784" s="7" t="s">
        <v>18</v>
      </c>
      <c r="H784" s="1">
        <f t="shared" si="12"/>
        <v>0.7009347067090248</v>
      </c>
    </row>
    <row r="785" spans="1:8" x14ac:dyDescent="0.25">
      <c r="A785" s="1" t="s">
        <v>16</v>
      </c>
      <c r="B785" s="1" t="s">
        <v>19</v>
      </c>
      <c r="C785" s="6">
        <v>158026.5</v>
      </c>
      <c r="D785" s="6">
        <v>158026.5</v>
      </c>
      <c r="E785" s="6">
        <v>144709.9675</v>
      </c>
      <c r="F785" s="6">
        <v>144709.9675</v>
      </c>
      <c r="G785" s="7" t="s">
        <v>18</v>
      </c>
      <c r="H785" s="1">
        <f t="shared" si="12"/>
        <v>1</v>
      </c>
    </row>
    <row r="786" spans="1:8" x14ac:dyDescent="0.25">
      <c r="A786" s="1" t="s">
        <v>16</v>
      </c>
      <c r="B786" s="1" t="s">
        <v>19</v>
      </c>
      <c r="C786" s="6">
        <v>423365.5</v>
      </c>
      <c r="D786" s="6">
        <v>337358.38750000001</v>
      </c>
      <c r="E786" s="6">
        <v>327477.85249999998</v>
      </c>
      <c r="F786" s="6">
        <v>327477.85249999998</v>
      </c>
      <c r="G786" s="7" t="s">
        <v>18</v>
      </c>
      <c r="H786" s="1">
        <f t="shared" si="12"/>
        <v>0.79684902879426878</v>
      </c>
    </row>
    <row r="787" spans="1:8" x14ac:dyDescent="0.25">
      <c r="A787" s="1" t="s">
        <v>16</v>
      </c>
      <c r="B787" s="1" t="s">
        <v>19</v>
      </c>
      <c r="C787" s="6">
        <v>12500</v>
      </c>
      <c r="D787" s="6">
        <v>0</v>
      </c>
      <c r="E787" s="6">
        <v>0</v>
      </c>
      <c r="F787" s="6">
        <v>0</v>
      </c>
      <c r="G787" s="7" t="s">
        <v>18</v>
      </c>
      <c r="H787" s="1">
        <f t="shared" si="12"/>
        <v>0</v>
      </c>
    </row>
    <row r="788" spans="1:8" x14ac:dyDescent="0.25">
      <c r="A788" s="1" t="s">
        <v>16</v>
      </c>
      <c r="B788" s="1" t="s">
        <v>19</v>
      </c>
      <c r="C788" s="6">
        <v>2572747.5</v>
      </c>
      <c r="D788" s="6">
        <v>72747.774999999994</v>
      </c>
      <c r="E788" s="6">
        <v>6275.3649999999998</v>
      </c>
      <c r="F788" s="6">
        <v>6275.3649999999998</v>
      </c>
      <c r="G788" s="7" t="s">
        <v>18</v>
      </c>
      <c r="H788" s="1">
        <f t="shared" si="12"/>
        <v>2.8276298004370811E-2</v>
      </c>
    </row>
    <row r="789" spans="1:8" x14ac:dyDescent="0.25">
      <c r="A789" s="1" t="s">
        <v>16</v>
      </c>
      <c r="B789" s="1" t="s">
        <v>19</v>
      </c>
      <c r="C789" s="6">
        <v>11500</v>
      </c>
      <c r="D789" s="6">
        <v>11500</v>
      </c>
      <c r="E789" s="6">
        <v>0</v>
      </c>
      <c r="F789" s="6">
        <v>0</v>
      </c>
      <c r="G789" s="7" t="s">
        <v>18</v>
      </c>
      <c r="H789" s="1">
        <f t="shared" si="12"/>
        <v>1</v>
      </c>
    </row>
    <row r="790" spans="1:8" x14ac:dyDescent="0.25">
      <c r="A790" s="1" t="s">
        <v>16</v>
      </c>
      <c r="B790" s="1" t="s">
        <v>19</v>
      </c>
      <c r="C790" s="6">
        <v>86400</v>
      </c>
      <c r="D790" s="6">
        <v>0</v>
      </c>
      <c r="E790" s="6">
        <v>0</v>
      </c>
      <c r="F790" s="6">
        <v>0</v>
      </c>
      <c r="G790" s="7" t="s">
        <v>18</v>
      </c>
      <c r="H790" s="1">
        <f t="shared" si="12"/>
        <v>0</v>
      </c>
    </row>
    <row r="791" spans="1:8" x14ac:dyDescent="0.25">
      <c r="A791" s="1" t="s">
        <v>16</v>
      </c>
      <c r="B791" s="1" t="s">
        <v>19</v>
      </c>
      <c r="C791" s="6">
        <v>9250</v>
      </c>
      <c r="D791" s="6">
        <v>0</v>
      </c>
      <c r="E791" s="6">
        <v>0</v>
      </c>
      <c r="F791" s="6">
        <v>0</v>
      </c>
      <c r="G791" s="7" t="s">
        <v>18</v>
      </c>
      <c r="H791" s="1">
        <f t="shared" si="12"/>
        <v>0</v>
      </c>
    </row>
    <row r="792" spans="1:8" x14ac:dyDescent="0.25">
      <c r="A792" s="1" t="s">
        <v>16</v>
      </c>
      <c r="B792" s="1" t="s">
        <v>19</v>
      </c>
      <c r="C792" s="6">
        <v>28250</v>
      </c>
      <c r="D792" s="6">
        <v>0</v>
      </c>
      <c r="E792" s="6">
        <v>0</v>
      </c>
      <c r="F792" s="6">
        <v>0</v>
      </c>
      <c r="G792" s="7" t="s">
        <v>18</v>
      </c>
      <c r="H792" s="1">
        <f t="shared" si="12"/>
        <v>0</v>
      </c>
    </row>
    <row r="793" spans="1:8" x14ac:dyDescent="0.25">
      <c r="A793" s="1" t="s">
        <v>16</v>
      </c>
      <c r="B793" s="1" t="s">
        <v>19</v>
      </c>
      <c r="C793" s="6">
        <v>15000</v>
      </c>
      <c r="D793" s="6">
        <v>15000</v>
      </c>
      <c r="E793" s="6">
        <v>0</v>
      </c>
      <c r="F793" s="6">
        <v>0</v>
      </c>
      <c r="G793" s="7" t="s">
        <v>18</v>
      </c>
      <c r="H793" s="1">
        <f t="shared" si="12"/>
        <v>1</v>
      </c>
    </row>
    <row r="794" spans="1:8" x14ac:dyDescent="0.25">
      <c r="A794" s="1" t="s">
        <v>16</v>
      </c>
      <c r="B794" s="1" t="s">
        <v>19</v>
      </c>
      <c r="C794" s="6">
        <v>12500</v>
      </c>
      <c r="D794" s="6">
        <v>38348.275000000001</v>
      </c>
      <c r="E794" s="6">
        <v>0</v>
      </c>
      <c r="F794" s="6">
        <v>0</v>
      </c>
      <c r="G794" s="7" t="s">
        <v>18</v>
      </c>
      <c r="H794" s="1">
        <f t="shared" si="12"/>
        <v>3.0678620000000003</v>
      </c>
    </row>
    <row r="795" spans="1:8" x14ac:dyDescent="0.25">
      <c r="A795" s="1" t="s">
        <v>16</v>
      </c>
      <c r="B795" s="1" t="s">
        <v>19</v>
      </c>
      <c r="C795" s="6">
        <v>42500.25</v>
      </c>
      <c r="D795" s="6">
        <v>4663.9975000000004</v>
      </c>
      <c r="E795" s="6">
        <v>3447.1275000000001</v>
      </c>
      <c r="F795" s="6">
        <v>3447.1275000000001</v>
      </c>
      <c r="G795" s="7" t="s">
        <v>18</v>
      </c>
      <c r="H795" s="1">
        <f t="shared" si="12"/>
        <v>0.10974047211486992</v>
      </c>
    </row>
    <row r="796" spans="1:8" x14ac:dyDescent="0.25">
      <c r="A796" s="1" t="s">
        <v>16</v>
      </c>
      <c r="B796" s="1" t="s">
        <v>19</v>
      </c>
      <c r="C796" s="6">
        <v>161152.5</v>
      </c>
      <c r="D796" s="6">
        <v>0</v>
      </c>
      <c r="E796" s="6">
        <v>0</v>
      </c>
      <c r="F796" s="6">
        <v>0</v>
      </c>
      <c r="G796" s="7" t="s">
        <v>18</v>
      </c>
      <c r="H796" s="1">
        <f t="shared" si="12"/>
        <v>0</v>
      </c>
    </row>
    <row r="797" spans="1:8" x14ac:dyDescent="0.25">
      <c r="A797" s="1" t="s">
        <v>16</v>
      </c>
      <c r="B797" s="1" t="s">
        <v>19</v>
      </c>
      <c r="C797" s="6">
        <v>62500</v>
      </c>
      <c r="D797" s="6">
        <v>62500</v>
      </c>
      <c r="E797" s="6">
        <v>62500</v>
      </c>
      <c r="F797" s="6">
        <v>62500</v>
      </c>
      <c r="G797" s="7" t="s">
        <v>18</v>
      </c>
      <c r="H797" s="1">
        <f t="shared" si="12"/>
        <v>1</v>
      </c>
    </row>
    <row r="798" spans="1:8" x14ac:dyDescent="0.25">
      <c r="A798" s="1" t="s">
        <v>16</v>
      </c>
      <c r="B798" s="1" t="s">
        <v>19</v>
      </c>
      <c r="C798" s="6">
        <v>215750</v>
      </c>
      <c r="D798" s="6">
        <v>203706.965</v>
      </c>
      <c r="E798" s="6">
        <v>203706.965</v>
      </c>
      <c r="F798" s="6">
        <v>203706.965</v>
      </c>
      <c r="G798" s="7" t="s">
        <v>18</v>
      </c>
      <c r="H798" s="1">
        <f t="shared" si="12"/>
        <v>0.94418060254924685</v>
      </c>
    </row>
    <row r="799" spans="1:8" x14ac:dyDescent="0.25">
      <c r="A799" s="1" t="s">
        <v>16</v>
      </c>
      <c r="B799" s="1" t="s">
        <v>19</v>
      </c>
      <c r="C799" s="6">
        <v>25000</v>
      </c>
      <c r="D799" s="6">
        <v>10000</v>
      </c>
      <c r="E799" s="6">
        <v>0</v>
      </c>
      <c r="F799" s="6">
        <v>0</v>
      </c>
      <c r="G799" s="7" t="s">
        <v>18</v>
      </c>
      <c r="H799" s="1">
        <f t="shared" si="12"/>
        <v>0.4</v>
      </c>
    </row>
    <row r="800" spans="1:8" x14ac:dyDescent="0.25">
      <c r="A800" s="1" t="s">
        <v>16</v>
      </c>
      <c r="B800" s="1" t="s">
        <v>19</v>
      </c>
      <c r="C800" s="6">
        <v>25000</v>
      </c>
      <c r="D800" s="6">
        <v>25000</v>
      </c>
      <c r="E800" s="6">
        <v>25000</v>
      </c>
      <c r="F800" s="6">
        <v>25000</v>
      </c>
      <c r="G800" s="7" t="s">
        <v>18</v>
      </c>
      <c r="H800" s="1">
        <f t="shared" si="12"/>
        <v>1</v>
      </c>
    </row>
    <row r="801" spans="1:8" x14ac:dyDescent="0.25">
      <c r="A801" s="1" t="s">
        <v>16</v>
      </c>
      <c r="B801" s="1" t="s">
        <v>19</v>
      </c>
      <c r="C801" s="6">
        <v>25000</v>
      </c>
      <c r="D801" s="6">
        <v>10000</v>
      </c>
      <c r="E801" s="6">
        <v>0</v>
      </c>
      <c r="F801" s="6">
        <v>0</v>
      </c>
      <c r="G801" s="7" t="s">
        <v>18</v>
      </c>
      <c r="H801" s="1">
        <f t="shared" si="12"/>
        <v>0.4</v>
      </c>
    </row>
    <row r="802" spans="1:8" x14ac:dyDescent="0.25">
      <c r="A802" s="1" t="s">
        <v>16</v>
      </c>
      <c r="B802" s="1" t="s">
        <v>19</v>
      </c>
      <c r="C802" s="6">
        <v>25000</v>
      </c>
      <c r="D802" s="6">
        <v>10000</v>
      </c>
      <c r="E802" s="6">
        <v>0</v>
      </c>
      <c r="F802" s="6">
        <v>0</v>
      </c>
      <c r="G802" s="7" t="s">
        <v>18</v>
      </c>
      <c r="H802" s="1">
        <f t="shared" si="12"/>
        <v>0.4</v>
      </c>
    </row>
    <row r="803" spans="1:8" x14ac:dyDescent="0.25">
      <c r="A803" s="1" t="s">
        <v>12</v>
      </c>
      <c r="B803" s="1" t="s">
        <v>13</v>
      </c>
      <c r="C803" s="6">
        <v>17500</v>
      </c>
      <c r="D803" s="6">
        <v>0</v>
      </c>
      <c r="E803" s="6">
        <v>0</v>
      </c>
      <c r="F803" s="6">
        <v>0</v>
      </c>
      <c r="G803" s="7" t="s">
        <v>18</v>
      </c>
      <c r="H803" s="1">
        <f t="shared" si="12"/>
        <v>0</v>
      </c>
    </row>
    <row r="804" spans="1:8" x14ac:dyDescent="0.25">
      <c r="A804" s="1" t="s">
        <v>12</v>
      </c>
      <c r="B804" s="1" t="s">
        <v>13</v>
      </c>
      <c r="C804" s="6">
        <v>25000</v>
      </c>
      <c r="D804" s="6">
        <v>2750</v>
      </c>
      <c r="E804" s="6">
        <v>0</v>
      </c>
      <c r="F804" s="6">
        <v>0</v>
      </c>
      <c r="G804" s="7" t="s">
        <v>18</v>
      </c>
      <c r="H804" s="1">
        <f t="shared" si="12"/>
        <v>0.11</v>
      </c>
    </row>
    <row r="805" spans="1:8" x14ac:dyDescent="0.25">
      <c r="A805" s="1" t="s">
        <v>12</v>
      </c>
      <c r="B805" s="1" t="s">
        <v>13</v>
      </c>
      <c r="C805" s="6">
        <v>217131.75</v>
      </c>
      <c r="D805" s="6">
        <v>121393.74249999999</v>
      </c>
      <c r="E805" s="6">
        <v>76519.547500000001</v>
      </c>
      <c r="F805" s="6">
        <v>76519.547500000001</v>
      </c>
      <c r="G805" s="7" t="s">
        <v>18</v>
      </c>
      <c r="H805" s="1">
        <f t="shared" si="12"/>
        <v>0.55907872754675436</v>
      </c>
    </row>
    <row r="806" spans="1:8" x14ac:dyDescent="0.25">
      <c r="A806" s="1" t="s">
        <v>12</v>
      </c>
      <c r="B806" s="1" t="s">
        <v>13</v>
      </c>
      <c r="C806" s="6">
        <v>1419529.75</v>
      </c>
      <c r="D806" s="6">
        <v>888690.755</v>
      </c>
      <c r="E806" s="6">
        <v>767967.5625</v>
      </c>
      <c r="F806" s="6">
        <v>733603.17249999999</v>
      </c>
      <c r="G806" s="7" t="s">
        <v>18</v>
      </c>
      <c r="H806" s="1">
        <f t="shared" si="12"/>
        <v>0.62604588244804305</v>
      </c>
    </row>
    <row r="807" spans="1:8" x14ac:dyDescent="0.25">
      <c r="A807" s="1" t="s">
        <v>12</v>
      </c>
      <c r="B807" s="1" t="s">
        <v>13</v>
      </c>
      <c r="C807" s="6">
        <v>355555.75</v>
      </c>
      <c r="D807" s="6">
        <v>61979.934999999998</v>
      </c>
      <c r="E807" s="6">
        <v>44404.41</v>
      </c>
      <c r="F807" s="6">
        <v>44404.41</v>
      </c>
      <c r="G807" s="7" t="s">
        <v>18</v>
      </c>
      <c r="H807" s="1">
        <f t="shared" si="12"/>
        <v>0.17431847185708568</v>
      </c>
    </row>
    <row r="808" spans="1:8" x14ac:dyDescent="0.25">
      <c r="A808" s="1" t="s">
        <v>12</v>
      </c>
      <c r="B808" s="1" t="s">
        <v>13</v>
      </c>
      <c r="C808" s="6">
        <v>475708.25</v>
      </c>
      <c r="D808" s="6">
        <v>0</v>
      </c>
      <c r="E808" s="6">
        <v>0</v>
      </c>
      <c r="F808" s="6">
        <v>0</v>
      </c>
      <c r="G808" s="7" t="s">
        <v>18</v>
      </c>
      <c r="H808" s="1">
        <f t="shared" si="12"/>
        <v>0</v>
      </c>
    </row>
    <row r="809" spans="1:8" x14ac:dyDescent="0.25">
      <c r="A809" s="1" t="s">
        <v>12</v>
      </c>
      <c r="B809" s="1" t="s">
        <v>13</v>
      </c>
      <c r="C809" s="6">
        <v>2546957.25</v>
      </c>
      <c r="D809" s="6">
        <v>1624280.625</v>
      </c>
      <c r="E809" s="6">
        <v>1157187.7749999999</v>
      </c>
      <c r="F809" s="6">
        <v>1115221.0774999999</v>
      </c>
      <c r="G809" s="7" t="s">
        <v>18</v>
      </c>
      <c r="H809" s="1">
        <f t="shared" si="12"/>
        <v>0.63773376054898445</v>
      </c>
    </row>
    <row r="810" spans="1:8" x14ac:dyDescent="0.25">
      <c r="A810" s="1" t="s">
        <v>12</v>
      </c>
      <c r="B810" s="1" t="s">
        <v>13</v>
      </c>
      <c r="C810" s="6">
        <v>6773291.75</v>
      </c>
      <c r="D810" s="6">
        <v>3988806.8774999999</v>
      </c>
      <c r="E810" s="6">
        <v>2835146.23</v>
      </c>
      <c r="F810" s="6">
        <v>2835146.23</v>
      </c>
      <c r="G810" s="7" t="s">
        <v>18</v>
      </c>
      <c r="H810" s="1">
        <f t="shared" si="12"/>
        <v>0.58890226860521699</v>
      </c>
    </row>
    <row r="811" spans="1:8" x14ac:dyDescent="0.25">
      <c r="A811" s="1" t="s">
        <v>12</v>
      </c>
      <c r="B811" s="1" t="s">
        <v>13</v>
      </c>
      <c r="C811" s="6">
        <v>1763552.5</v>
      </c>
      <c r="D811" s="6">
        <v>3000</v>
      </c>
      <c r="E811" s="6">
        <v>2500</v>
      </c>
      <c r="F811" s="6">
        <v>2500</v>
      </c>
      <c r="G811" s="7" t="s">
        <v>18</v>
      </c>
      <c r="H811" s="1">
        <f t="shared" si="12"/>
        <v>1.7011118183325985E-3</v>
      </c>
    </row>
    <row r="812" spans="1:8" x14ac:dyDescent="0.25">
      <c r="A812" s="1" t="s">
        <v>12</v>
      </c>
      <c r="B812" s="1" t="s">
        <v>13</v>
      </c>
      <c r="C812" s="6">
        <v>2432060.75</v>
      </c>
      <c r="D812" s="6">
        <v>828391.1825</v>
      </c>
      <c r="E812" s="6">
        <v>702550.22750000004</v>
      </c>
      <c r="F812" s="6">
        <v>702550.22750000004</v>
      </c>
      <c r="G812" s="7" t="s">
        <v>18</v>
      </c>
      <c r="H812" s="1">
        <f t="shared" si="12"/>
        <v>0.34061286606430369</v>
      </c>
    </row>
    <row r="813" spans="1:8" x14ac:dyDescent="0.25">
      <c r="A813" s="1" t="s">
        <v>12</v>
      </c>
      <c r="B813" s="1" t="s">
        <v>13</v>
      </c>
      <c r="C813" s="6">
        <v>495142.5</v>
      </c>
      <c r="D813" s="6">
        <v>134775</v>
      </c>
      <c r="E813" s="6">
        <v>134162.70000000001</v>
      </c>
      <c r="F813" s="6">
        <v>134162.70000000001</v>
      </c>
      <c r="G813" s="7" t="s">
        <v>18</v>
      </c>
      <c r="H813" s="1">
        <f t="shared" si="12"/>
        <v>0.2721943682879171</v>
      </c>
    </row>
    <row r="814" spans="1:8" x14ac:dyDescent="0.25">
      <c r="A814" s="1" t="s">
        <v>12</v>
      </c>
      <c r="B814" s="1" t="s">
        <v>13</v>
      </c>
      <c r="C814" s="6">
        <v>5218102.75</v>
      </c>
      <c r="D814" s="6">
        <v>0</v>
      </c>
      <c r="E814" s="6">
        <v>0</v>
      </c>
      <c r="F814" s="6">
        <v>0</v>
      </c>
      <c r="G814" s="7" t="s">
        <v>18</v>
      </c>
      <c r="H814" s="1">
        <f t="shared" si="12"/>
        <v>0</v>
      </c>
    </row>
    <row r="815" spans="1:8" x14ac:dyDescent="0.25">
      <c r="A815" s="1" t="s">
        <v>12</v>
      </c>
      <c r="B815" s="1" t="s">
        <v>13</v>
      </c>
      <c r="C815" s="6">
        <v>7843680</v>
      </c>
      <c r="D815" s="6">
        <v>5630322.125</v>
      </c>
      <c r="E815" s="6">
        <v>4670574.0774999997</v>
      </c>
      <c r="F815" s="6">
        <v>4603301.82</v>
      </c>
      <c r="G815" s="7" t="s">
        <v>18</v>
      </c>
      <c r="H815" s="1">
        <f t="shared" si="12"/>
        <v>0.71781639804275543</v>
      </c>
    </row>
    <row r="816" spans="1:8" x14ac:dyDescent="0.25">
      <c r="A816" s="1" t="s">
        <v>12</v>
      </c>
      <c r="B816" s="1" t="s">
        <v>13</v>
      </c>
      <c r="C816" s="6">
        <v>136025.5</v>
      </c>
      <c r="D816" s="6">
        <v>868405.73</v>
      </c>
      <c r="E816" s="6">
        <v>519207.53</v>
      </c>
      <c r="F816" s="6">
        <v>519207.53</v>
      </c>
      <c r="G816" s="7" t="s">
        <v>18</v>
      </c>
      <c r="H816" s="1">
        <f t="shared" si="12"/>
        <v>6.3841392238955192</v>
      </c>
    </row>
    <row r="817" spans="1:8" x14ac:dyDescent="0.25">
      <c r="A817" s="1" t="s">
        <v>12</v>
      </c>
      <c r="B817" s="1" t="s">
        <v>13</v>
      </c>
      <c r="C817" s="6">
        <v>310877.25</v>
      </c>
      <c r="D817" s="6">
        <v>135398.375</v>
      </c>
      <c r="E817" s="6">
        <v>46932.29</v>
      </c>
      <c r="F817" s="6">
        <v>46932.29</v>
      </c>
      <c r="G817" s="7" t="s">
        <v>18</v>
      </c>
      <c r="H817" s="1">
        <f t="shared" si="12"/>
        <v>0.43553645369675653</v>
      </c>
    </row>
    <row r="818" spans="1:8" x14ac:dyDescent="0.25">
      <c r="A818" s="1" t="s">
        <v>12</v>
      </c>
      <c r="B818" s="1" t="s">
        <v>13</v>
      </c>
      <c r="C818" s="6">
        <v>330796.75</v>
      </c>
      <c r="D818" s="6">
        <v>36765.047500000001</v>
      </c>
      <c r="E818" s="6">
        <v>36765.047500000001</v>
      </c>
      <c r="F818" s="6">
        <v>36765.047500000001</v>
      </c>
      <c r="G818" s="7" t="s">
        <v>18</v>
      </c>
      <c r="H818" s="1">
        <f t="shared" si="12"/>
        <v>0.11114089694049292</v>
      </c>
    </row>
    <row r="819" spans="1:8" x14ac:dyDescent="0.25">
      <c r="A819" s="1" t="s">
        <v>12</v>
      </c>
      <c r="B819" s="1" t="s">
        <v>13</v>
      </c>
      <c r="C819" s="6">
        <v>282031.25</v>
      </c>
      <c r="D819" s="6">
        <v>0</v>
      </c>
      <c r="E819" s="6">
        <v>0</v>
      </c>
      <c r="F819" s="6">
        <v>0</v>
      </c>
      <c r="G819" s="7" t="s">
        <v>18</v>
      </c>
      <c r="H819" s="1">
        <f t="shared" si="12"/>
        <v>0</v>
      </c>
    </row>
    <row r="820" spans="1:8" x14ac:dyDescent="0.25">
      <c r="A820" s="1" t="s">
        <v>12</v>
      </c>
      <c r="B820" s="1" t="s">
        <v>13</v>
      </c>
      <c r="C820" s="6">
        <v>145003.25</v>
      </c>
      <c r="D820" s="6">
        <v>79921.5</v>
      </c>
      <c r="E820" s="6">
        <v>57589.192499999997</v>
      </c>
      <c r="F820" s="6">
        <v>53974.177499999998</v>
      </c>
      <c r="G820" s="7" t="s">
        <v>18</v>
      </c>
      <c r="H820" s="1">
        <f t="shared" si="12"/>
        <v>0.55117040480127166</v>
      </c>
    </row>
    <row r="821" spans="1:8" x14ac:dyDescent="0.25">
      <c r="A821" s="1" t="s">
        <v>12</v>
      </c>
      <c r="B821" s="1" t="s">
        <v>13</v>
      </c>
      <c r="C821" s="6">
        <v>479540.5</v>
      </c>
      <c r="D821" s="6">
        <v>150000</v>
      </c>
      <c r="E821" s="6">
        <v>11967.08</v>
      </c>
      <c r="F821" s="6">
        <v>11967.08</v>
      </c>
      <c r="G821" s="7" t="s">
        <v>18</v>
      </c>
      <c r="H821" s="1">
        <f t="shared" si="12"/>
        <v>0.31279944029753481</v>
      </c>
    </row>
    <row r="822" spans="1:8" x14ac:dyDescent="0.25">
      <c r="A822" s="1" t="s">
        <v>12</v>
      </c>
      <c r="B822" s="1" t="s">
        <v>13</v>
      </c>
      <c r="C822" s="6">
        <v>1621500</v>
      </c>
      <c r="D822" s="6">
        <v>246000</v>
      </c>
      <c r="E822" s="6">
        <v>246000</v>
      </c>
      <c r="F822" s="6">
        <v>246000</v>
      </c>
      <c r="G822" s="7" t="s">
        <v>18</v>
      </c>
      <c r="H822" s="1">
        <f t="shared" si="12"/>
        <v>0.1517113783533765</v>
      </c>
    </row>
    <row r="823" spans="1:8" x14ac:dyDescent="0.25">
      <c r="A823" s="1" t="s">
        <v>12</v>
      </c>
      <c r="B823" s="1" t="s">
        <v>13</v>
      </c>
      <c r="C823" s="6">
        <v>1287750</v>
      </c>
      <c r="D823" s="6">
        <v>636625</v>
      </c>
      <c r="E823" s="6">
        <v>548500</v>
      </c>
      <c r="F823" s="6">
        <v>548500</v>
      </c>
      <c r="G823" s="7" t="s">
        <v>18</v>
      </c>
      <c r="H823" s="1">
        <f t="shared" si="12"/>
        <v>0.49437002523781792</v>
      </c>
    </row>
    <row r="824" spans="1:8" x14ac:dyDescent="0.25">
      <c r="A824" s="1" t="s">
        <v>12</v>
      </c>
      <c r="B824" s="1" t="s">
        <v>13</v>
      </c>
      <c r="C824" s="6">
        <v>907500</v>
      </c>
      <c r="D824" s="6">
        <v>1325400.5</v>
      </c>
      <c r="E824" s="6">
        <v>1155500</v>
      </c>
      <c r="F824" s="6">
        <v>1155500</v>
      </c>
      <c r="G824" s="7" t="s">
        <v>18</v>
      </c>
      <c r="H824" s="1">
        <f t="shared" si="12"/>
        <v>1.4604964187327825</v>
      </c>
    </row>
    <row r="825" spans="1:8" x14ac:dyDescent="0.25">
      <c r="A825" s="1" t="s">
        <v>12</v>
      </c>
      <c r="B825" s="1" t="s">
        <v>13</v>
      </c>
      <c r="C825" s="6">
        <v>1250</v>
      </c>
      <c r="D825" s="6">
        <v>200000</v>
      </c>
      <c r="E825" s="6">
        <v>155000</v>
      </c>
      <c r="F825" s="6">
        <v>155000</v>
      </c>
      <c r="G825" s="7" t="s">
        <v>18</v>
      </c>
      <c r="H825" s="1">
        <f t="shared" si="12"/>
        <v>160</v>
      </c>
    </row>
    <row r="826" spans="1:8" x14ac:dyDescent="0.25">
      <c r="A826" s="1" t="s">
        <v>12</v>
      </c>
      <c r="B826" s="1" t="s">
        <v>13</v>
      </c>
      <c r="C826" s="6">
        <v>230625</v>
      </c>
      <c r="D826" s="6">
        <v>132500</v>
      </c>
      <c r="E826" s="6">
        <v>105640.08749999999</v>
      </c>
      <c r="F826" s="6">
        <v>105640.08749999999</v>
      </c>
      <c r="G826" s="7" t="s">
        <v>18</v>
      </c>
      <c r="H826" s="1">
        <f t="shared" si="12"/>
        <v>0.57452574525745259</v>
      </c>
    </row>
    <row r="827" spans="1:8" x14ac:dyDescent="0.25">
      <c r="A827" s="1" t="s">
        <v>12</v>
      </c>
      <c r="B827" s="1" t="s">
        <v>13</v>
      </c>
      <c r="C827" s="6">
        <v>189000</v>
      </c>
      <c r="D827" s="6">
        <v>0</v>
      </c>
      <c r="E827" s="6">
        <v>0</v>
      </c>
      <c r="F827" s="6">
        <v>0</v>
      </c>
      <c r="G827" s="7" t="s">
        <v>18</v>
      </c>
      <c r="H827" s="1">
        <f t="shared" si="12"/>
        <v>0</v>
      </c>
    </row>
    <row r="828" spans="1:8" x14ac:dyDescent="0.25">
      <c r="A828" s="1" t="s">
        <v>12</v>
      </c>
      <c r="B828" s="1" t="s">
        <v>13</v>
      </c>
      <c r="C828" s="6">
        <v>670884</v>
      </c>
      <c r="D828" s="6">
        <v>0</v>
      </c>
      <c r="E828" s="6">
        <v>0</v>
      </c>
      <c r="F828" s="6">
        <v>0</v>
      </c>
      <c r="G828" s="7" t="s">
        <v>18</v>
      </c>
      <c r="H828" s="1">
        <f t="shared" si="12"/>
        <v>0</v>
      </c>
    </row>
    <row r="829" spans="1:8" x14ac:dyDescent="0.25">
      <c r="A829" s="1" t="s">
        <v>12</v>
      </c>
      <c r="B829" s="1" t="s">
        <v>13</v>
      </c>
      <c r="C829" s="6">
        <v>144250</v>
      </c>
      <c r="D829" s="6">
        <v>144250</v>
      </c>
      <c r="E829" s="6">
        <v>0</v>
      </c>
      <c r="F829" s="6">
        <v>0</v>
      </c>
      <c r="G829" s="7" t="s">
        <v>18</v>
      </c>
      <c r="H829" s="1">
        <f t="shared" si="12"/>
        <v>1</v>
      </c>
    </row>
    <row r="830" spans="1:8" x14ac:dyDescent="0.25">
      <c r="A830" s="1" t="s">
        <v>12</v>
      </c>
      <c r="B830" s="1" t="s">
        <v>14</v>
      </c>
      <c r="C830" s="6">
        <v>12666795.75</v>
      </c>
      <c r="D830" s="6">
        <v>15906224.85</v>
      </c>
      <c r="E830" s="6">
        <v>14291033.869999999</v>
      </c>
      <c r="F830" s="6">
        <v>14291033.869999999</v>
      </c>
      <c r="G830" s="7" t="s">
        <v>18</v>
      </c>
      <c r="H830" s="1">
        <f t="shared" si="12"/>
        <v>1.255741796420772</v>
      </c>
    </row>
    <row r="831" spans="1:8" x14ac:dyDescent="0.25">
      <c r="A831" s="1" t="s">
        <v>12</v>
      </c>
      <c r="B831" s="1" t="s">
        <v>14</v>
      </c>
      <c r="C831" s="6">
        <v>28368215.5</v>
      </c>
      <c r="D831" s="6">
        <v>31494622.155000001</v>
      </c>
      <c r="E831" s="6">
        <v>28459791.2075</v>
      </c>
      <c r="F831" s="6">
        <v>28459791.2075</v>
      </c>
      <c r="G831" s="7" t="s">
        <v>18</v>
      </c>
      <c r="H831" s="1">
        <f t="shared" si="12"/>
        <v>1.1102080832331522</v>
      </c>
    </row>
    <row r="832" spans="1:8" x14ac:dyDescent="0.25">
      <c r="A832" s="1" t="s">
        <v>12</v>
      </c>
      <c r="B832" s="1" t="s">
        <v>14</v>
      </c>
      <c r="C832" s="6">
        <v>1421780.5</v>
      </c>
      <c r="D832" s="6">
        <v>1338029.24</v>
      </c>
      <c r="E832" s="6">
        <v>1202434.04</v>
      </c>
      <c r="F832" s="6">
        <v>1200959.665</v>
      </c>
      <c r="G832" s="7" t="s">
        <v>18</v>
      </c>
      <c r="H832" s="1">
        <f t="shared" si="12"/>
        <v>0.94109409996831439</v>
      </c>
    </row>
    <row r="833" spans="1:8" x14ac:dyDescent="0.25">
      <c r="A833" s="1" t="s">
        <v>12</v>
      </c>
      <c r="B833" s="1" t="s">
        <v>14</v>
      </c>
      <c r="C833" s="6">
        <v>12797304.75</v>
      </c>
      <c r="D833" s="6">
        <v>12318853.939999999</v>
      </c>
      <c r="E833" s="6">
        <v>11055236.4275</v>
      </c>
      <c r="F833" s="6">
        <v>11055236.4275</v>
      </c>
      <c r="G833" s="7" t="s">
        <v>18</v>
      </c>
      <c r="H833" s="1">
        <f t="shared" si="12"/>
        <v>0.96261315805580072</v>
      </c>
    </row>
    <row r="834" spans="1:8" x14ac:dyDescent="0.25">
      <c r="A834" s="1" t="s">
        <v>12</v>
      </c>
      <c r="B834" s="1" t="s">
        <v>14</v>
      </c>
      <c r="C834" s="6">
        <v>533138</v>
      </c>
      <c r="D834" s="6">
        <v>0</v>
      </c>
      <c r="E834" s="6">
        <v>0</v>
      </c>
      <c r="F834" s="6">
        <v>0</v>
      </c>
      <c r="G834" s="7" t="s">
        <v>18</v>
      </c>
      <c r="H834" s="1">
        <f t="shared" ref="H834:H897" si="13">IF(OR(ISNA($D834),ISNA($C834),$C834=0),0,$D834/$C834)</f>
        <v>0</v>
      </c>
    </row>
    <row r="835" spans="1:8" x14ac:dyDescent="0.25">
      <c r="A835" s="1" t="s">
        <v>12</v>
      </c>
      <c r="B835" s="1" t="s">
        <v>14</v>
      </c>
      <c r="C835" s="6">
        <v>29611341.75</v>
      </c>
      <c r="D835" s="6">
        <v>30081130</v>
      </c>
      <c r="E835" s="6">
        <v>28420292.684999999</v>
      </c>
      <c r="F835" s="6">
        <v>28111033.710000001</v>
      </c>
      <c r="G835" s="7" t="s">
        <v>18</v>
      </c>
      <c r="H835" s="1">
        <f t="shared" si="13"/>
        <v>1.015865145658251</v>
      </c>
    </row>
    <row r="836" spans="1:8" x14ac:dyDescent="0.25">
      <c r="A836" s="1" t="s">
        <v>12</v>
      </c>
      <c r="B836" s="1" t="s">
        <v>14</v>
      </c>
      <c r="C836" s="6">
        <v>2860007.5</v>
      </c>
      <c r="D836" s="6">
        <v>1577391.2424999999</v>
      </c>
      <c r="E836" s="6">
        <v>1344706.7375</v>
      </c>
      <c r="F836" s="6">
        <v>1344706.7375</v>
      </c>
      <c r="G836" s="7" t="s">
        <v>18</v>
      </c>
      <c r="H836" s="1">
        <f t="shared" si="13"/>
        <v>0.5515339531452278</v>
      </c>
    </row>
    <row r="837" spans="1:8" x14ac:dyDescent="0.25">
      <c r="A837" s="1" t="s">
        <v>12</v>
      </c>
      <c r="B837" s="1" t="s">
        <v>14</v>
      </c>
      <c r="C837" s="6">
        <v>25000</v>
      </c>
      <c r="D837" s="6">
        <v>0</v>
      </c>
      <c r="E837" s="6">
        <v>0</v>
      </c>
      <c r="F837" s="6">
        <v>0</v>
      </c>
      <c r="G837" s="7" t="s">
        <v>18</v>
      </c>
      <c r="H837" s="1">
        <f t="shared" si="13"/>
        <v>0</v>
      </c>
    </row>
    <row r="838" spans="1:8" x14ac:dyDescent="0.25">
      <c r="A838" s="1" t="s">
        <v>12</v>
      </c>
      <c r="B838" s="1" t="s">
        <v>14</v>
      </c>
      <c r="C838" s="6">
        <v>5000</v>
      </c>
      <c r="D838" s="6">
        <v>0</v>
      </c>
      <c r="E838" s="6">
        <v>0</v>
      </c>
      <c r="F838" s="6">
        <v>0</v>
      </c>
      <c r="G838" s="7" t="s">
        <v>18</v>
      </c>
      <c r="H838" s="1">
        <f t="shared" si="13"/>
        <v>0</v>
      </c>
    </row>
    <row r="839" spans="1:8" x14ac:dyDescent="0.25">
      <c r="A839" s="1" t="s">
        <v>12</v>
      </c>
      <c r="B839" s="1" t="s">
        <v>14</v>
      </c>
      <c r="C839" s="6">
        <v>61250</v>
      </c>
      <c r="D839" s="6">
        <v>0</v>
      </c>
      <c r="E839" s="6">
        <v>0</v>
      </c>
      <c r="F839" s="6">
        <v>0</v>
      </c>
      <c r="G839" s="7" t="s">
        <v>18</v>
      </c>
      <c r="H839" s="1">
        <f t="shared" si="13"/>
        <v>0</v>
      </c>
    </row>
    <row r="840" spans="1:8" x14ac:dyDescent="0.25">
      <c r="A840" s="1" t="s">
        <v>12</v>
      </c>
      <c r="B840" s="1" t="s">
        <v>14</v>
      </c>
      <c r="C840" s="6">
        <v>12500</v>
      </c>
      <c r="D840" s="6">
        <v>0</v>
      </c>
      <c r="E840" s="6">
        <v>0</v>
      </c>
      <c r="F840" s="6">
        <v>0</v>
      </c>
      <c r="G840" s="7" t="s">
        <v>18</v>
      </c>
      <c r="H840" s="1">
        <f t="shared" si="13"/>
        <v>0</v>
      </c>
    </row>
    <row r="841" spans="1:8" x14ac:dyDescent="0.25">
      <c r="A841" s="1" t="s">
        <v>12</v>
      </c>
      <c r="B841" s="1" t="s">
        <v>14</v>
      </c>
      <c r="C841" s="6">
        <v>24723327</v>
      </c>
      <c r="D841" s="6">
        <v>28747043.695</v>
      </c>
      <c r="E841" s="6">
        <v>25543279.100000001</v>
      </c>
      <c r="F841" s="6">
        <v>25543279.100000001</v>
      </c>
      <c r="G841" s="7" t="s">
        <v>18</v>
      </c>
      <c r="H841" s="1">
        <f t="shared" si="13"/>
        <v>1.1627498068928992</v>
      </c>
    </row>
    <row r="842" spans="1:8" x14ac:dyDescent="0.25">
      <c r="A842" s="1" t="s">
        <v>12</v>
      </c>
      <c r="B842" s="1" t="s">
        <v>14</v>
      </c>
      <c r="C842" s="6">
        <v>778754.25</v>
      </c>
      <c r="D842" s="6">
        <v>513803.75</v>
      </c>
      <c r="E842" s="6">
        <v>438495.09</v>
      </c>
      <c r="F842" s="6">
        <v>438495.09</v>
      </c>
      <c r="G842" s="7" t="s">
        <v>18</v>
      </c>
      <c r="H842" s="1">
        <f t="shared" si="13"/>
        <v>0.65977649560178964</v>
      </c>
    </row>
    <row r="843" spans="1:8" x14ac:dyDescent="0.25">
      <c r="A843" s="1" t="s">
        <v>12</v>
      </c>
      <c r="B843" s="1" t="s">
        <v>15</v>
      </c>
      <c r="C843" s="6">
        <v>14187641.75</v>
      </c>
      <c r="D843" s="6">
        <v>12065323.7225</v>
      </c>
      <c r="E843" s="6">
        <v>9996617.6899999995</v>
      </c>
      <c r="F843" s="6">
        <v>9909834.4774999991</v>
      </c>
      <c r="G843" s="7" t="s">
        <v>18</v>
      </c>
      <c r="H843" s="1">
        <f t="shared" si="13"/>
        <v>0.85041079660049912</v>
      </c>
    </row>
    <row r="844" spans="1:8" x14ac:dyDescent="0.25">
      <c r="A844" s="1" t="s">
        <v>12</v>
      </c>
      <c r="B844" s="1" t="s">
        <v>15</v>
      </c>
      <c r="C844" s="6">
        <v>79750</v>
      </c>
      <c r="D844" s="6">
        <v>0</v>
      </c>
      <c r="E844" s="6">
        <v>0</v>
      </c>
      <c r="F844" s="6">
        <v>0</v>
      </c>
      <c r="G844" s="7" t="s">
        <v>18</v>
      </c>
      <c r="H844" s="1">
        <f t="shared" si="13"/>
        <v>0</v>
      </c>
    </row>
    <row r="845" spans="1:8" x14ac:dyDescent="0.25">
      <c r="A845" s="1" t="s">
        <v>12</v>
      </c>
      <c r="B845" s="1" t="s">
        <v>15</v>
      </c>
      <c r="C845" s="6">
        <v>2464759</v>
      </c>
      <c r="D845" s="6">
        <v>1175079.02</v>
      </c>
      <c r="E845" s="6">
        <v>654810.6825</v>
      </c>
      <c r="F845" s="6">
        <v>653508.06499999994</v>
      </c>
      <c r="G845" s="7" t="s">
        <v>18</v>
      </c>
      <c r="H845" s="1">
        <f t="shared" si="13"/>
        <v>0.47675209624957249</v>
      </c>
    </row>
    <row r="846" spans="1:8" x14ac:dyDescent="0.25">
      <c r="A846" s="1" t="s">
        <v>12</v>
      </c>
      <c r="B846" s="1" t="s">
        <v>15</v>
      </c>
      <c r="C846" s="6">
        <v>10000</v>
      </c>
      <c r="D846" s="6">
        <v>0</v>
      </c>
      <c r="E846" s="6">
        <v>0</v>
      </c>
      <c r="F846" s="6">
        <v>0</v>
      </c>
      <c r="G846" s="7" t="s">
        <v>18</v>
      </c>
      <c r="H846" s="1">
        <f t="shared" si="13"/>
        <v>0</v>
      </c>
    </row>
    <row r="847" spans="1:8" x14ac:dyDescent="0.25">
      <c r="A847" s="1" t="s">
        <v>12</v>
      </c>
      <c r="B847" s="1" t="s">
        <v>15</v>
      </c>
      <c r="C847" s="6">
        <v>4750</v>
      </c>
      <c r="D847" s="6">
        <v>0</v>
      </c>
      <c r="E847" s="6">
        <v>0</v>
      </c>
      <c r="F847" s="6">
        <v>0</v>
      </c>
      <c r="G847" s="7" t="s">
        <v>18</v>
      </c>
      <c r="H847" s="1">
        <f t="shared" si="13"/>
        <v>0</v>
      </c>
    </row>
    <row r="848" spans="1:8" x14ac:dyDescent="0.25">
      <c r="A848" s="1" t="s">
        <v>12</v>
      </c>
      <c r="B848" s="1" t="s">
        <v>15</v>
      </c>
      <c r="C848" s="6">
        <v>21250</v>
      </c>
      <c r="D848" s="6">
        <v>0</v>
      </c>
      <c r="E848" s="6">
        <v>0</v>
      </c>
      <c r="F848" s="6">
        <v>0</v>
      </c>
      <c r="G848" s="7" t="s">
        <v>18</v>
      </c>
      <c r="H848" s="1">
        <f t="shared" si="13"/>
        <v>0</v>
      </c>
    </row>
    <row r="849" spans="1:8" x14ac:dyDescent="0.25">
      <c r="A849" s="1" t="s">
        <v>12</v>
      </c>
      <c r="B849" s="1" t="s">
        <v>15</v>
      </c>
      <c r="C849" s="6">
        <v>3750</v>
      </c>
      <c r="D849" s="6">
        <v>3750</v>
      </c>
      <c r="E849" s="6">
        <v>0</v>
      </c>
      <c r="F849" s="6">
        <v>0</v>
      </c>
      <c r="G849" s="7" t="s">
        <v>18</v>
      </c>
      <c r="H849" s="1">
        <f t="shared" si="13"/>
        <v>1</v>
      </c>
    </row>
    <row r="850" spans="1:8" x14ac:dyDescent="0.25">
      <c r="A850" s="1" t="s">
        <v>12</v>
      </c>
      <c r="B850" s="1" t="s">
        <v>15</v>
      </c>
      <c r="C850" s="6">
        <v>8750</v>
      </c>
      <c r="D850" s="6">
        <v>0</v>
      </c>
      <c r="E850" s="6">
        <v>0</v>
      </c>
      <c r="F850" s="6">
        <v>0</v>
      </c>
      <c r="G850" s="7" t="s">
        <v>18</v>
      </c>
      <c r="H850" s="1">
        <f t="shared" si="13"/>
        <v>0</v>
      </c>
    </row>
    <row r="851" spans="1:8" x14ac:dyDescent="0.25">
      <c r="A851" s="1" t="s">
        <v>12</v>
      </c>
      <c r="B851" s="1" t="s">
        <v>15</v>
      </c>
      <c r="C851" s="6">
        <v>6750</v>
      </c>
      <c r="D851" s="6">
        <v>0</v>
      </c>
      <c r="E851" s="6">
        <v>0</v>
      </c>
      <c r="F851" s="6">
        <v>0</v>
      </c>
      <c r="G851" s="7" t="s">
        <v>18</v>
      </c>
      <c r="H851" s="1">
        <f t="shared" si="13"/>
        <v>0</v>
      </c>
    </row>
    <row r="852" spans="1:8" x14ac:dyDescent="0.25">
      <c r="A852" s="1" t="s">
        <v>12</v>
      </c>
      <c r="B852" s="1" t="s">
        <v>15</v>
      </c>
      <c r="C852" s="6">
        <v>16250</v>
      </c>
      <c r="D852" s="6">
        <v>0</v>
      </c>
      <c r="E852" s="6">
        <v>0</v>
      </c>
      <c r="F852" s="6">
        <v>0</v>
      </c>
      <c r="G852" s="7" t="s">
        <v>18</v>
      </c>
      <c r="H852" s="1">
        <f t="shared" si="13"/>
        <v>0</v>
      </c>
    </row>
    <row r="853" spans="1:8" x14ac:dyDescent="0.25">
      <c r="A853" s="1" t="s">
        <v>12</v>
      </c>
      <c r="B853" s="1" t="s">
        <v>15</v>
      </c>
      <c r="C853" s="6">
        <v>80576.25</v>
      </c>
      <c r="D853" s="6">
        <v>69454.28</v>
      </c>
      <c r="E853" s="6">
        <v>21925.23</v>
      </c>
      <c r="F853" s="6">
        <v>21925.23</v>
      </c>
      <c r="G853" s="7" t="s">
        <v>18</v>
      </c>
      <c r="H853" s="1">
        <f t="shared" si="13"/>
        <v>0.86196962504460062</v>
      </c>
    </row>
    <row r="854" spans="1:8" x14ac:dyDescent="0.25">
      <c r="A854" s="1" t="s">
        <v>12</v>
      </c>
      <c r="B854" s="1" t="s">
        <v>15</v>
      </c>
      <c r="C854" s="6">
        <v>72250</v>
      </c>
      <c r="D854" s="6">
        <v>0</v>
      </c>
      <c r="E854" s="6">
        <v>0</v>
      </c>
      <c r="F854" s="6">
        <v>0</v>
      </c>
      <c r="G854" s="7" t="s">
        <v>18</v>
      </c>
      <c r="H854" s="1">
        <f t="shared" si="13"/>
        <v>0</v>
      </c>
    </row>
    <row r="855" spans="1:8" x14ac:dyDescent="0.25">
      <c r="A855" s="1" t="s">
        <v>12</v>
      </c>
      <c r="B855" s="1" t="s">
        <v>15</v>
      </c>
      <c r="C855" s="6">
        <v>37500</v>
      </c>
      <c r="D855" s="6">
        <v>34558.035000000003</v>
      </c>
      <c r="E855" s="6">
        <v>0</v>
      </c>
      <c r="F855" s="6">
        <v>0</v>
      </c>
      <c r="G855" s="7" t="s">
        <v>18</v>
      </c>
      <c r="H855" s="1">
        <f t="shared" si="13"/>
        <v>0.92154760000000013</v>
      </c>
    </row>
    <row r="856" spans="1:8" x14ac:dyDescent="0.25">
      <c r="A856" s="1" t="s">
        <v>12</v>
      </c>
      <c r="B856" s="1" t="s">
        <v>15</v>
      </c>
      <c r="C856" s="6">
        <v>25000</v>
      </c>
      <c r="D856" s="6">
        <v>0</v>
      </c>
      <c r="E856" s="6">
        <v>0</v>
      </c>
      <c r="F856" s="6">
        <v>0</v>
      </c>
      <c r="G856" s="7" t="s">
        <v>18</v>
      </c>
      <c r="H856" s="1">
        <f t="shared" si="13"/>
        <v>0</v>
      </c>
    </row>
    <row r="857" spans="1:8" x14ac:dyDescent="0.25">
      <c r="A857" s="1" t="s">
        <v>7</v>
      </c>
      <c r="B857" s="1" t="s">
        <v>8</v>
      </c>
      <c r="C857" s="6">
        <v>1000000</v>
      </c>
      <c r="D857" s="6">
        <v>990039.64</v>
      </c>
      <c r="E857" s="6">
        <v>220055.19</v>
      </c>
      <c r="F857" s="6">
        <v>220055.19</v>
      </c>
      <c r="G857" s="7" t="s">
        <v>20</v>
      </c>
      <c r="H857" s="1">
        <f t="shared" si="13"/>
        <v>0.99003964</v>
      </c>
    </row>
    <row r="858" spans="1:8" x14ac:dyDescent="0.25">
      <c r="A858" s="1" t="s">
        <v>7</v>
      </c>
      <c r="B858" s="1" t="s">
        <v>8</v>
      </c>
      <c r="C858" s="6">
        <v>5000</v>
      </c>
      <c r="D858" s="6">
        <v>1725</v>
      </c>
      <c r="E858" s="6">
        <v>1725</v>
      </c>
      <c r="F858" s="6">
        <v>1725</v>
      </c>
      <c r="G858" s="7" t="s">
        <v>20</v>
      </c>
      <c r="H858" s="1">
        <f t="shared" si="13"/>
        <v>0.34499999999999997</v>
      </c>
    </row>
    <row r="859" spans="1:8" x14ac:dyDescent="0.25">
      <c r="A859" s="1" t="s">
        <v>7</v>
      </c>
      <c r="B859" s="1" t="s">
        <v>8</v>
      </c>
      <c r="C859" s="6">
        <v>0</v>
      </c>
      <c r="D859" s="6">
        <v>1970</v>
      </c>
      <c r="E859" s="6">
        <v>1970</v>
      </c>
      <c r="F859" s="6">
        <v>720</v>
      </c>
      <c r="G859" s="7" t="s">
        <v>20</v>
      </c>
      <c r="H859" s="1">
        <f t="shared" si="13"/>
        <v>0</v>
      </c>
    </row>
    <row r="860" spans="1:8" x14ac:dyDescent="0.25">
      <c r="A860" s="1" t="s">
        <v>7</v>
      </c>
      <c r="B860" s="1" t="s">
        <v>8</v>
      </c>
      <c r="C860" s="6">
        <v>18825</v>
      </c>
      <c r="D860" s="6">
        <v>6400</v>
      </c>
      <c r="E860" s="6">
        <v>0</v>
      </c>
      <c r="F860" s="6">
        <v>0</v>
      </c>
      <c r="G860" s="7" t="s">
        <v>20</v>
      </c>
      <c r="H860" s="1">
        <f t="shared" si="13"/>
        <v>0.33997343957503318</v>
      </c>
    </row>
    <row r="861" spans="1:8" x14ac:dyDescent="0.25">
      <c r="A861" s="1" t="s">
        <v>7</v>
      </c>
      <c r="B861" s="1" t="s">
        <v>8</v>
      </c>
      <c r="C861" s="6">
        <v>541076.25</v>
      </c>
      <c r="D861" s="6">
        <v>467227.67749999999</v>
      </c>
      <c r="E861" s="6">
        <v>465878.84499999997</v>
      </c>
      <c r="F861" s="6">
        <v>426585.21250000002</v>
      </c>
      <c r="G861" s="7" t="s">
        <v>20</v>
      </c>
      <c r="H861" s="1">
        <f t="shared" si="13"/>
        <v>0.86351540563829954</v>
      </c>
    </row>
    <row r="862" spans="1:8" x14ac:dyDescent="0.25">
      <c r="A862" s="1" t="s">
        <v>7</v>
      </c>
      <c r="B862" s="1" t="s">
        <v>8</v>
      </c>
      <c r="C862" s="6">
        <v>22375</v>
      </c>
      <c r="D862" s="6">
        <v>0</v>
      </c>
      <c r="E862" s="6">
        <v>0</v>
      </c>
      <c r="F862" s="6">
        <v>0</v>
      </c>
      <c r="G862" s="7" t="s">
        <v>20</v>
      </c>
      <c r="H862" s="1">
        <f t="shared" si="13"/>
        <v>0</v>
      </c>
    </row>
    <row r="863" spans="1:8" x14ac:dyDescent="0.25">
      <c r="A863" s="1" t="s">
        <v>7</v>
      </c>
      <c r="B863" s="1" t="s">
        <v>8</v>
      </c>
      <c r="C863" s="6">
        <v>7406172.25</v>
      </c>
      <c r="D863" s="6">
        <v>6223855.1150000002</v>
      </c>
      <c r="E863" s="6">
        <v>5380434.0125000002</v>
      </c>
      <c r="F863" s="6">
        <v>5284066.6224999996</v>
      </c>
      <c r="G863" s="7" t="s">
        <v>20</v>
      </c>
      <c r="H863" s="1">
        <f t="shared" si="13"/>
        <v>0.84036056749827825</v>
      </c>
    </row>
    <row r="864" spans="1:8" x14ac:dyDescent="0.25">
      <c r="A864" s="1" t="s">
        <v>7</v>
      </c>
      <c r="B864" s="1" t="s">
        <v>8</v>
      </c>
      <c r="C864" s="6">
        <v>300227.5</v>
      </c>
      <c r="D864" s="6">
        <v>0</v>
      </c>
      <c r="E864" s="6">
        <v>0</v>
      </c>
      <c r="F864" s="6">
        <v>0</v>
      </c>
      <c r="G864" s="7" t="s">
        <v>20</v>
      </c>
      <c r="H864" s="1">
        <f t="shared" si="13"/>
        <v>0</v>
      </c>
    </row>
    <row r="865" spans="1:8" x14ac:dyDescent="0.25">
      <c r="A865" s="1" t="s">
        <v>7</v>
      </c>
      <c r="B865" s="1" t="s">
        <v>8</v>
      </c>
      <c r="C865" s="6">
        <v>5000</v>
      </c>
      <c r="D865" s="6">
        <v>0</v>
      </c>
      <c r="E865" s="6">
        <v>0</v>
      </c>
      <c r="F865" s="6">
        <v>0</v>
      </c>
      <c r="G865" s="7" t="s">
        <v>20</v>
      </c>
      <c r="H865" s="1">
        <f t="shared" si="13"/>
        <v>0</v>
      </c>
    </row>
    <row r="866" spans="1:8" x14ac:dyDescent="0.25">
      <c r="A866" s="1" t="s">
        <v>7</v>
      </c>
      <c r="B866" s="1" t="s">
        <v>8</v>
      </c>
      <c r="C866" s="6">
        <v>12750</v>
      </c>
      <c r="D866" s="6">
        <v>0</v>
      </c>
      <c r="E866" s="6">
        <v>0</v>
      </c>
      <c r="F866" s="6">
        <v>0</v>
      </c>
      <c r="G866" s="7" t="s">
        <v>20</v>
      </c>
      <c r="H866" s="1">
        <f t="shared" si="13"/>
        <v>0</v>
      </c>
    </row>
    <row r="867" spans="1:8" x14ac:dyDescent="0.25">
      <c r="A867" s="1" t="s">
        <v>7</v>
      </c>
      <c r="B867" s="1" t="s">
        <v>8</v>
      </c>
      <c r="C867" s="6">
        <v>1212025.25</v>
      </c>
      <c r="D867" s="6">
        <v>1189983.7250000001</v>
      </c>
      <c r="E867" s="6">
        <v>1189983.7250000001</v>
      </c>
      <c r="F867" s="6">
        <v>1078487.125</v>
      </c>
      <c r="G867" s="7" t="s">
        <v>20</v>
      </c>
      <c r="H867" s="1">
        <f t="shared" si="13"/>
        <v>0.98181430213603227</v>
      </c>
    </row>
    <row r="868" spans="1:8" x14ac:dyDescent="0.25">
      <c r="A868" s="1" t="s">
        <v>7</v>
      </c>
      <c r="B868" s="1" t="s">
        <v>8</v>
      </c>
      <c r="C868" s="6">
        <v>658770.25</v>
      </c>
      <c r="D868" s="6">
        <v>207354.08749999999</v>
      </c>
      <c r="E868" s="6">
        <v>192174.96249999999</v>
      </c>
      <c r="F868" s="6">
        <v>163212.14249999999</v>
      </c>
      <c r="G868" s="7" t="s">
        <v>20</v>
      </c>
      <c r="H868" s="1">
        <f t="shared" si="13"/>
        <v>0.31475933756875024</v>
      </c>
    </row>
    <row r="869" spans="1:8" x14ac:dyDescent="0.25">
      <c r="A869" s="1" t="s">
        <v>7</v>
      </c>
      <c r="B869" s="1" t="s">
        <v>8</v>
      </c>
      <c r="C869" s="6">
        <v>87500</v>
      </c>
      <c r="D869" s="6">
        <v>0</v>
      </c>
      <c r="E869" s="6">
        <v>0</v>
      </c>
      <c r="F869" s="6">
        <v>0</v>
      </c>
      <c r="G869" s="7" t="s">
        <v>20</v>
      </c>
      <c r="H869" s="1">
        <f t="shared" si="13"/>
        <v>0</v>
      </c>
    </row>
    <row r="870" spans="1:8" x14ac:dyDescent="0.25">
      <c r="A870" s="1" t="s">
        <v>7</v>
      </c>
      <c r="B870" s="1" t="s">
        <v>8</v>
      </c>
      <c r="C870" s="6">
        <v>275000</v>
      </c>
      <c r="D870" s="6">
        <v>13889.5</v>
      </c>
      <c r="E870" s="6">
        <v>0</v>
      </c>
      <c r="F870" s="6">
        <v>0</v>
      </c>
      <c r="G870" s="7" t="s">
        <v>20</v>
      </c>
      <c r="H870" s="1">
        <f t="shared" si="13"/>
        <v>5.0507272727272727E-2</v>
      </c>
    </row>
    <row r="871" spans="1:8" x14ac:dyDescent="0.25">
      <c r="A871" s="1" t="s">
        <v>7</v>
      </c>
      <c r="B871" s="1" t="s">
        <v>8</v>
      </c>
      <c r="C871" s="6">
        <v>10575</v>
      </c>
      <c r="D871" s="6">
        <v>0</v>
      </c>
      <c r="E871" s="6">
        <v>0</v>
      </c>
      <c r="F871" s="6">
        <v>0</v>
      </c>
      <c r="G871" s="7" t="s">
        <v>20</v>
      </c>
      <c r="H871" s="1">
        <f t="shared" si="13"/>
        <v>0</v>
      </c>
    </row>
    <row r="872" spans="1:8" x14ac:dyDescent="0.25">
      <c r="A872" s="1" t="s">
        <v>7</v>
      </c>
      <c r="B872" s="1" t="s">
        <v>8</v>
      </c>
      <c r="C872" s="6">
        <v>1832019</v>
      </c>
      <c r="D872" s="6">
        <v>1772504.2024999999</v>
      </c>
      <c r="E872" s="6">
        <v>1639279.2024999999</v>
      </c>
      <c r="F872" s="6">
        <v>1502371.62</v>
      </c>
      <c r="G872" s="7" t="s">
        <v>20</v>
      </c>
      <c r="H872" s="1">
        <f t="shared" si="13"/>
        <v>0.96751409374029407</v>
      </c>
    </row>
    <row r="873" spans="1:8" x14ac:dyDescent="0.25">
      <c r="A873" s="1" t="s">
        <v>7</v>
      </c>
      <c r="B873" s="1" t="s">
        <v>8</v>
      </c>
      <c r="C873" s="6">
        <v>5025000</v>
      </c>
      <c r="D873" s="6">
        <v>0</v>
      </c>
      <c r="E873" s="6">
        <v>0</v>
      </c>
      <c r="F873" s="6">
        <v>0</v>
      </c>
      <c r="G873" s="7" t="s">
        <v>20</v>
      </c>
      <c r="H873" s="1">
        <f t="shared" si="13"/>
        <v>0</v>
      </c>
    </row>
    <row r="874" spans="1:8" x14ac:dyDescent="0.25">
      <c r="A874" s="1" t="s">
        <v>7</v>
      </c>
      <c r="B874" s="1" t="s">
        <v>8</v>
      </c>
      <c r="C874" s="6">
        <v>159447.25</v>
      </c>
      <c r="D874" s="6">
        <v>0</v>
      </c>
      <c r="E874" s="6">
        <v>0</v>
      </c>
      <c r="F874" s="6">
        <v>0</v>
      </c>
      <c r="G874" s="7" t="s">
        <v>20</v>
      </c>
      <c r="H874" s="1">
        <f t="shared" si="13"/>
        <v>0</v>
      </c>
    </row>
    <row r="875" spans="1:8" x14ac:dyDescent="0.25">
      <c r="A875" s="1" t="s">
        <v>7</v>
      </c>
      <c r="B875" s="1" t="s">
        <v>8</v>
      </c>
      <c r="C875" s="6">
        <v>41723.5</v>
      </c>
      <c r="D875" s="6">
        <v>0</v>
      </c>
      <c r="E875" s="6">
        <v>0</v>
      </c>
      <c r="F875" s="6">
        <v>0</v>
      </c>
      <c r="G875" s="7" t="s">
        <v>20</v>
      </c>
      <c r="H875" s="1">
        <f t="shared" si="13"/>
        <v>0</v>
      </c>
    </row>
    <row r="876" spans="1:8" x14ac:dyDescent="0.25">
      <c r="A876" s="1" t="s">
        <v>7</v>
      </c>
      <c r="B876" s="1" t="s">
        <v>8</v>
      </c>
      <c r="C876" s="6">
        <v>3750</v>
      </c>
      <c r="D876" s="6">
        <v>1560</v>
      </c>
      <c r="E876" s="6">
        <v>0</v>
      </c>
      <c r="F876" s="6">
        <v>0</v>
      </c>
      <c r="G876" s="7" t="s">
        <v>20</v>
      </c>
      <c r="H876" s="1">
        <f t="shared" si="13"/>
        <v>0.41599999999999998</v>
      </c>
    </row>
    <row r="877" spans="1:8" x14ac:dyDescent="0.25">
      <c r="A877" s="1" t="s">
        <v>7</v>
      </c>
      <c r="B877" s="1" t="s">
        <v>8</v>
      </c>
      <c r="C877" s="6">
        <v>1375</v>
      </c>
      <c r="D877" s="6">
        <v>1373.0250000000001</v>
      </c>
      <c r="E877" s="6">
        <v>1373.0250000000001</v>
      </c>
      <c r="F877" s="6">
        <v>123.42</v>
      </c>
      <c r="G877" s="7" t="s">
        <v>20</v>
      </c>
      <c r="H877" s="1">
        <f t="shared" si="13"/>
        <v>0.99856363636363643</v>
      </c>
    </row>
    <row r="878" spans="1:8" x14ac:dyDescent="0.25">
      <c r="A878" s="1" t="s">
        <v>7</v>
      </c>
      <c r="B878" s="1" t="s">
        <v>8</v>
      </c>
      <c r="C878" s="6">
        <v>498929.75</v>
      </c>
      <c r="D878" s="6">
        <v>100123.17</v>
      </c>
      <c r="E878" s="6">
        <v>86102.335000000006</v>
      </c>
      <c r="F878" s="6">
        <v>86102.335000000006</v>
      </c>
      <c r="G878" s="7" t="s">
        <v>20</v>
      </c>
      <c r="H878" s="1">
        <f t="shared" si="13"/>
        <v>0.20067588673555745</v>
      </c>
    </row>
    <row r="879" spans="1:8" x14ac:dyDescent="0.25">
      <c r="A879" s="1" t="s">
        <v>7</v>
      </c>
      <c r="B879" s="1" t="s">
        <v>8</v>
      </c>
      <c r="C879" s="6">
        <v>12500</v>
      </c>
      <c r="D879" s="6">
        <v>5000</v>
      </c>
      <c r="E879" s="6">
        <v>5000</v>
      </c>
      <c r="F879" s="6">
        <v>5000</v>
      </c>
      <c r="G879" s="7" t="s">
        <v>20</v>
      </c>
      <c r="H879" s="1">
        <f t="shared" si="13"/>
        <v>0.4</v>
      </c>
    </row>
    <row r="880" spans="1:8" x14ac:dyDescent="0.25">
      <c r="A880" s="1" t="s">
        <v>7</v>
      </c>
      <c r="B880" s="1" t="s">
        <v>8</v>
      </c>
      <c r="C880" s="6">
        <v>4235000</v>
      </c>
      <c r="D880" s="6">
        <v>2914975.12</v>
      </c>
      <c r="E880" s="6">
        <v>2914975.12</v>
      </c>
      <c r="F880" s="6">
        <v>2914975.12</v>
      </c>
      <c r="G880" s="7" t="s">
        <v>20</v>
      </c>
      <c r="H880" s="1">
        <f t="shared" si="13"/>
        <v>0.688305813459268</v>
      </c>
    </row>
    <row r="881" spans="1:8" x14ac:dyDescent="0.25">
      <c r="A881" s="1" t="s">
        <v>7</v>
      </c>
      <c r="B881" s="1" t="s">
        <v>8</v>
      </c>
      <c r="C881" s="6">
        <v>125000</v>
      </c>
      <c r="D881" s="6">
        <v>0</v>
      </c>
      <c r="E881" s="6">
        <v>0</v>
      </c>
      <c r="F881" s="6">
        <v>0</v>
      </c>
      <c r="G881" s="7" t="s">
        <v>20</v>
      </c>
      <c r="H881" s="1">
        <f t="shared" si="13"/>
        <v>0</v>
      </c>
    </row>
    <row r="882" spans="1:8" x14ac:dyDescent="0.25">
      <c r="A882" s="1" t="s">
        <v>7</v>
      </c>
      <c r="B882" s="1" t="s">
        <v>8</v>
      </c>
      <c r="C882" s="6">
        <v>2996198.75</v>
      </c>
      <c r="D882" s="6">
        <v>2583585.6124999998</v>
      </c>
      <c r="E882" s="6">
        <v>2572427.2025000001</v>
      </c>
      <c r="F882" s="6">
        <v>2416056.7025000001</v>
      </c>
      <c r="G882" s="7" t="s">
        <v>20</v>
      </c>
      <c r="H882" s="1">
        <f t="shared" si="13"/>
        <v>0.86228779465981686</v>
      </c>
    </row>
    <row r="883" spans="1:8" x14ac:dyDescent="0.25">
      <c r="A883" s="1" t="s">
        <v>7</v>
      </c>
      <c r="B883" s="1" t="s">
        <v>8</v>
      </c>
      <c r="C883" s="6">
        <v>131250</v>
      </c>
      <c r="D883" s="6">
        <v>0</v>
      </c>
      <c r="E883" s="6">
        <v>0</v>
      </c>
      <c r="F883" s="6">
        <v>0</v>
      </c>
      <c r="G883" s="7" t="s">
        <v>20</v>
      </c>
      <c r="H883" s="1">
        <f t="shared" si="13"/>
        <v>0</v>
      </c>
    </row>
    <row r="884" spans="1:8" x14ac:dyDescent="0.25">
      <c r="A884" s="1" t="s">
        <v>7</v>
      </c>
      <c r="B884" s="1" t="s">
        <v>8</v>
      </c>
      <c r="C884" s="6">
        <v>32500</v>
      </c>
      <c r="D884" s="6">
        <v>19988</v>
      </c>
      <c r="E884" s="6">
        <v>19988</v>
      </c>
      <c r="F884" s="6">
        <v>19988</v>
      </c>
      <c r="G884" s="7" t="s">
        <v>20</v>
      </c>
      <c r="H884" s="1">
        <f t="shared" si="13"/>
        <v>0.61501538461538463</v>
      </c>
    </row>
    <row r="885" spans="1:8" x14ac:dyDescent="0.25">
      <c r="A885" s="1" t="s">
        <v>7</v>
      </c>
      <c r="B885" s="1" t="s">
        <v>8</v>
      </c>
      <c r="C885" s="6">
        <v>32500</v>
      </c>
      <c r="D885" s="6">
        <v>0</v>
      </c>
      <c r="E885" s="6">
        <v>0</v>
      </c>
      <c r="F885" s="6">
        <v>0</v>
      </c>
      <c r="G885" s="7" t="s">
        <v>20</v>
      </c>
      <c r="H885" s="1">
        <f t="shared" si="13"/>
        <v>0</v>
      </c>
    </row>
    <row r="886" spans="1:8" x14ac:dyDescent="0.25">
      <c r="A886" s="1" t="s">
        <v>7</v>
      </c>
      <c r="B886" s="1" t="s">
        <v>8</v>
      </c>
      <c r="C886" s="6">
        <v>125000</v>
      </c>
      <c r="D886" s="6">
        <v>0</v>
      </c>
      <c r="E886" s="6">
        <v>0</v>
      </c>
      <c r="F886" s="6">
        <v>0</v>
      </c>
      <c r="G886" s="7" t="s">
        <v>20</v>
      </c>
      <c r="H886" s="1">
        <f t="shared" si="13"/>
        <v>0</v>
      </c>
    </row>
    <row r="887" spans="1:8" x14ac:dyDescent="0.25">
      <c r="A887" s="1" t="s">
        <v>7</v>
      </c>
      <c r="B887" s="1" t="s">
        <v>8</v>
      </c>
      <c r="C887" s="6">
        <v>500000</v>
      </c>
      <c r="D887" s="6">
        <v>375000</v>
      </c>
      <c r="E887" s="6">
        <v>375000</v>
      </c>
      <c r="F887" s="6">
        <v>375000</v>
      </c>
      <c r="G887" s="7" t="s">
        <v>20</v>
      </c>
      <c r="H887" s="1">
        <f t="shared" si="13"/>
        <v>0.75</v>
      </c>
    </row>
    <row r="888" spans="1:8" x14ac:dyDescent="0.25">
      <c r="A888" s="1" t="s">
        <v>7</v>
      </c>
      <c r="B888" s="1" t="s">
        <v>8</v>
      </c>
      <c r="C888" s="6">
        <v>600000</v>
      </c>
      <c r="D888" s="6">
        <v>375000</v>
      </c>
      <c r="E888" s="6">
        <v>375000</v>
      </c>
      <c r="F888" s="6">
        <v>375000</v>
      </c>
      <c r="G888" s="7" t="s">
        <v>20</v>
      </c>
      <c r="H888" s="1">
        <f t="shared" si="13"/>
        <v>0.625</v>
      </c>
    </row>
    <row r="889" spans="1:8" x14ac:dyDescent="0.25">
      <c r="A889" s="1" t="s">
        <v>7</v>
      </c>
      <c r="B889" s="1" t="s">
        <v>8</v>
      </c>
      <c r="C889" s="6">
        <v>147500</v>
      </c>
      <c r="D889" s="6">
        <v>147500</v>
      </c>
      <c r="E889" s="6">
        <v>147500</v>
      </c>
      <c r="F889" s="6">
        <v>147500</v>
      </c>
      <c r="G889" s="7" t="s">
        <v>20</v>
      </c>
      <c r="H889" s="1">
        <f t="shared" si="13"/>
        <v>1</v>
      </c>
    </row>
    <row r="890" spans="1:8" x14ac:dyDescent="0.25">
      <c r="A890" s="1" t="s">
        <v>7</v>
      </c>
      <c r="B890" s="1" t="s">
        <v>8</v>
      </c>
      <c r="C890" s="6">
        <v>500000</v>
      </c>
      <c r="D890" s="6">
        <v>0</v>
      </c>
      <c r="E890" s="6">
        <v>0</v>
      </c>
      <c r="F890" s="6">
        <v>0</v>
      </c>
      <c r="G890" s="7" t="s">
        <v>20</v>
      </c>
      <c r="H890" s="1">
        <f t="shared" si="13"/>
        <v>0</v>
      </c>
    </row>
    <row r="891" spans="1:8" x14ac:dyDescent="0.25">
      <c r="A891" s="1" t="s">
        <v>7</v>
      </c>
      <c r="B891" s="1" t="s">
        <v>8</v>
      </c>
      <c r="C891" s="6">
        <v>30000</v>
      </c>
      <c r="D891" s="6">
        <v>0</v>
      </c>
      <c r="E891" s="6">
        <v>0</v>
      </c>
      <c r="F891" s="6">
        <v>0</v>
      </c>
      <c r="G891" s="7" t="s">
        <v>20</v>
      </c>
      <c r="H891" s="1">
        <f t="shared" si="13"/>
        <v>0</v>
      </c>
    </row>
    <row r="892" spans="1:8" x14ac:dyDescent="0.25">
      <c r="A892" s="1" t="s">
        <v>7</v>
      </c>
      <c r="B892" s="1" t="s">
        <v>8</v>
      </c>
      <c r="C892" s="6">
        <v>19200</v>
      </c>
      <c r="D892" s="6">
        <v>2496.6999999999998</v>
      </c>
      <c r="E892" s="6">
        <v>1380</v>
      </c>
      <c r="F892" s="6">
        <v>126.5</v>
      </c>
      <c r="G892" s="7" t="s">
        <v>20</v>
      </c>
      <c r="H892" s="1">
        <f t="shared" si="13"/>
        <v>0.13003645833333333</v>
      </c>
    </row>
    <row r="893" spans="1:8" x14ac:dyDescent="0.25">
      <c r="A893" s="1" t="s">
        <v>7</v>
      </c>
      <c r="B893" s="1" t="s">
        <v>8</v>
      </c>
      <c r="C893" s="6">
        <v>18750</v>
      </c>
      <c r="D893" s="6">
        <v>0</v>
      </c>
      <c r="E893" s="6">
        <v>0</v>
      </c>
      <c r="F893" s="6">
        <v>0</v>
      </c>
      <c r="G893" s="7" t="s">
        <v>20</v>
      </c>
      <c r="H893" s="1">
        <f t="shared" si="13"/>
        <v>0</v>
      </c>
    </row>
    <row r="894" spans="1:8" x14ac:dyDescent="0.25">
      <c r="A894" s="1" t="s">
        <v>7</v>
      </c>
      <c r="B894" s="1" t="s">
        <v>8</v>
      </c>
      <c r="C894" s="6">
        <v>1467616.5</v>
      </c>
      <c r="D894" s="6">
        <v>872811.08750000002</v>
      </c>
      <c r="E894" s="6">
        <v>295466.31</v>
      </c>
      <c r="F894" s="6">
        <v>291446.19</v>
      </c>
      <c r="G894" s="7" t="s">
        <v>20</v>
      </c>
      <c r="H894" s="1">
        <f t="shared" si="13"/>
        <v>0.59471332429146173</v>
      </c>
    </row>
    <row r="895" spans="1:8" x14ac:dyDescent="0.25">
      <c r="A895" s="1" t="s">
        <v>7</v>
      </c>
      <c r="B895" s="1" t="s">
        <v>8</v>
      </c>
      <c r="C895" s="6">
        <v>85000</v>
      </c>
      <c r="D895" s="6">
        <v>85000</v>
      </c>
      <c r="E895" s="6">
        <v>85000</v>
      </c>
      <c r="F895" s="6">
        <v>85000</v>
      </c>
      <c r="G895" s="7" t="s">
        <v>20</v>
      </c>
      <c r="H895" s="1">
        <f t="shared" si="13"/>
        <v>1</v>
      </c>
    </row>
    <row r="896" spans="1:8" x14ac:dyDescent="0.25">
      <c r="A896" s="1" t="s">
        <v>7</v>
      </c>
      <c r="B896" s="1" t="s">
        <v>8</v>
      </c>
      <c r="C896" s="6">
        <v>17192.5</v>
      </c>
      <c r="D896" s="6">
        <v>0</v>
      </c>
      <c r="E896" s="6">
        <v>0</v>
      </c>
      <c r="F896" s="6">
        <v>0</v>
      </c>
      <c r="G896" s="7" t="s">
        <v>20</v>
      </c>
      <c r="H896" s="1">
        <f t="shared" si="13"/>
        <v>0</v>
      </c>
    </row>
    <row r="897" spans="1:8" x14ac:dyDescent="0.25">
      <c r="A897" s="1" t="s">
        <v>7</v>
      </c>
      <c r="B897" s="1" t="s">
        <v>10</v>
      </c>
      <c r="C897" s="6">
        <v>1749506.5</v>
      </c>
      <c r="D897" s="6">
        <v>496560.4</v>
      </c>
      <c r="E897" s="6">
        <v>387976.4</v>
      </c>
      <c r="F897" s="6">
        <v>387976.4</v>
      </c>
      <c r="G897" s="7" t="s">
        <v>20</v>
      </c>
      <c r="H897" s="1">
        <f t="shared" si="13"/>
        <v>0.28382883973280465</v>
      </c>
    </row>
    <row r="898" spans="1:8" x14ac:dyDescent="0.25">
      <c r="A898" s="1" t="s">
        <v>7</v>
      </c>
      <c r="B898" s="1" t="s">
        <v>10</v>
      </c>
      <c r="C898" s="6">
        <v>62500</v>
      </c>
      <c r="D898" s="6">
        <v>0</v>
      </c>
      <c r="E898" s="6">
        <v>0</v>
      </c>
      <c r="F898" s="6">
        <v>0</v>
      </c>
      <c r="G898" s="7" t="s">
        <v>20</v>
      </c>
      <c r="H898" s="1">
        <f t="shared" ref="H898:H961" si="14">IF(OR(ISNA($D898),ISNA($C898),$C898=0),0,$D898/$C898)</f>
        <v>0</v>
      </c>
    </row>
    <row r="899" spans="1:8" x14ac:dyDescent="0.25">
      <c r="A899" s="1" t="s">
        <v>7</v>
      </c>
      <c r="B899" s="1" t="s">
        <v>10</v>
      </c>
      <c r="C899" s="6">
        <v>4056515.25</v>
      </c>
      <c r="D899" s="6">
        <v>3729676.4725000001</v>
      </c>
      <c r="E899" s="6">
        <v>3677970.57</v>
      </c>
      <c r="F899" s="6">
        <v>3418806.81</v>
      </c>
      <c r="G899" s="7" t="s">
        <v>20</v>
      </c>
      <c r="H899" s="1">
        <f t="shared" si="14"/>
        <v>0.91942868266056688</v>
      </c>
    </row>
    <row r="900" spans="1:8" x14ac:dyDescent="0.25">
      <c r="A900" s="1" t="s">
        <v>7</v>
      </c>
      <c r="B900" s="1" t="s">
        <v>10</v>
      </c>
      <c r="C900" s="6">
        <v>257641.5</v>
      </c>
      <c r="D900" s="6">
        <v>94998.822499999995</v>
      </c>
      <c r="E900" s="6">
        <v>94998.822499999995</v>
      </c>
      <c r="F900" s="6">
        <v>94998.822499999995</v>
      </c>
      <c r="G900" s="7" t="s">
        <v>20</v>
      </c>
      <c r="H900" s="1">
        <f t="shared" si="14"/>
        <v>0.36872484634657071</v>
      </c>
    </row>
    <row r="901" spans="1:8" x14ac:dyDescent="0.25">
      <c r="A901" s="1" t="s">
        <v>7</v>
      </c>
      <c r="B901" s="1" t="s">
        <v>10</v>
      </c>
      <c r="C901" s="6">
        <v>779000</v>
      </c>
      <c r="D901" s="6">
        <v>51100</v>
      </c>
      <c r="E901" s="6">
        <v>3650</v>
      </c>
      <c r="F901" s="6">
        <v>3650</v>
      </c>
      <c r="G901" s="7" t="s">
        <v>20</v>
      </c>
      <c r="H901" s="1">
        <f t="shared" si="14"/>
        <v>6.5596919127086012E-2</v>
      </c>
    </row>
    <row r="902" spans="1:8" x14ac:dyDescent="0.25">
      <c r="A902" s="1" t="s">
        <v>7</v>
      </c>
      <c r="B902" s="1" t="s">
        <v>10</v>
      </c>
      <c r="C902" s="6">
        <v>42000</v>
      </c>
      <c r="D902" s="6">
        <v>56029</v>
      </c>
      <c r="E902" s="6">
        <v>45209</v>
      </c>
      <c r="F902" s="6">
        <v>45209</v>
      </c>
      <c r="G902" s="7" t="s">
        <v>20</v>
      </c>
      <c r="H902" s="1">
        <f t="shared" si="14"/>
        <v>1.3340238095238095</v>
      </c>
    </row>
    <row r="903" spans="1:8" x14ac:dyDescent="0.25">
      <c r="A903" s="1" t="s">
        <v>7</v>
      </c>
      <c r="B903" s="1" t="s">
        <v>10</v>
      </c>
      <c r="C903" s="6">
        <v>1050109.75</v>
      </c>
      <c r="D903" s="6">
        <v>947499.97750000004</v>
      </c>
      <c r="E903" s="6">
        <v>843232.1925</v>
      </c>
      <c r="F903" s="6">
        <v>839417.8</v>
      </c>
      <c r="G903" s="7" t="s">
        <v>20</v>
      </c>
      <c r="H903" s="1">
        <f t="shared" si="14"/>
        <v>0.90228662051752218</v>
      </c>
    </row>
    <row r="904" spans="1:8" x14ac:dyDescent="0.25">
      <c r="A904" s="1" t="s">
        <v>7</v>
      </c>
      <c r="B904" s="1" t="s">
        <v>10</v>
      </c>
      <c r="C904" s="6">
        <v>670542.5</v>
      </c>
      <c r="D904" s="6">
        <v>0</v>
      </c>
      <c r="E904" s="6">
        <v>0</v>
      </c>
      <c r="F904" s="6">
        <v>0</v>
      </c>
      <c r="G904" s="7" t="s">
        <v>20</v>
      </c>
      <c r="H904" s="1">
        <f t="shared" si="14"/>
        <v>0</v>
      </c>
    </row>
    <row r="905" spans="1:8" x14ac:dyDescent="0.25">
      <c r="A905" s="1" t="s">
        <v>7</v>
      </c>
      <c r="B905" s="1" t="s">
        <v>10</v>
      </c>
      <c r="C905" s="6">
        <v>198750</v>
      </c>
      <c r="D905" s="6">
        <v>45061.044999999998</v>
      </c>
      <c r="E905" s="6">
        <v>44661.044999999998</v>
      </c>
      <c r="F905" s="6">
        <v>44661.044999999998</v>
      </c>
      <c r="G905" s="7" t="s">
        <v>20</v>
      </c>
      <c r="H905" s="1">
        <f t="shared" si="14"/>
        <v>0.22672223899371069</v>
      </c>
    </row>
    <row r="906" spans="1:8" x14ac:dyDescent="0.25">
      <c r="A906" s="1" t="s">
        <v>7</v>
      </c>
      <c r="B906" s="1" t="s">
        <v>10</v>
      </c>
      <c r="C906" s="6">
        <v>138450</v>
      </c>
      <c r="D906" s="6">
        <v>3999.5250000000001</v>
      </c>
      <c r="E906" s="6">
        <v>3999.5250000000001</v>
      </c>
      <c r="F906" s="6">
        <v>3999.5250000000001</v>
      </c>
      <c r="G906" s="7" t="s">
        <v>20</v>
      </c>
      <c r="H906" s="1">
        <f t="shared" si="14"/>
        <v>2.8887865655471291E-2</v>
      </c>
    </row>
    <row r="907" spans="1:8" x14ac:dyDescent="0.25">
      <c r="A907" s="1" t="s">
        <v>7</v>
      </c>
      <c r="B907" s="1" t="s">
        <v>10</v>
      </c>
      <c r="C907" s="6">
        <v>98000</v>
      </c>
      <c r="D907" s="6">
        <v>615</v>
      </c>
      <c r="E907" s="6">
        <v>480</v>
      </c>
      <c r="F907" s="6">
        <v>480</v>
      </c>
      <c r="G907" s="7" t="s">
        <v>20</v>
      </c>
      <c r="H907" s="1">
        <f t="shared" si="14"/>
        <v>6.2755102040816324E-3</v>
      </c>
    </row>
    <row r="908" spans="1:8" x14ac:dyDescent="0.25">
      <c r="A908" s="1" t="s">
        <v>7</v>
      </c>
      <c r="B908" s="1" t="s">
        <v>10</v>
      </c>
      <c r="C908" s="6">
        <v>320000</v>
      </c>
      <c r="D908" s="6">
        <v>0</v>
      </c>
      <c r="E908" s="6">
        <v>0</v>
      </c>
      <c r="F908" s="6">
        <v>0</v>
      </c>
      <c r="G908" s="7" t="s">
        <v>20</v>
      </c>
      <c r="H908" s="1">
        <f t="shared" si="14"/>
        <v>0</v>
      </c>
    </row>
    <row r="909" spans="1:8" x14ac:dyDescent="0.25">
      <c r="A909" s="1" t="s">
        <v>7</v>
      </c>
      <c r="B909" s="1" t="s">
        <v>10</v>
      </c>
      <c r="C909" s="6">
        <v>21250</v>
      </c>
      <c r="D909" s="6">
        <v>48843.495000000003</v>
      </c>
      <c r="E909" s="6">
        <v>47275.845000000001</v>
      </c>
      <c r="F909" s="6">
        <v>44006.175000000003</v>
      </c>
      <c r="G909" s="7" t="s">
        <v>20</v>
      </c>
      <c r="H909" s="1">
        <f t="shared" si="14"/>
        <v>2.2985174117647058</v>
      </c>
    </row>
    <row r="910" spans="1:8" x14ac:dyDescent="0.25">
      <c r="A910" s="1" t="s">
        <v>7</v>
      </c>
      <c r="B910" s="1" t="s">
        <v>10</v>
      </c>
      <c r="C910" s="6">
        <v>58750</v>
      </c>
      <c r="D910" s="6">
        <v>0</v>
      </c>
      <c r="E910" s="6">
        <v>0</v>
      </c>
      <c r="F910" s="6">
        <v>0</v>
      </c>
      <c r="G910" s="7" t="s">
        <v>20</v>
      </c>
      <c r="H910" s="1">
        <f t="shared" si="14"/>
        <v>0</v>
      </c>
    </row>
    <row r="911" spans="1:8" x14ac:dyDescent="0.25">
      <c r="A911" s="1" t="s">
        <v>7</v>
      </c>
      <c r="B911" s="1" t="s">
        <v>10</v>
      </c>
      <c r="C911" s="6">
        <v>5575</v>
      </c>
      <c r="D911" s="6">
        <v>0</v>
      </c>
      <c r="E911" s="6">
        <v>0</v>
      </c>
      <c r="F911" s="6">
        <v>0</v>
      </c>
      <c r="G911" s="7" t="s">
        <v>20</v>
      </c>
      <c r="H911" s="1">
        <f t="shared" si="14"/>
        <v>0</v>
      </c>
    </row>
    <row r="912" spans="1:8" x14ac:dyDescent="0.25">
      <c r="A912" s="1" t="s">
        <v>7</v>
      </c>
      <c r="B912" s="1" t="s">
        <v>10</v>
      </c>
      <c r="C912" s="6">
        <v>184172.5</v>
      </c>
      <c r="D912" s="6">
        <v>17019.95</v>
      </c>
      <c r="E912" s="6">
        <v>15078.1175</v>
      </c>
      <c r="F912" s="6">
        <v>8261.7999999999993</v>
      </c>
      <c r="G912" s="7" t="s">
        <v>20</v>
      </c>
      <c r="H912" s="1">
        <f t="shared" si="14"/>
        <v>9.2413090988068256E-2</v>
      </c>
    </row>
    <row r="913" spans="1:8" x14ac:dyDescent="0.25">
      <c r="A913" s="1" t="s">
        <v>7</v>
      </c>
      <c r="B913" s="1" t="s">
        <v>10</v>
      </c>
      <c r="C913" s="6">
        <v>135950</v>
      </c>
      <c r="D913" s="6">
        <v>15187.5</v>
      </c>
      <c r="E913" s="6">
        <v>5517.5</v>
      </c>
      <c r="F913" s="6">
        <v>0</v>
      </c>
      <c r="G913" s="7" t="s">
        <v>20</v>
      </c>
      <c r="H913" s="1">
        <f t="shared" si="14"/>
        <v>0.11171386539168812</v>
      </c>
    </row>
    <row r="914" spans="1:8" x14ac:dyDescent="0.25">
      <c r="A914" s="1" t="s">
        <v>7</v>
      </c>
      <c r="B914" s="1" t="s">
        <v>11</v>
      </c>
      <c r="C914" s="6">
        <v>492797</v>
      </c>
      <c r="D914" s="6">
        <v>309056.58750000002</v>
      </c>
      <c r="E914" s="6">
        <v>286976.80249999999</v>
      </c>
      <c r="F914" s="6">
        <v>286859.43</v>
      </c>
      <c r="G914" s="7" t="s">
        <v>20</v>
      </c>
      <c r="H914" s="1">
        <f t="shared" si="14"/>
        <v>0.62714786717451609</v>
      </c>
    </row>
    <row r="915" spans="1:8" x14ac:dyDescent="0.25">
      <c r="A915" s="1" t="s">
        <v>7</v>
      </c>
      <c r="B915" s="1" t="s">
        <v>11</v>
      </c>
      <c r="C915" s="6">
        <v>103250</v>
      </c>
      <c r="D915" s="6">
        <v>0</v>
      </c>
      <c r="E915" s="6">
        <v>0</v>
      </c>
      <c r="F915" s="6">
        <v>0</v>
      </c>
      <c r="G915" s="7" t="s">
        <v>20</v>
      </c>
      <c r="H915" s="1">
        <f t="shared" si="14"/>
        <v>0</v>
      </c>
    </row>
    <row r="916" spans="1:8" x14ac:dyDescent="0.25">
      <c r="A916" s="1" t="s">
        <v>7</v>
      </c>
      <c r="B916" s="1" t="s">
        <v>11</v>
      </c>
      <c r="C916" s="6">
        <v>1000</v>
      </c>
      <c r="D916" s="6">
        <v>1243</v>
      </c>
      <c r="E916" s="6">
        <v>1243</v>
      </c>
      <c r="F916" s="6">
        <v>1243</v>
      </c>
      <c r="G916" s="7" t="s">
        <v>20</v>
      </c>
      <c r="H916" s="1">
        <f t="shared" si="14"/>
        <v>1.2430000000000001</v>
      </c>
    </row>
    <row r="917" spans="1:8" x14ac:dyDescent="0.25">
      <c r="A917" s="1" t="s">
        <v>7</v>
      </c>
      <c r="B917" s="1" t="s">
        <v>11</v>
      </c>
      <c r="C917" s="6">
        <v>636233</v>
      </c>
      <c r="D917" s="6">
        <v>210014.51</v>
      </c>
      <c r="E917" s="6">
        <v>168047.69</v>
      </c>
      <c r="F917" s="6">
        <v>158147.69</v>
      </c>
      <c r="G917" s="7" t="s">
        <v>20</v>
      </c>
      <c r="H917" s="1">
        <f t="shared" si="14"/>
        <v>0.33009056430584394</v>
      </c>
    </row>
    <row r="918" spans="1:8" x14ac:dyDescent="0.25">
      <c r="A918" s="1" t="s">
        <v>7</v>
      </c>
      <c r="B918" s="1" t="s">
        <v>11</v>
      </c>
      <c r="C918" s="6">
        <v>750</v>
      </c>
      <c r="D918" s="6">
        <v>0</v>
      </c>
      <c r="E918" s="6">
        <v>0</v>
      </c>
      <c r="F918" s="6">
        <v>0</v>
      </c>
      <c r="G918" s="7" t="s">
        <v>20</v>
      </c>
      <c r="H918" s="1">
        <f t="shared" si="14"/>
        <v>0</v>
      </c>
    </row>
    <row r="919" spans="1:8" x14ac:dyDescent="0.25">
      <c r="A919" s="1" t="s">
        <v>7</v>
      </c>
      <c r="B919" s="1" t="s">
        <v>11</v>
      </c>
      <c r="C919" s="6">
        <v>37192987.600000001</v>
      </c>
      <c r="D919" s="6">
        <v>10486692.3945</v>
      </c>
      <c r="E919" s="6">
        <v>5640417.2755000005</v>
      </c>
      <c r="F919" s="6">
        <v>4903093.2755000005</v>
      </c>
      <c r="G919" s="7" t="s">
        <v>20</v>
      </c>
      <c r="H919" s="1">
        <f t="shared" si="14"/>
        <v>0.28195348293289568</v>
      </c>
    </row>
    <row r="920" spans="1:8" x14ac:dyDescent="0.25">
      <c r="A920" s="1" t="s">
        <v>7</v>
      </c>
      <c r="B920" s="1" t="s">
        <v>11</v>
      </c>
      <c r="C920" s="6">
        <v>40944.5</v>
      </c>
      <c r="D920" s="6">
        <v>0</v>
      </c>
      <c r="E920" s="6">
        <v>0</v>
      </c>
      <c r="F920" s="6">
        <v>0</v>
      </c>
      <c r="G920" s="7" t="s">
        <v>20</v>
      </c>
      <c r="H920" s="1">
        <f t="shared" si="14"/>
        <v>0</v>
      </c>
    </row>
    <row r="921" spans="1:8" x14ac:dyDescent="0.25">
      <c r="A921" s="1" t="s">
        <v>7</v>
      </c>
      <c r="B921" s="1" t="s">
        <v>11</v>
      </c>
      <c r="C921" s="6">
        <v>10183</v>
      </c>
      <c r="D921" s="6">
        <v>94.511499999999998</v>
      </c>
      <c r="E921" s="6">
        <v>94.511499999999998</v>
      </c>
      <c r="F921" s="6">
        <v>94.511499999999998</v>
      </c>
      <c r="G921" s="7" t="s">
        <v>20</v>
      </c>
      <c r="H921" s="1">
        <f t="shared" si="14"/>
        <v>9.2813021702838061E-3</v>
      </c>
    </row>
    <row r="922" spans="1:8" x14ac:dyDescent="0.25">
      <c r="A922" s="1" t="s">
        <v>7</v>
      </c>
      <c r="B922" s="1" t="s">
        <v>11</v>
      </c>
      <c r="C922" s="6">
        <v>124730985</v>
      </c>
      <c r="D922" s="6">
        <v>98819729.329999998</v>
      </c>
      <c r="E922" s="6">
        <v>68945890.560000002</v>
      </c>
      <c r="F922" s="6">
        <v>63056076.590000004</v>
      </c>
      <c r="G922" s="7" t="s">
        <v>20</v>
      </c>
      <c r="H922" s="1">
        <f t="shared" si="14"/>
        <v>0.79226287942807472</v>
      </c>
    </row>
    <row r="923" spans="1:8" x14ac:dyDescent="0.25">
      <c r="A923" s="1" t="s">
        <v>7</v>
      </c>
      <c r="B923" s="1" t="s">
        <v>11</v>
      </c>
      <c r="C923" s="6">
        <v>328800</v>
      </c>
      <c r="D923" s="6">
        <v>0</v>
      </c>
      <c r="E923" s="6">
        <v>0</v>
      </c>
      <c r="F923" s="6">
        <v>0</v>
      </c>
      <c r="G923" s="7" t="s">
        <v>20</v>
      </c>
      <c r="H923" s="1">
        <f t="shared" si="14"/>
        <v>0</v>
      </c>
    </row>
    <row r="924" spans="1:8" x14ac:dyDescent="0.25">
      <c r="A924" s="1" t="s">
        <v>7</v>
      </c>
      <c r="B924" s="1" t="s">
        <v>11</v>
      </c>
      <c r="C924" s="6">
        <v>1282638</v>
      </c>
      <c r="D924" s="6">
        <v>402975</v>
      </c>
      <c r="E924" s="6">
        <v>335812.5</v>
      </c>
      <c r="F924" s="6">
        <v>335812.5</v>
      </c>
      <c r="G924" s="7" t="s">
        <v>20</v>
      </c>
      <c r="H924" s="1">
        <f t="shared" si="14"/>
        <v>0.31417672016578335</v>
      </c>
    </row>
    <row r="925" spans="1:8" x14ac:dyDescent="0.25">
      <c r="A925" s="1" t="s">
        <v>7</v>
      </c>
      <c r="B925" s="1" t="s">
        <v>11</v>
      </c>
      <c r="C925" s="6">
        <v>54000</v>
      </c>
      <c r="D925" s="6">
        <v>0</v>
      </c>
      <c r="E925" s="6">
        <v>0</v>
      </c>
      <c r="F925" s="6">
        <v>0</v>
      </c>
      <c r="G925" s="7" t="s">
        <v>20</v>
      </c>
      <c r="H925" s="1">
        <f t="shared" si="14"/>
        <v>0</v>
      </c>
    </row>
    <row r="926" spans="1:8" x14ac:dyDescent="0.25">
      <c r="A926" s="1" t="s">
        <v>7</v>
      </c>
      <c r="B926" s="1" t="s">
        <v>11</v>
      </c>
      <c r="C926" s="6">
        <v>21000</v>
      </c>
      <c r="D926" s="6">
        <v>0</v>
      </c>
      <c r="E926" s="6">
        <v>0</v>
      </c>
      <c r="F926" s="6">
        <v>0</v>
      </c>
      <c r="G926" s="7" t="s">
        <v>20</v>
      </c>
      <c r="H926" s="1">
        <f t="shared" si="14"/>
        <v>0</v>
      </c>
    </row>
    <row r="927" spans="1:8" x14ac:dyDescent="0.25">
      <c r="A927" s="1" t="s">
        <v>7</v>
      </c>
      <c r="B927" s="1" t="s">
        <v>11</v>
      </c>
      <c r="C927" s="6">
        <v>100000</v>
      </c>
      <c r="D927" s="6">
        <v>0</v>
      </c>
      <c r="E927" s="6">
        <v>0</v>
      </c>
      <c r="F927" s="6">
        <v>0</v>
      </c>
      <c r="G927" s="7" t="s">
        <v>20</v>
      </c>
      <c r="H927" s="1">
        <f t="shared" si="14"/>
        <v>0</v>
      </c>
    </row>
    <row r="928" spans="1:8" x14ac:dyDescent="0.25">
      <c r="A928" s="1" t="s">
        <v>7</v>
      </c>
      <c r="B928" s="1" t="s">
        <v>11</v>
      </c>
      <c r="C928" s="6">
        <v>580800</v>
      </c>
      <c r="D928" s="6">
        <v>0</v>
      </c>
      <c r="E928" s="6">
        <v>0</v>
      </c>
      <c r="F928" s="6">
        <v>0</v>
      </c>
      <c r="G928" s="7" t="s">
        <v>20</v>
      </c>
      <c r="H928" s="1">
        <f t="shared" si="14"/>
        <v>0</v>
      </c>
    </row>
    <row r="929" spans="1:8" x14ac:dyDescent="0.25">
      <c r="A929" s="1" t="s">
        <v>7</v>
      </c>
      <c r="B929" s="1" t="s">
        <v>11</v>
      </c>
      <c r="C929" s="6">
        <v>1856064</v>
      </c>
      <c r="D929" s="6">
        <v>622116.93999999994</v>
      </c>
      <c r="E929" s="6">
        <v>561321.27</v>
      </c>
      <c r="F929" s="6">
        <v>561321.27</v>
      </c>
      <c r="G929" s="7" t="s">
        <v>20</v>
      </c>
      <c r="H929" s="1">
        <f t="shared" si="14"/>
        <v>0.33518075885314297</v>
      </c>
    </row>
    <row r="930" spans="1:8" x14ac:dyDescent="0.25">
      <c r="A930" s="1" t="s">
        <v>7</v>
      </c>
      <c r="B930" s="1" t="s">
        <v>11</v>
      </c>
      <c r="C930" s="6">
        <v>20347355</v>
      </c>
      <c r="D930" s="6">
        <v>5774658.5700000003</v>
      </c>
      <c r="E930" s="6">
        <v>5768342.8899999997</v>
      </c>
      <c r="F930" s="6">
        <v>5453197.8499999996</v>
      </c>
      <c r="G930" s="7" t="s">
        <v>20</v>
      </c>
      <c r="H930" s="1">
        <f t="shared" si="14"/>
        <v>0.28380389342988316</v>
      </c>
    </row>
    <row r="931" spans="1:8" x14ac:dyDescent="0.25">
      <c r="A931" s="1" t="s">
        <v>7</v>
      </c>
      <c r="B931" s="1" t="s">
        <v>11</v>
      </c>
      <c r="C931" s="6">
        <v>18254</v>
      </c>
      <c r="D931" s="6">
        <v>0</v>
      </c>
      <c r="E931" s="6">
        <v>0</v>
      </c>
      <c r="F931" s="6">
        <v>0</v>
      </c>
      <c r="G931" s="7" t="s">
        <v>20</v>
      </c>
      <c r="H931" s="1">
        <f t="shared" si="14"/>
        <v>0</v>
      </c>
    </row>
    <row r="932" spans="1:8" x14ac:dyDescent="0.25">
      <c r="A932" s="1" t="s">
        <v>7</v>
      </c>
      <c r="B932" s="1" t="s">
        <v>11</v>
      </c>
      <c r="C932" s="6">
        <v>1004000</v>
      </c>
      <c r="D932" s="6">
        <v>448496.77</v>
      </c>
      <c r="E932" s="6">
        <v>53788.800000000003</v>
      </c>
      <c r="F932" s="6">
        <v>53788.800000000003</v>
      </c>
      <c r="G932" s="7" t="s">
        <v>20</v>
      </c>
      <c r="H932" s="1">
        <f t="shared" si="14"/>
        <v>0.4467099302788845</v>
      </c>
    </row>
    <row r="933" spans="1:8" x14ac:dyDescent="0.25">
      <c r="A933" s="1" t="s">
        <v>7</v>
      </c>
      <c r="B933" s="1" t="s">
        <v>11</v>
      </c>
      <c r="C933" s="6">
        <v>3000</v>
      </c>
      <c r="D933" s="6">
        <v>0</v>
      </c>
      <c r="E933" s="6">
        <v>0</v>
      </c>
      <c r="F933" s="6">
        <v>0</v>
      </c>
      <c r="G933" s="7" t="s">
        <v>20</v>
      </c>
      <c r="H933" s="1">
        <f t="shared" si="14"/>
        <v>0</v>
      </c>
    </row>
    <row r="934" spans="1:8" x14ac:dyDescent="0.25">
      <c r="A934" s="1" t="s">
        <v>7</v>
      </c>
      <c r="B934" s="1" t="s">
        <v>11</v>
      </c>
      <c r="C934" s="6">
        <v>151997</v>
      </c>
      <c r="D934" s="6">
        <v>0</v>
      </c>
      <c r="E934" s="6">
        <v>0</v>
      </c>
      <c r="F934" s="6">
        <v>0</v>
      </c>
      <c r="G934" s="7" t="s">
        <v>20</v>
      </c>
      <c r="H934" s="1">
        <f t="shared" si="14"/>
        <v>0</v>
      </c>
    </row>
    <row r="935" spans="1:8" x14ac:dyDescent="0.25">
      <c r="A935" s="1" t="s">
        <v>7</v>
      </c>
      <c r="B935" s="1" t="s">
        <v>11</v>
      </c>
      <c r="C935" s="6">
        <v>1000</v>
      </c>
      <c r="D935" s="6">
        <v>0</v>
      </c>
      <c r="E935" s="6">
        <v>0</v>
      </c>
      <c r="F935" s="6">
        <v>0</v>
      </c>
      <c r="G935" s="7" t="s">
        <v>20</v>
      </c>
      <c r="H935" s="1">
        <f t="shared" si="14"/>
        <v>0</v>
      </c>
    </row>
    <row r="936" spans="1:8" x14ac:dyDescent="0.25">
      <c r="A936" s="1" t="s">
        <v>7</v>
      </c>
      <c r="B936" s="1" t="s">
        <v>11</v>
      </c>
      <c r="C936" s="6">
        <v>3163597</v>
      </c>
      <c r="D936" s="6">
        <v>12000000</v>
      </c>
      <c r="E936" s="6">
        <v>0</v>
      </c>
      <c r="F936" s="6">
        <v>0</v>
      </c>
      <c r="G936" s="7" t="s">
        <v>20</v>
      </c>
      <c r="H936" s="1">
        <f t="shared" si="14"/>
        <v>3.7931506446617567</v>
      </c>
    </row>
    <row r="937" spans="1:8" x14ac:dyDescent="0.25">
      <c r="A937" s="1" t="s">
        <v>7</v>
      </c>
      <c r="B937" s="1" t="s">
        <v>11</v>
      </c>
      <c r="C937" s="6">
        <v>4000</v>
      </c>
      <c r="D937" s="6">
        <v>374500</v>
      </c>
      <c r="E937" s="6">
        <v>347500</v>
      </c>
      <c r="F937" s="6">
        <v>347500</v>
      </c>
      <c r="G937" s="7" t="s">
        <v>20</v>
      </c>
      <c r="H937" s="1">
        <f t="shared" si="14"/>
        <v>93.625</v>
      </c>
    </row>
    <row r="938" spans="1:8" x14ac:dyDescent="0.25">
      <c r="A938" s="1" t="s">
        <v>7</v>
      </c>
      <c r="B938" s="1" t="s">
        <v>11</v>
      </c>
      <c r="C938" s="6">
        <v>1000</v>
      </c>
      <c r="D938" s="6">
        <v>0</v>
      </c>
      <c r="E938" s="6">
        <v>0</v>
      </c>
      <c r="F938" s="6">
        <v>0</v>
      </c>
      <c r="G938" s="7" t="s">
        <v>20</v>
      </c>
      <c r="H938" s="1">
        <f t="shared" si="14"/>
        <v>0</v>
      </c>
    </row>
    <row r="939" spans="1:8" x14ac:dyDescent="0.25">
      <c r="A939" s="1" t="s">
        <v>7</v>
      </c>
      <c r="B939" s="1" t="s">
        <v>11</v>
      </c>
      <c r="C939" s="6">
        <v>10351463</v>
      </c>
      <c r="D939" s="6">
        <v>101273445.88</v>
      </c>
      <c r="E939" s="6">
        <v>40550688.270000003</v>
      </c>
      <c r="F939" s="6">
        <v>40550688.270000003</v>
      </c>
      <c r="G939" s="7" t="s">
        <v>20</v>
      </c>
      <c r="H939" s="1">
        <f t="shared" si="14"/>
        <v>9.7834910756093123</v>
      </c>
    </row>
    <row r="940" spans="1:8" x14ac:dyDescent="0.25">
      <c r="A940" s="1" t="s">
        <v>7</v>
      </c>
      <c r="B940" s="1" t="s">
        <v>11</v>
      </c>
      <c r="C940" s="6">
        <v>9000</v>
      </c>
      <c r="D940" s="6">
        <v>0</v>
      </c>
      <c r="E940" s="6">
        <v>0</v>
      </c>
      <c r="F940" s="6">
        <v>0</v>
      </c>
      <c r="G940" s="7" t="s">
        <v>20</v>
      </c>
      <c r="H940" s="1">
        <f t="shared" si="14"/>
        <v>0</v>
      </c>
    </row>
    <row r="941" spans="1:8" x14ac:dyDescent="0.25">
      <c r="A941" s="1" t="s">
        <v>7</v>
      </c>
      <c r="B941" s="1" t="s">
        <v>11</v>
      </c>
      <c r="C941" s="6">
        <v>3095000</v>
      </c>
      <c r="D941" s="6">
        <v>36078815.090000004</v>
      </c>
      <c r="E941" s="6">
        <v>4562550.08</v>
      </c>
      <c r="F941" s="6">
        <v>4506257.1900000004</v>
      </c>
      <c r="G941" s="7" t="s">
        <v>20</v>
      </c>
      <c r="H941" s="1">
        <f t="shared" si="14"/>
        <v>11.657129269789985</v>
      </c>
    </row>
    <row r="942" spans="1:8" x14ac:dyDescent="0.25">
      <c r="A942" s="1" t="s">
        <v>7</v>
      </c>
      <c r="B942" s="1" t="s">
        <v>11</v>
      </c>
      <c r="C942" s="6">
        <v>42984542</v>
      </c>
      <c r="D942" s="6">
        <v>51786216</v>
      </c>
      <c r="E942" s="6">
        <v>37669974</v>
      </c>
      <c r="F942" s="6">
        <v>37503810</v>
      </c>
      <c r="G942" s="7" t="s">
        <v>20</v>
      </c>
      <c r="H942" s="1">
        <f t="shared" si="14"/>
        <v>1.2047637031935805</v>
      </c>
    </row>
    <row r="943" spans="1:8" x14ac:dyDescent="0.25">
      <c r="A943" s="1" t="s">
        <v>7</v>
      </c>
      <c r="B943" s="1" t="s">
        <v>11</v>
      </c>
      <c r="C943" s="6">
        <v>4012752</v>
      </c>
      <c r="D943" s="6">
        <v>4886572.28</v>
      </c>
      <c r="E943" s="6">
        <v>4046243</v>
      </c>
      <c r="F943" s="6">
        <v>4046243</v>
      </c>
      <c r="G943" s="7" t="s">
        <v>20</v>
      </c>
      <c r="H943" s="1">
        <f t="shared" si="14"/>
        <v>1.2177608484152522</v>
      </c>
    </row>
    <row r="944" spans="1:8" x14ac:dyDescent="0.25">
      <c r="A944" s="1" t="s">
        <v>7</v>
      </c>
      <c r="B944" s="1" t="s">
        <v>11</v>
      </c>
      <c r="C944" s="6">
        <v>1168939939</v>
      </c>
      <c r="D944" s="6">
        <v>1165232811.3</v>
      </c>
      <c r="E944" s="6">
        <v>1022380653.8099999</v>
      </c>
      <c r="F944" s="6">
        <v>927067993.40999997</v>
      </c>
      <c r="G944" s="7" t="s">
        <v>20</v>
      </c>
      <c r="H944" s="1">
        <f t="shared" si="14"/>
        <v>0.99682864142432215</v>
      </c>
    </row>
    <row r="945" spans="1:8" x14ac:dyDescent="0.25">
      <c r="A945" s="1" t="s">
        <v>7</v>
      </c>
      <c r="B945" s="1" t="s">
        <v>11</v>
      </c>
      <c r="C945" s="6">
        <v>1000</v>
      </c>
      <c r="D945" s="6">
        <v>0</v>
      </c>
      <c r="E945" s="6">
        <v>0</v>
      </c>
      <c r="F945" s="6">
        <v>0</v>
      </c>
      <c r="G945" s="7" t="s">
        <v>20</v>
      </c>
      <c r="H945" s="1">
        <f t="shared" si="14"/>
        <v>0</v>
      </c>
    </row>
    <row r="946" spans="1:8" x14ac:dyDescent="0.25">
      <c r="A946" s="1" t="s">
        <v>7</v>
      </c>
      <c r="B946" s="1" t="s">
        <v>11</v>
      </c>
      <c r="C946" s="6">
        <v>6933241</v>
      </c>
      <c r="D946" s="6">
        <v>0</v>
      </c>
      <c r="E946" s="6">
        <v>0</v>
      </c>
      <c r="F946" s="6">
        <v>0</v>
      </c>
      <c r="G946" s="7" t="s">
        <v>20</v>
      </c>
      <c r="H946" s="1">
        <f t="shared" si="14"/>
        <v>0</v>
      </c>
    </row>
    <row r="947" spans="1:8" x14ac:dyDescent="0.25">
      <c r="A947" s="1" t="s">
        <v>7</v>
      </c>
      <c r="B947" s="1" t="s">
        <v>11</v>
      </c>
      <c r="C947" s="6">
        <v>100000</v>
      </c>
      <c r="D947" s="6">
        <v>0</v>
      </c>
      <c r="E947" s="6">
        <v>0</v>
      </c>
      <c r="F947" s="6">
        <v>0</v>
      </c>
      <c r="G947" s="7" t="s">
        <v>20</v>
      </c>
      <c r="H947" s="1">
        <f t="shared" si="14"/>
        <v>0</v>
      </c>
    </row>
    <row r="948" spans="1:8" x14ac:dyDescent="0.25">
      <c r="A948" s="1" t="s">
        <v>7</v>
      </c>
      <c r="B948" s="1" t="s">
        <v>11</v>
      </c>
      <c r="C948" s="6">
        <v>901110</v>
      </c>
      <c r="D948" s="6">
        <v>0</v>
      </c>
      <c r="E948" s="6">
        <v>0</v>
      </c>
      <c r="F948" s="6">
        <v>0</v>
      </c>
      <c r="G948" s="7" t="s">
        <v>20</v>
      </c>
      <c r="H948" s="1">
        <f t="shared" si="14"/>
        <v>0</v>
      </c>
    </row>
    <row r="949" spans="1:8" x14ac:dyDescent="0.25">
      <c r="A949" s="1" t="s">
        <v>7</v>
      </c>
      <c r="B949" s="1" t="s">
        <v>11</v>
      </c>
      <c r="C949" s="6">
        <v>440000</v>
      </c>
      <c r="D949" s="6">
        <v>0</v>
      </c>
      <c r="E949" s="6">
        <v>0</v>
      </c>
      <c r="F949" s="6">
        <v>0</v>
      </c>
      <c r="G949" s="7" t="s">
        <v>20</v>
      </c>
      <c r="H949" s="1">
        <f t="shared" si="14"/>
        <v>0</v>
      </c>
    </row>
    <row r="950" spans="1:8" x14ac:dyDescent="0.25">
      <c r="A950" s="1" t="s">
        <v>7</v>
      </c>
      <c r="B950" s="1" t="s">
        <v>11</v>
      </c>
      <c r="C950" s="6">
        <v>8453</v>
      </c>
      <c r="D950" s="6">
        <v>2136905.17</v>
      </c>
      <c r="E950" s="6">
        <v>0</v>
      </c>
      <c r="F950" s="6">
        <v>0</v>
      </c>
      <c r="G950" s="7" t="s">
        <v>20</v>
      </c>
      <c r="H950" s="1">
        <f t="shared" si="14"/>
        <v>252.79843487519224</v>
      </c>
    </row>
    <row r="951" spans="1:8" x14ac:dyDescent="0.25">
      <c r="A951" s="1" t="s">
        <v>7</v>
      </c>
      <c r="B951" s="1" t="s">
        <v>11</v>
      </c>
      <c r="C951" s="6">
        <v>8746240</v>
      </c>
      <c r="D951" s="6">
        <v>7808718</v>
      </c>
      <c r="E951" s="6">
        <v>7808718</v>
      </c>
      <c r="F951" s="6">
        <v>7180491.5</v>
      </c>
      <c r="G951" s="7" t="s">
        <v>20</v>
      </c>
      <c r="H951" s="1">
        <f t="shared" si="14"/>
        <v>0.89280856688131127</v>
      </c>
    </row>
    <row r="952" spans="1:8" x14ac:dyDescent="0.25">
      <c r="A952" s="1" t="s">
        <v>7</v>
      </c>
      <c r="B952" s="1" t="s">
        <v>11</v>
      </c>
      <c r="C952" s="6">
        <v>1136005</v>
      </c>
      <c r="D952" s="6">
        <v>0</v>
      </c>
      <c r="E952" s="6">
        <v>0</v>
      </c>
      <c r="F952" s="6">
        <v>0</v>
      </c>
      <c r="G952" s="7" t="s">
        <v>20</v>
      </c>
      <c r="H952" s="1">
        <f t="shared" si="14"/>
        <v>0</v>
      </c>
    </row>
    <row r="953" spans="1:8" x14ac:dyDescent="0.25">
      <c r="A953" s="1" t="s">
        <v>7</v>
      </c>
      <c r="B953" s="1" t="s">
        <v>11</v>
      </c>
      <c r="C953" s="6">
        <v>3609000</v>
      </c>
      <c r="D953" s="6">
        <v>2070746.14</v>
      </c>
      <c r="E953" s="6">
        <v>1897653.84</v>
      </c>
      <c r="F953" s="6">
        <v>1897653.84</v>
      </c>
      <c r="G953" s="7" t="s">
        <v>20</v>
      </c>
      <c r="H953" s="1">
        <f t="shared" si="14"/>
        <v>0.57377282903851479</v>
      </c>
    </row>
    <row r="954" spans="1:8" x14ac:dyDescent="0.25">
      <c r="A954" s="1" t="s">
        <v>7</v>
      </c>
      <c r="B954" s="1" t="s">
        <v>11</v>
      </c>
      <c r="C954" s="6">
        <v>599200</v>
      </c>
      <c r="D954" s="6">
        <v>0</v>
      </c>
      <c r="E954" s="6">
        <v>0</v>
      </c>
      <c r="F954" s="6">
        <v>0</v>
      </c>
      <c r="G954" s="7" t="s">
        <v>20</v>
      </c>
      <c r="H954" s="1">
        <f t="shared" si="14"/>
        <v>0</v>
      </c>
    </row>
    <row r="955" spans="1:8" x14ac:dyDescent="0.25">
      <c r="A955" s="1" t="s">
        <v>7</v>
      </c>
      <c r="B955" s="1" t="s">
        <v>11</v>
      </c>
      <c r="C955" s="6">
        <v>31000</v>
      </c>
      <c r="D955" s="6">
        <v>0</v>
      </c>
      <c r="E955" s="6">
        <v>0</v>
      </c>
      <c r="F955" s="6">
        <v>0</v>
      </c>
      <c r="G955" s="7" t="s">
        <v>20</v>
      </c>
      <c r="H955" s="1">
        <f t="shared" si="14"/>
        <v>0</v>
      </c>
    </row>
    <row r="956" spans="1:8" x14ac:dyDescent="0.25">
      <c r="A956" s="1" t="s">
        <v>7</v>
      </c>
      <c r="B956" s="1" t="s">
        <v>11</v>
      </c>
      <c r="C956" s="6">
        <v>3617000</v>
      </c>
      <c r="D956" s="6">
        <v>0</v>
      </c>
      <c r="E956" s="6">
        <v>0</v>
      </c>
      <c r="F956" s="6">
        <v>0</v>
      </c>
      <c r="G956" s="7" t="s">
        <v>20</v>
      </c>
      <c r="H956" s="1">
        <f t="shared" si="14"/>
        <v>0</v>
      </c>
    </row>
    <row r="957" spans="1:8" x14ac:dyDescent="0.25">
      <c r="A957" s="1" t="s">
        <v>7</v>
      </c>
      <c r="B957" s="1" t="s">
        <v>11</v>
      </c>
      <c r="C957" s="6">
        <v>268960</v>
      </c>
      <c r="D957" s="6">
        <v>0</v>
      </c>
      <c r="E957" s="6">
        <v>0</v>
      </c>
      <c r="F957" s="6">
        <v>0</v>
      </c>
      <c r="G957" s="7" t="s">
        <v>20</v>
      </c>
      <c r="H957" s="1">
        <f t="shared" si="14"/>
        <v>0</v>
      </c>
    </row>
    <row r="958" spans="1:8" x14ac:dyDescent="0.25">
      <c r="A958" s="1" t="s">
        <v>7</v>
      </c>
      <c r="B958" s="1" t="s">
        <v>11</v>
      </c>
      <c r="C958" s="6">
        <v>754271</v>
      </c>
      <c r="D958" s="6">
        <v>0</v>
      </c>
      <c r="E958" s="6">
        <v>0</v>
      </c>
      <c r="F958" s="6">
        <v>0</v>
      </c>
      <c r="G958" s="7" t="s">
        <v>20</v>
      </c>
      <c r="H958" s="1">
        <f t="shared" si="14"/>
        <v>0</v>
      </c>
    </row>
    <row r="959" spans="1:8" x14ac:dyDescent="0.25">
      <c r="A959" s="1" t="s">
        <v>7</v>
      </c>
      <c r="B959" s="1" t="s">
        <v>11</v>
      </c>
      <c r="C959" s="6">
        <v>484902</v>
      </c>
      <c r="D959" s="6">
        <v>376004.87</v>
      </c>
      <c r="E959" s="6">
        <v>358004.87</v>
      </c>
      <c r="F959" s="6">
        <v>358004.87</v>
      </c>
      <c r="G959" s="7" t="s">
        <v>20</v>
      </c>
      <c r="H959" s="1">
        <f t="shared" si="14"/>
        <v>0.7754244569005696</v>
      </c>
    </row>
    <row r="960" spans="1:8" x14ac:dyDescent="0.25">
      <c r="A960" s="1" t="s">
        <v>7</v>
      </c>
      <c r="B960" s="1" t="s">
        <v>11</v>
      </c>
      <c r="C960" s="6">
        <v>8192688</v>
      </c>
      <c r="D960" s="6">
        <v>34712290.520000003</v>
      </c>
      <c r="E960" s="6">
        <v>29336124.789999999</v>
      </c>
      <c r="F960" s="6">
        <v>29336124.789999999</v>
      </c>
      <c r="G960" s="7" t="s">
        <v>20</v>
      </c>
      <c r="H960" s="1">
        <f t="shared" si="14"/>
        <v>4.2369843108879532</v>
      </c>
    </row>
    <row r="961" spans="1:8" x14ac:dyDescent="0.25">
      <c r="A961" s="1" t="s">
        <v>7</v>
      </c>
      <c r="B961" s="1" t="s">
        <v>11</v>
      </c>
      <c r="C961" s="6">
        <v>9000</v>
      </c>
      <c r="D961" s="6">
        <v>0</v>
      </c>
      <c r="E961" s="6">
        <v>0</v>
      </c>
      <c r="F961" s="6">
        <v>0</v>
      </c>
      <c r="G961" s="7" t="s">
        <v>20</v>
      </c>
      <c r="H961" s="1">
        <f t="shared" si="14"/>
        <v>0</v>
      </c>
    </row>
    <row r="962" spans="1:8" x14ac:dyDescent="0.25">
      <c r="A962" s="1" t="s">
        <v>7</v>
      </c>
      <c r="B962" s="1" t="s">
        <v>11</v>
      </c>
      <c r="C962" s="6">
        <v>2550000</v>
      </c>
      <c r="D962" s="6">
        <v>13983346.539999999</v>
      </c>
      <c r="E962" s="6">
        <v>1367144.05</v>
      </c>
      <c r="F962" s="6">
        <v>1367144.05</v>
      </c>
      <c r="G962" s="7" t="s">
        <v>20</v>
      </c>
      <c r="H962" s="1">
        <f t="shared" ref="H962:H1025" si="15">IF(OR(ISNA($D962),ISNA($C962),$C962=0),0,$D962/$C962)</f>
        <v>5.4836653098039214</v>
      </c>
    </row>
    <row r="963" spans="1:8" x14ac:dyDescent="0.25">
      <c r="A963" s="1" t="s">
        <v>7</v>
      </c>
      <c r="B963" s="1" t="s">
        <v>11</v>
      </c>
      <c r="C963" s="6">
        <v>9000</v>
      </c>
      <c r="D963" s="6">
        <v>0</v>
      </c>
      <c r="E963" s="6">
        <v>0</v>
      </c>
      <c r="F963" s="6">
        <v>0</v>
      </c>
      <c r="G963" s="7" t="s">
        <v>20</v>
      </c>
      <c r="H963" s="1">
        <f t="shared" si="15"/>
        <v>0</v>
      </c>
    </row>
    <row r="964" spans="1:8" x14ac:dyDescent="0.25">
      <c r="A964" s="1" t="s">
        <v>7</v>
      </c>
      <c r="B964" s="1" t="s">
        <v>11</v>
      </c>
      <c r="C964" s="6">
        <v>878860</v>
      </c>
      <c r="D964" s="6">
        <v>1652091.53</v>
      </c>
      <c r="E964" s="6">
        <v>1102398.3999999999</v>
      </c>
      <c r="F964" s="6">
        <v>1102398.3999999999</v>
      </c>
      <c r="G964" s="7" t="s">
        <v>20</v>
      </c>
      <c r="H964" s="1">
        <f t="shared" si="15"/>
        <v>1.8798119495710353</v>
      </c>
    </row>
    <row r="965" spans="1:8" x14ac:dyDescent="0.25">
      <c r="A965" s="1" t="s">
        <v>7</v>
      </c>
      <c r="B965" s="1" t="s">
        <v>11</v>
      </c>
      <c r="C965" s="6">
        <v>627702633</v>
      </c>
      <c r="D965" s="6">
        <v>654410032.53999996</v>
      </c>
      <c r="E965" s="6">
        <v>546124393.86000001</v>
      </c>
      <c r="F965" s="6">
        <v>502584657.36000001</v>
      </c>
      <c r="G965" s="7" t="s">
        <v>20</v>
      </c>
      <c r="H965" s="1">
        <f t="shared" si="15"/>
        <v>1.0425478532921815</v>
      </c>
    </row>
    <row r="966" spans="1:8" x14ac:dyDescent="0.25">
      <c r="A966" s="1" t="s">
        <v>7</v>
      </c>
      <c r="B966" s="1" t="s">
        <v>11</v>
      </c>
      <c r="C966" s="6">
        <v>9000</v>
      </c>
      <c r="D966" s="6">
        <v>0</v>
      </c>
      <c r="E966" s="6">
        <v>0</v>
      </c>
      <c r="F966" s="6">
        <v>0</v>
      </c>
      <c r="G966" s="7" t="s">
        <v>20</v>
      </c>
      <c r="H966" s="1">
        <f t="shared" si="15"/>
        <v>0</v>
      </c>
    </row>
    <row r="967" spans="1:8" x14ac:dyDescent="0.25">
      <c r="A967" s="1" t="s">
        <v>7</v>
      </c>
      <c r="B967" s="1" t="s">
        <v>11</v>
      </c>
      <c r="C967" s="6">
        <v>224379158</v>
      </c>
      <c r="D967" s="6">
        <v>244880283.97</v>
      </c>
      <c r="E967" s="6">
        <v>192557261.66999999</v>
      </c>
      <c r="F967" s="6">
        <v>192533461.66999999</v>
      </c>
      <c r="G967" s="7" t="s">
        <v>20</v>
      </c>
      <c r="H967" s="1">
        <f t="shared" si="15"/>
        <v>1.0913682275695142</v>
      </c>
    </row>
    <row r="968" spans="1:8" x14ac:dyDescent="0.25">
      <c r="A968" s="1" t="s">
        <v>7</v>
      </c>
      <c r="B968" s="1" t="s">
        <v>11</v>
      </c>
      <c r="C968" s="6">
        <v>1000</v>
      </c>
      <c r="D968" s="6">
        <v>0</v>
      </c>
      <c r="E968" s="6">
        <v>0</v>
      </c>
      <c r="F968" s="6">
        <v>0</v>
      </c>
      <c r="G968" s="7" t="s">
        <v>20</v>
      </c>
      <c r="H968" s="1">
        <f t="shared" si="15"/>
        <v>0</v>
      </c>
    </row>
    <row r="969" spans="1:8" x14ac:dyDescent="0.25">
      <c r="A969" s="1" t="s">
        <v>7</v>
      </c>
      <c r="B969" s="1" t="s">
        <v>11</v>
      </c>
      <c r="C969" s="6">
        <v>750</v>
      </c>
      <c r="D969" s="6">
        <v>0</v>
      </c>
      <c r="E969" s="6">
        <v>0</v>
      </c>
      <c r="F969" s="6">
        <v>0</v>
      </c>
      <c r="G969" s="7" t="s">
        <v>20</v>
      </c>
      <c r="H969" s="1">
        <f t="shared" si="15"/>
        <v>0</v>
      </c>
    </row>
    <row r="970" spans="1:8" x14ac:dyDescent="0.25">
      <c r="A970" s="1" t="s">
        <v>7</v>
      </c>
      <c r="B970" s="1" t="s">
        <v>11</v>
      </c>
      <c r="C970" s="6">
        <v>27984.5</v>
      </c>
      <c r="D970" s="6">
        <v>157467.75</v>
      </c>
      <c r="E970" s="6">
        <v>16919.75</v>
      </c>
      <c r="F970" s="6">
        <v>16919.75</v>
      </c>
      <c r="G970" s="7" t="s">
        <v>20</v>
      </c>
      <c r="H970" s="1">
        <f t="shared" si="15"/>
        <v>5.6269631403098144</v>
      </c>
    </row>
    <row r="971" spans="1:8" x14ac:dyDescent="0.25">
      <c r="A971" s="1" t="s">
        <v>7</v>
      </c>
      <c r="B971" s="1" t="s">
        <v>11</v>
      </c>
      <c r="C971" s="6">
        <v>250</v>
      </c>
      <c r="D971" s="6">
        <v>0</v>
      </c>
      <c r="E971" s="6">
        <v>0</v>
      </c>
      <c r="F971" s="6">
        <v>0</v>
      </c>
      <c r="G971" s="7" t="s">
        <v>20</v>
      </c>
      <c r="H971" s="1">
        <f t="shared" si="15"/>
        <v>0</v>
      </c>
    </row>
    <row r="972" spans="1:8" x14ac:dyDescent="0.25">
      <c r="A972" s="1" t="s">
        <v>7</v>
      </c>
      <c r="B972" s="1" t="s">
        <v>11</v>
      </c>
      <c r="C972" s="6">
        <v>12500</v>
      </c>
      <c r="D972" s="6">
        <v>25490.247500000001</v>
      </c>
      <c r="E972" s="6">
        <v>0</v>
      </c>
      <c r="F972" s="6">
        <v>0</v>
      </c>
      <c r="G972" s="7" t="s">
        <v>20</v>
      </c>
      <c r="H972" s="1">
        <f t="shared" si="15"/>
        <v>2.0392198000000001</v>
      </c>
    </row>
    <row r="973" spans="1:8" x14ac:dyDescent="0.25">
      <c r="A973" s="1" t="s">
        <v>7</v>
      </c>
      <c r="B973" s="1" t="s">
        <v>11</v>
      </c>
      <c r="C973" s="6">
        <v>16180</v>
      </c>
      <c r="D973" s="6">
        <v>21442.75</v>
      </c>
      <c r="E973" s="6">
        <v>13326.5</v>
      </c>
      <c r="F973" s="6">
        <v>13326.5</v>
      </c>
      <c r="G973" s="7" t="s">
        <v>20</v>
      </c>
      <c r="H973" s="1">
        <f t="shared" si="15"/>
        <v>1.3252626699629171</v>
      </c>
    </row>
    <row r="974" spans="1:8" x14ac:dyDescent="0.25">
      <c r="A974" s="1" t="s">
        <v>7</v>
      </c>
      <c r="B974" s="1" t="s">
        <v>11</v>
      </c>
      <c r="C974" s="6">
        <v>1914</v>
      </c>
      <c r="D974" s="6">
        <v>2552.5</v>
      </c>
      <c r="E974" s="6">
        <v>1595</v>
      </c>
      <c r="F974" s="6">
        <v>1595</v>
      </c>
      <c r="G974" s="7" t="s">
        <v>20</v>
      </c>
      <c r="H974" s="1">
        <f t="shared" si="15"/>
        <v>1.333594566353187</v>
      </c>
    </row>
    <row r="975" spans="1:8" x14ac:dyDescent="0.25">
      <c r="A975" s="1" t="s">
        <v>7</v>
      </c>
      <c r="B975" s="1" t="s">
        <v>11</v>
      </c>
      <c r="C975" s="6">
        <v>5632866</v>
      </c>
      <c r="D975" s="6">
        <v>5246609.0975000001</v>
      </c>
      <c r="E975" s="6">
        <v>5227587.7649999997</v>
      </c>
      <c r="F975" s="6">
        <v>4729071.0049999999</v>
      </c>
      <c r="G975" s="7" t="s">
        <v>20</v>
      </c>
      <c r="H975" s="1">
        <f t="shared" si="15"/>
        <v>0.93142799731078285</v>
      </c>
    </row>
    <row r="976" spans="1:8" x14ac:dyDescent="0.25">
      <c r="A976" s="1" t="s">
        <v>7</v>
      </c>
      <c r="B976" s="1" t="s">
        <v>11</v>
      </c>
      <c r="C976" s="6">
        <v>152820</v>
      </c>
      <c r="D976" s="6">
        <v>1018083.83</v>
      </c>
      <c r="E976" s="6">
        <v>311931</v>
      </c>
      <c r="F976" s="6">
        <v>311931</v>
      </c>
      <c r="G976" s="7" t="s">
        <v>20</v>
      </c>
      <c r="H976" s="1">
        <f t="shared" si="15"/>
        <v>6.6619803036251799</v>
      </c>
    </row>
    <row r="977" spans="1:8" x14ac:dyDescent="0.25">
      <c r="A977" s="1" t="s">
        <v>7</v>
      </c>
      <c r="B977" s="1" t="s">
        <v>11</v>
      </c>
      <c r="C977" s="6">
        <v>3000</v>
      </c>
      <c r="D977" s="6">
        <v>0</v>
      </c>
      <c r="E977" s="6">
        <v>0</v>
      </c>
      <c r="F977" s="6">
        <v>0</v>
      </c>
      <c r="G977" s="7" t="s">
        <v>20</v>
      </c>
      <c r="H977" s="1">
        <f t="shared" si="15"/>
        <v>0</v>
      </c>
    </row>
    <row r="978" spans="1:8" x14ac:dyDescent="0.25">
      <c r="A978" s="1" t="s">
        <v>7</v>
      </c>
      <c r="B978" s="1" t="s">
        <v>11</v>
      </c>
      <c r="C978" s="6">
        <v>150000</v>
      </c>
      <c r="D978" s="6">
        <v>174759</v>
      </c>
      <c r="E978" s="6">
        <v>0</v>
      </c>
      <c r="F978" s="6">
        <v>0</v>
      </c>
      <c r="G978" s="7" t="s">
        <v>20</v>
      </c>
      <c r="H978" s="1">
        <f t="shared" si="15"/>
        <v>1.16506</v>
      </c>
    </row>
    <row r="979" spans="1:8" x14ac:dyDescent="0.25">
      <c r="A979" s="1" t="s">
        <v>7</v>
      </c>
      <c r="B979" s="1" t="s">
        <v>11</v>
      </c>
      <c r="C979" s="6">
        <v>587640</v>
      </c>
      <c r="D979" s="6">
        <v>556066.31999999995</v>
      </c>
      <c r="E979" s="6">
        <v>422391</v>
      </c>
      <c r="F979" s="6">
        <v>422391</v>
      </c>
      <c r="G979" s="7" t="s">
        <v>20</v>
      </c>
      <c r="H979" s="1">
        <f t="shared" si="15"/>
        <v>0.94627036961404931</v>
      </c>
    </row>
    <row r="980" spans="1:8" x14ac:dyDescent="0.25">
      <c r="A980" s="1" t="s">
        <v>7</v>
      </c>
      <c r="B980" s="1" t="s">
        <v>11</v>
      </c>
      <c r="C980" s="6">
        <v>16296</v>
      </c>
      <c r="D980" s="6">
        <v>31810</v>
      </c>
      <c r="E980" s="6">
        <v>23845</v>
      </c>
      <c r="F980" s="6">
        <v>23845</v>
      </c>
      <c r="G980" s="7" t="s">
        <v>20</v>
      </c>
      <c r="H980" s="1">
        <f t="shared" si="15"/>
        <v>1.9520127638684339</v>
      </c>
    </row>
    <row r="981" spans="1:8" x14ac:dyDescent="0.25">
      <c r="A981" s="1" t="s">
        <v>7</v>
      </c>
      <c r="B981" s="1" t="s">
        <v>11</v>
      </c>
      <c r="C981" s="6">
        <v>12000</v>
      </c>
      <c r="D981" s="6">
        <v>0</v>
      </c>
      <c r="E981" s="6">
        <v>0</v>
      </c>
      <c r="F981" s="6">
        <v>0</v>
      </c>
      <c r="G981" s="7" t="s">
        <v>20</v>
      </c>
      <c r="H981" s="1">
        <f t="shared" si="15"/>
        <v>0</v>
      </c>
    </row>
    <row r="982" spans="1:8" x14ac:dyDescent="0.25">
      <c r="A982" s="1" t="s">
        <v>7</v>
      </c>
      <c r="B982" s="1" t="s">
        <v>11</v>
      </c>
      <c r="C982" s="6">
        <v>5168716</v>
      </c>
      <c r="D982" s="6">
        <v>127243.05</v>
      </c>
      <c r="E982" s="6">
        <v>19211.05</v>
      </c>
      <c r="F982" s="6">
        <v>19211.05</v>
      </c>
      <c r="G982" s="7" t="s">
        <v>20</v>
      </c>
      <c r="H982" s="1">
        <f t="shared" si="15"/>
        <v>2.4617922516926835E-2</v>
      </c>
    </row>
    <row r="983" spans="1:8" x14ac:dyDescent="0.25">
      <c r="A983" s="1" t="s">
        <v>7</v>
      </c>
      <c r="B983" s="1" t="s">
        <v>11</v>
      </c>
      <c r="C983" s="6">
        <v>2686734</v>
      </c>
      <c r="D983" s="6">
        <v>0</v>
      </c>
      <c r="E983" s="6">
        <v>0</v>
      </c>
      <c r="F983" s="6">
        <v>0</v>
      </c>
      <c r="G983" s="7" t="s">
        <v>20</v>
      </c>
      <c r="H983" s="1">
        <f t="shared" si="15"/>
        <v>0</v>
      </c>
    </row>
    <row r="984" spans="1:8" x14ac:dyDescent="0.25">
      <c r="A984" s="1" t="s">
        <v>7</v>
      </c>
      <c r="B984" s="1" t="s">
        <v>11</v>
      </c>
      <c r="C984" s="6">
        <v>360000</v>
      </c>
      <c r="D984" s="6">
        <v>279000</v>
      </c>
      <c r="E984" s="6">
        <v>255750</v>
      </c>
      <c r="F984" s="6">
        <v>255750</v>
      </c>
      <c r="G984" s="7" t="s">
        <v>20</v>
      </c>
      <c r="H984" s="1">
        <f t="shared" si="15"/>
        <v>0.77500000000000002</v>
      </c>
    </row>
    <row r="985" spans="1:8" x14ac:dyDescent="0.25">
      <c r="A985" s="1" t="s">
        <v>7</v>
      </c>
      <c r="B985" s="1" t="s">
        <v>11</v>
      </c>
      <c r="C985" s="6">
        <v>1420000</v>
      </c>
      <c r="D985" s="6">
        <v>4132664.46</v>
      </c>
      <c r="E985" s="6">
        <v>4132664.46</v>
      </c>
      <c r="F985" s="6">
        <v>3751196.16</v>
      </c>
      <c r="G985" s="7" t="s">
        <v>20</v>
      </c>
      <c r="H985" s="1">
        <f t="shared" si="15"/>
        <v>2.9103270845070424</v>
      </c>
    </row>
    <row r="986" spans="1:8" x14ac:dyDescent="0.25">
      <c r="A986" s="1" t="s">
        <v>7</v>
      </c>
      <c r="B986" s="1" t="s">
        <v>11</v>
      </c>
      <c r="C986" s="6">
        <v>1080000</v>
      </c>
      <c r="D986" s="6">
        <v>0</v>
      </c>
      <c r="E986" s="6">
        <v>0</v>
      </c>
      <c r="F986" s="6">
        <v>0</v>
      </c>
      <c r="G986" s="7" t="s">
        <v>20</v>
      </c>
      <c r="H986" s="1">
        <f t="shared" si="15"/>
        <v>0</v>
      </c>
    </row>
    <row r="987" spans="1:8" x14ac:dyDescent="0.25">
      <c r="A987" s="1" t="s">
        <v>7</v>
      </c>
      <c r="B987" s="1" t="s">
        <v>11</v>
      </c>
      <c r="C987" s="6">
        <v>6050</v>
      </c>
      <c r="D987" s="6">
        <v>1347.5</v>
      </c>
      <c r="E987" s="6">
        <v>1347.5</v>
      </c>
      <c r="F987" s="6">
        <v>1347.5</v>
      </c>
      <c r="G987" s="7" t="s">
        <v>20</v>
      </c>
      <c r="H987" s="1">
        <f t="shared" si="15"/>
        <v>0.22272727272727272</v>
      </c>
    </row>
    <row r="988" spans="1:8" x14ac:dyDescent="0.25">
      <c r="A988" s="1" t="s">
        <v>7</v>
      </c>
      <c r="B988" s="1" t="s">
        <v>11</v>
      </c>
      <c r="C988" s="6">
        <v>10178</v>
      </c>
      <c r="D988" s="6">
        <v>0</v>
      </c>
      <c r="E988" s="6">
        <v>0</v>
      </c>
      <c r="F988" s="6">
        <v>0</v>
      </c>
      <c r="G988" s="7" t="s">
        <v>20</v>
      </c>
      <c r="H988" s="1">
        <f t="shared" si="15"/>
        <v>0</v>
      </c>
    </row>
    <row r="989" spans="1:8" x14ac:dyDescent="0.25">
      <c r="A989" s="1" t="s">
        <v>7</v>
      </c>
      <c r="B989" s="1" t="s">
        <v>11</v>
      </c>
      <c r="C989" s="6">
        <v>1650</v>
      </c>
      <c r="D989" s="6">
        <v>0</v>
      </c>
      <c r="E989" s="6">
        <v>0</v>
      </c>
      <c r="F989" s="6">
        <v>0</v>
      </c>
      <c r="G989" s="7" t="s">
        <v>20</v>
      </c>
      <c r="H989" s="1">
        <f t="shared" si="15"/>
        <v>0</v>
      </c>
    </row>
    <row r="990" spans="1:8" x14ac:dyDescent="0.25">
      <c r="A990" s="1" t="s">
        <v>7</v>
      </c>
      <c r="B990" s="1" t="s">
        <v>11</v>
      </c>
      <c r="C990" s="6">
        <v>750</v>
      </c>
      <c r="D990" s="6">
        <v>0</v>
      </c>
      <c r="E990" s="6">
        <v>0</v>
      </c>
      <c r="F990" s="6">
        <v>0</v>
      </c>
      <c r="G990" s="7" t="s">
        <v>20</v>
      </c>
      <c r="H990" s="1">
        <f t="shared" si="15"/>
        <v>0</v>
      </c>
    </row>
    <row r="991" spans="1:8" x14ac:dyDescent="0.25">
      <c r="A991" s="1" t="s">
        <v>7</v>
      </c>
      <c r="B991" s="1" t="s">
        <v>11</v>
      </c>
      <c r="C991" s="6">
        <v>100021</v>
      </c>
      <c r="D991" s="6">
        <v>38602.9375</v>
      </c>
      <c r="E991" s="6">
        <v>26017.6525</v>
      </c>
      <c r="F991" s="6">
        <v>26017.6525</v>
      </c>
      <c r="G991" s="7" t="s">
        <v>20</v>
      </c>
      <c r="H991" s="1">
        <f t="shared" si="15"/>
        <v>0.38594832585157118</v>
      </c>
    </row>
    <row r="992" spans="1:8" x14ac:dyDescent="0.25">
      <c r="A992" s="1" t="s">
        <v>7</v>
      </c>
      <c r="B992" s="1" t="s">
        <v>11</v>
      </c>
      <c r="C992" s="6">
        <v>323612.84999999998</v>
      </c>
      <c r="D992" s="6">
        <v>321091.29100000003</v>
      </c>
      <c r="E992" s="6">
        <v>293497.77500000002</v>
      </c>
      <c r="F992" s="6">
        <v>293497.77500000002</v>
      </c>
      <c r="G992" s="7" t="s">
        <v>20</v>
      </c>
      <c r="H992" s="1">
        <f t="shared" si="15"/>
        <v>0.99220809989467373</v>
      </c>
    </row>
    <row r="993" spans="1:8" x14ac:dyDescent="0.25">
      <c r="A993" s="1" t="s">
        <v>7</v>
      </c>
      <c r="B993" s="1" t="s">
        <v>11</v>
      </c>
      <c r="C993" s="6">
        <v>850000</v>
      </c>
      <c r="D993" s="6">
        <v>647803.79350000003</v>
      </c>
      <c r="E993" s="6">
        <v>595712.15549999999</v>
      </c>
      <c r="F993" s="6">
        <v>595712.15549999999</v>
      </c>
      <c r="G993" s="7" t="s">
        <v>20</v>
      </c>
      <c r="H993" s="1">
        <f t="shared" si="15"/>
        <v>0.76212211000000007</v>
      </c>
    </row>
    <row r="994" spans="1:8" x14ac:dyDescent="0.25">
      <c r="A994" s="1" t="s">
        <v>7</v>
      </c>
      <c r="B994" s="1" t="s">
        <v>11</v>
      </c>
      <c r="C994" s="6">
        <v>297500</v>
      </c>
      <c r="D994" s="6">
        <v>0</v>
      </c>
      <c r="E994" s="6">
        <v>0</v>
      </c>
      <c r="F994" s="6">
        <v>0</v>
      </c>
      <c r="G994" s="7" t="s">
        <v>20</v>
      </c>
      <c r="H994" s="1">
        <f t="shared" si="15"/>
        <v>0</v>
      </c>
    </row>
    <row r="995" spans="1:8" x14ac:dyDescent="0.25">
      <c r="A995" s="1" t="s">
        <v>16</v>
      </c>
      <c r="B995" s="1" t="s">
        <v>17</v>
      </c>
      <c r="C995" s="6">
        <v>349777</v>
      </c>
      <c r="D995" s="6">
        <v>331339.21999999997</v>
      </c>
      <c r="E995" s="6">
        <v>331339.21999999997</v>
      </c>
      <c r="F995" s="6">
        <v>310016.92</v>
      </c>
      <c r="G995" s="7" t="s">
        <v>20</v>
      </c>
      <c r="H995" s="1">
        <f t="shared" si="15"/>
        <v>0.94728704288732524</v>
      </c>
    </row>
    <row r="996" spans="1:8" x14ac:dyDescent="0.25">
      <c r="A996" s="1" t="s">
        <v>16</v>
      </c>
      <c r="B996" s="1" t="s">
        <v>17</v>
      </c>
      <c r="C996" s="6">
        <v>4500</v>
      </c>
      <c r="D996" s="6">
        <v>0</v>
      </c>
      <c r="E996" s="6">
        <v>0</v>
      </c>
      <c r="F996" s="6">
        <v>0</v>
      </c>
      <c r="G996" s="7" t="s">
        <v>20</v>
      </c>
      <c r="H996" s="1">
        <f t="shared" si="15"/>
        <v>0</v>
      </c>
    </row>
    <row r="997" spans="1:8" x14ac:dyDescent="0.25">
      <c r="A997" s="1" t="s">
        <v>16</v>
      </c>
      <c r="B997" s="1" t="s">
        <v>17</v>
      </c>
      <c r="C997" s="6">
        <v>3125</v>
      </c>
      <c r="D997" s="6">
        <v>0</v>
      </c>
      <c r="E997" s="6">
        <v>0</v>
      </c>
      <c r="F997" s="6">
        <v>0</v>
      </c>
      <c r="G997" s="7" t="s">
        <v>20</v>
      </c>
      <c r="H997" s="1">
        <f t="shared" si="15"/>
        <v>0</v>
      </c>
    </row>
    <row r="998" spans="1:8" x14ac:dyDescent="0.25">
      <c r="A998" s="1" t="s">
        <v>16</v>
      </c>
      <c r="B998" s="1" t="s">
        <v>17</v>
      </c>
      <c r="C998" s="6">
        <v>11550657.5</v>
      </c>
      <c r="D998" s="6">
        <v>10880612.1775</v>
      </c>
      <c r="E998" s="6">
        <v>10704407.0725</v>
      </c>
      <c r="F998" s="6">
        <v>9932739.6125000007</v>
      </c>
      <c r="G998" s="7" t="s">
        <v>20</v>
      </c>
      <c r="H998" s="1">
        <f t="shared" si="15"/>
        <v>0.941990720225234</v>
      </c>
    </row>
    <row r="999" spans="1:8" x14ac:dyDescent="0.25">
      <c r="A999" s="1" t="s">
        <v>16</v>
      </c>
      <c r="B999" s="1" t="s">
        <v>17</v>
      </c>
      <c r="C999" s="6">
        <v>382776.5</v>
      </c>
      <c r="D999" s="6">
        <v>377747.04499999998</v>
      </c>
      <c r="E999" s="6">
        <v>377747.04499999998</v>
      </c>
      <c r="F999" s="6">
        <v>377747.04499999998</v>
      </c>
      <c r="G999" s="7" t="s">
        <v>20</v>
      </c>
      <c r="H999" s="1">
        <f t="shared" si="15"/>
        <v>0.98686059619647493</v>
      </c>
    </row>
    <row r="1000" spans="1:8" x14ac:dyDescent="0.25">
      <c r="A1000" s="1" t="s">
        <v>16</v>
      </c>
      <c r="B1000" s="1" t="s">
        <v>17</v>
      </c>
      <c r="C1000" s="6">
        <v>537477.5</v>
      </c>
      <c r="D1000" s="6">
        <v>579558.72</v>
      </c>
      <c r="E1000" s="6">
        <v>579558.72</v>
      </c>
      <c r="F1000" s="6">
        <v>567977.28</v>
      </c>
      <c r="G1000" s="7" t="s">
        <v>20</v>
      </c>
      <c r="H1000" s="1">
        <f t="shared" si="15"/>
        <v>1.078293919280342</v>
      </c>
    </row>
    <row r="1001" spans="1:8" x14ac:dyDescent="0.25">
      <c r="A1001" s="1" t="s">
        <v>16</v>
      </c>
      <c r="B1001" s="1" t="s">
        <v>17</v>
      </c>
      <c r="C1001" s="6">
        <v>6667632</v>
      </c>
      <c r="D1001" s="6">
        <v>3002723.37</v>
      </c>
      <c r="E1001" s="6">
        <v>3002723.37</v>
      </c>
      <c r="F1001" s="6">
        <v>3002723.37</v>
      </c>
      <c r="G1001" s="7" t="s">
        <v>20</v>
      </c>
      <c r="H1001" s="1">
        <f t="shared" si="15"/>
        <v>0.45034329579076954</v>
      </c>
    </row>
    <row r="1002" spans="1:8" x14ac:dyDescent="0.25">
      <c r="A1002" s="1" t="s">
        <v>16</v>
      </c>
      <c r="B1002" s="1" t="s">
        <v>17</v>
      </c>
      <c r="C1002" s="6">
        <v>119500</v>
      </c>
      <c r="D1002" s="6">
        <v>0</v>
      </c>
      <c r="E1002" s="6">
        <v>0</v>
      </c>
      <c r="F1002" s="6">
        <v>0</v>
      </c>
      <c r="G1002" s="7" t="s">
        <v>20</v>
      </c>
      <c r="H1002" s="1">
        <f t="shared" si="15"/>
        <v>0</v>
      </c>
    </row>
    <row r="1003" spans="1:8" x14ac:dyDescent="0.25">
      <c r="A1003" s="1" t="s">
        <v>16</v>
      </c>
      <c r="B1003" s="1" t="s">
        <v>17</v>
      </c>
      <c r="C1003" s="6">
        <v>1512000</v>
      </c>
      <c r="D1003" s="6">
        <v>0</v>
      </c>
      <c r="E1003" s="6">
        <v>0</v>
      </c>
      <c r="F1003" s="6">
        <v>0</v>
      </c>
      <c r="G1003" s="7" t="s">
        <v>20</v>
      </c>
      <c r="H1003" s="1">
        <f t="shared" si="15"/>
        <v>0</v>
      </c>
    </row>
    <row r="1004" spans="1:8" x14ac:dyDescent="0.25">
      <c r="A1004" s="1" t="s">
        <v>16</v>
      </c>
      <c r="B1004" s="1" t="s">
        <v>17</v>
      </c>
      <c r="C1004" s="6">
        <v>26116171</v>
      </c>
      <c r="D1004" s="6">
        <v>26844193.140000001</v>
      </c>
      <c r="E1004" s="6">
        <v>26537542.079999998</v>
      </c>
      <c r="F1004" s="6">
        <v>26519697.539999999</v>
      </c>
      <c r="G1004" s="7" t="s">
        <v>20</v>
      </c>
      <c r="H1004" s="1">
        <f t="shared" si="15"/>
        <v>1.0278762970268498</v>
      </c>
    </row>
    <row r="1005" spans="1:8" x14ac:dyDescent="0.25">
      <c r="A1005" s="1" t="s">
        <v>16</v>
      </c>
      <c r="B1005" s="1" t="s">
        <v>17</v>
      </c>
      <c r="C1005" s="6">
        <v>1088955</v>
      </c>
      <c r="D1005" s="6">
        <v>1071454.32</v>
      </c>
      <c r="E1005" s="6">
        <v>1071454.32</v>
      </c>
      <c r="F1005" s="6">
        <v>982166.46</v>
      </c>
      <c r="G1005" s="7" t="s">
        <v>20</v>
      </c>
      <c r="H1005" s="1">
        <f t="shared" si="15"/>
        <v>0.98392892268275556</v>
      </c>
    </row>
    <row r="1006" spans="1:8" x14ac:dyDescent="0.25">
      <c r="A1006" s="1" t="s">
        <v>16</v>
      </c>
      <c r="B1006" s="1" t="s">
        <v>17</v>
      </c>
      <c r="C1006" s="6">
        <v>710829</v>
      </c>
      <c r="D1006" s="6">
        <v>720566.23</v>
      </c>
      <c r="E1006" s="6">
        <v>719232.87</v>
      </c>
      <c r="F1006" s="6">
        <v>663073.15</v>
      </c>
      <c r="G1006" s="7" t="s">
        <v>20</v>
      </c>
      <c r="H1006" s="1">
        <f t="shared" si="15"/>
        <v>1.0136984141052208</v>
      </c>
    </row>
    <row r="1007" spans="1:8" x14ac:dyDescent="0.25">
      <c r="A1007" s="1" t="s">
        <v>16</v>
      </c>
      <c r="B1007" s="1" t="s">
        <v>17</v>
      </c>
      <c r="C1007" s="6">
        <v>298738</v>
      </c>
      <c r="D1007" s="6">
        <v>328900</v>
      </c>
      <c r="E1007" s="6">
        <v>328900</v>
      </c>
      <c r="F1007" s="6">
        <v>328900</v>
      </c>
      <c r="G1007" s="7" t="s">
        <v>20</v>
      </c>
      <c r="H1007" s="1">
        <f t="shared" si="15"/>
        <v>1.1009647249429266</v>
      </c>
    </row>
    <row r="1008" spans="1:8" x14ac:dyDescent="0.25">
      <c r="A1008" s="1" t="s">
        <v>16</v>
      </c>
      <c r="B1008" s="1" t="s">
        <v>17</v>
      </c>
      <c r="C1008" s="6">
        <v>701904</v>
      </c>
      <c r="D1008" s="6">
        <v>524700</v>
      </c>
      <c r="E1008" s="6">
        <v>521400</v>
      </c>
      <c r="F1008" s="6">
        <v>521400</v>
      </c>
      <c r="G1008" s="7" t="s">
        <v>20</v>
      </c>
      <c r="H1008" s="1">
        <f t="shared" si="15"/>
        <v>0.74753812487177729</v>
      </c>
    </row>
    <row r="1009" spans="1:8" x14ac:dyDescent="0.25">
      <c r="A1009" s="1" t="s">
        <v>16</v>
      </c>
      <c r="B1009" s="1" t="s">
        <v>17</v>
      </c>
      <c r="C1009" s="6">
        <v>605183</v>
      </c>
      <c r="D1009" s="6">
        <v>50423.25</v>
      </c>
      <c r="E1009" s="6">
        <v>46052.86</v>
      </c>
      <c r="F1009" s="6">
        <v>46052.86</v>
      </c>
      <c r="G1009" s="7" t="s">
        <v>20</v>
      </c>
      <c r="H1009" s="1">
        <f t="shared" si="15"/>
        <v>8.3319012596189915E-2</v>
      </c>
    </row>
    <row r="1010" spans="1:8" x14ac:dyDescent="0.25">
      <c r="A1010" s="1" t="s">
        <v>16</v>
      </c>
      <c r="B1010" s="1" t="s">
        <v>17</v>
      </c>
      <c r="C1010" s="6">
        <v>12400</v>
      </c>
      <c r="D1010" s="6">
        <v>0</v>
      </c>
      <c r="E1010" s="6">
        <v>0</v>
      </c>
      <c r="F1010" s="6">
        <v>0</v>
      </c>
      <c r="G1010" s="7" t="s">
        <v>20</v>
      </c>
      <c r="H1010" s="1">
        <f t="shared" si="15"/>
        <v>0</v>
      </c>
    </row>
    <row r="1011" spans="1:8" x14ac:dyDescent="0.25">
      <c r="A1011" s="1" t="s">
        <v>16</v>
      </c>
      <c r="B1011" s="1" t="s">
        <v>17</v>
      </c>
      <c r="C1011" s="6">
        <v>805982</v>
      </c>
      <c r="D1011" s="6">
        <v>808080.48</v>
      </c>
      <c r="E1011" s="6">
        <v>802676.25</v>
      </c>
      <c r="F1011" s="6">
        <v>802676.25</v>
      </c>
      <c r="G1011" s="7" t="s">
        <v>20</v>
      </c>
      <c r="H1011" s="1">
        <f t="shared" si="15"/>
        <v>1.0026036313466058</v>
      </c>
    </row>
    <row r="1012" spans="1:8" x14ac:dyDescent="0.25">
      <c r="A1012" s="1" t="s">
        <v>16</v>
      </c>
      <c r="B1012" s="1" t="s">
        <v>17</v>
      </c>
      <c r="C1012" s="6">
        <v>9747258</v>
      </c>
      <c r="D1012" s="6">
        <v>5563057.5700000003</v>
      </c>
      <c r="E1012" s="6">
        <v>4755539.92</v>
      </c>
      <c r="F1012" s="6">
        <v>4429258.37</v>
      </c>
      <c r="G1012" s="7" t="s">
        <v>20</v>
      </c>
      <c r="H1012" s="1">
        <f t="shared" si="15"/>
        <v>0.57073051416100817</v>
      </c>
    </row>
    <row r="1013" spans="1:8" x14ac:dyDescent="0.25">
      <c r="A1013" s="1" t="s">
        <v>16</v>
      </c>
      <c r="B1013" s="1" t="s">
        <v>17</v>
      </c>
      <c r="C1013" s="6">
        <v>262635</v>
      </c>
      <c r="D1013" s="6">
        <v>0</v>
      </c>
      <c r="E1013" s="6">
        <v>0</v>
      </c>
      <c r="F1013" s="6">
        <v>0</v>
      </c>
      <c r="G1013" s="7" t="s">
        <v>20</v>
      </c>
      <c r="H1013" s="1">
        <f t="shared" si="15"/>
        <v>0</v>
      </c>
    </row>
    <row r="1014" spans="1:8" x14ac:dyDescent="0.25">
      <c r="A1014" s="1" t="s">
        <v>16</v>
      </c>
      <c r="B1014" s="1" t="s">
        <v>17</v>
      </c>
      <c r="C1014" s="6">
        <v>355250</v>
      </c>
      <c r="D1014" s="6">
        <v>529336</v>
      </c>
      <c r="E1014" s="6">
        <v>529336</v>
      </c>
      <c r="F1014" s="6">
        <v>529336</v>
      </c>
      <c r="G1014" s="7" t="s">
        <v>20</v>
      </c>
      <c r="H1014" s="1">
        <f t="shared" si="15"/>
        <v>1.4900380014074595</v>
      </c>
    </row>
    <row r="1015" spans="1:8" x14ac:dyDescent="0.25">
      <c r="A1015" s="1" t="s">
        <v>16</v>
      </c>
      <c r="B1015" s="1" t="s">
        <v>17</v>
      </c>
      <c r="C1015" s="6">
        <v>775366</v>
      </c>
      <c r="D1015" s="6">
        <v>143806.5</v>
      </c>
      <c r="E1015" s="6">
        <v>143086.5</v>
      </c>
      <c r="F1015" s="6">
        <v>143086.5</v>
      </c>
      <c r="G1015" s="7" t="s">
        <v>20</v>
      </c>
      <c r="H1015" s="1">
        <f t="shared" si="15"/>
        <v>0.18546918487527181</v>
      </c>
    </row>
    <row r="1016" spans="1:8" x14ac:dyDescent="0.25">
      <c r="A1016" s="1" t="s">
        <v>16</v>
      </c>
      <c r="B1016" s="1" t="s">
        <v>17</v>
      </c>
      <c r="C1016" s="6">
        <v>580420</v>
      </c>
      <c r="D1016" s="6">
        <v>450705.62</v>
      </c>
      <c r="E1016" s="6">
        <v>450705.62</v>
      </c>
      <c r="F1016" s="6">
        <v>450705.62</v>
      </c>
      <c r="G1016" s="7" t="s">
        <v>20</v>
      </c>
      <c r="H1016" s="1">
        <f t="shared" si="15"/>
        <v>0.77651635022914445</v>
      </c>
    </row>
    <row r="1017" spans="1:8" x14ac:dyDescent="0.25">
      <c r="A1017" s="1" t="s">
        <v>16</v>
      </c>
      <c r="B1017" s="1" t="s">
        <v>17</v>
      </c>
      <c r="C1017" s="6">
        <v>958370</v>
      </c>
      <c r="D1017" s="6">
        <v>0</v>
      </c>
      <c r="E1017" s="6">
        <v>0</v>
      </c>
      <c r="F1017" s="6">
        <v>0</v>
      </c>
      <c r="G1017" s="7" t="s">
        <v>20</v>
      </c>
      <c r="H1017" s="1">
        <f t="shared" si="15"/>
        <v>0</v>
      </c>
    </row>
    <row r="1018" spans="1:8" x14ac:dyDescent="0.25">
      <c r="A1018" s="1" t="s">
        <v>16</v>
      </c>
      <c r="B1018" s="1" t="s">
        <v>17</v>
      </c>
      <c r="C1018" s="6">
        <v>185900</v>
      </c>
      <c r="D1018" s="6">
        <v>0</v>
      </c>
      <c r="E1018" s="6">
        <v>0</v>
      </c>
      <c r="F1018" s="6">
        <v>0</v>
      </c>
      <c r="G1018" s="7" t="s">
        <v>20</v>
      </c>
      <c r="H1018" s="1">
        <f t="shared" si="15"/>
        <v>0</v>
      </c>
    </row>
    <row r="1019" spans="1:8" x14ac:dyDescent="0.25">
      <c r="A1019" s="1" t="s">
        <v>16</v>
      </c>
      <c r="B1019" s="1" t="s">
        <v>17</v>
      </c>
      <c r="C1019" s="6">
        <v>172000</v>
      </c>
      <c r="D1019" s="6">
        <v>31600</v>
      </c>
      <c r="E1019" s="6">
        <v>31600</v>
      </c>
      <c r="F1019" s="6">
        <v>0</v>
      </c>
      <c r="G1019" s="7" t="s">
        <v>20</v>
      </c>
      <c r="H1019" s="1">
        <f t="shared" si="15"/>
        <v>0.18372093023255814</v>
      </c>
    </row>
    <row r="1020" spans="1:8" x14ac:dyDescent="0.25">
      <c r="A1020" s="1" t="s">
        <v>16</v>
      </c>
      <c r="B1020" s="1" t="s">
        <v>17</v>
      </c>
      <c r="C1020" s="6">
        <v>104650</v>
      </c>
      <c r="D1020" s="6">
        <v>11800</v>
      </c>
      <c r="E1020" s="6">
        <v>0</v>
      </c>
      <c r="F1020" s="6">
        <v>0</v>
      </c>
      <c r="G1020" s="7" t="s">
        <v>20</v>
      </c>
      <c r="H1020" s="1">
        <f t="shared" si="15"/>
        <v>0.11275680840898232</v>
      </c>
    </row>
    <row r="1021" spans="1:8" x14ac:dyDescent="0.25">
      <c r="A1021" s="1" t="s">
        <v>16</v>
      </c>
      <c r="B1021" s="1" t="s">
        <v>17</v>
      </c>
      <c r="C1021" s="6">
        <v>93600</v>
      </c>
      <c r="D1021" s="6">
        <v>0</v>
      </c>
      <c r="E1021" s="6">
        <v>0</v>
      </c>
      <c r="F1021" s="6">
        <v>0</v>
      </c>
      <c r="G1021" s="7" t="s">
        <v>20</v>
      </c>
      <c r="H1021" s="1">
        <f t="shared" si="15"/>
        <v>0</v>
      </c>
    </row>
    <row r="1022" spans="1:8" x14ac:dyDescent="0.25">
      <c r="A1022" s="1" t="s">
        <v>16</v>
      </c>
      <c r="B1022" s="1" t="s">
        <v>17</v>
      </c>
      <c r="C1022" s="6">
        <v>213346</v>
      </c>
      <c r="D1022" s="6">
        <v>0</v>
      </c>
      <c r="E1022" s="6">
        <v>0</v>
      </c>
      <c r="F1022" s="6">
        <v>0</v>
      </c>
      <c r="G1022" s="7" t="s">
        <v>20</v>
      </c>
      <c r="H1022" s="1">
        <f t="shared" si="15"/>
        <v>0</v>
      </c>
    </row>
    <row r="1023" spans="1:8" x14ac:dyDescent="0.25">
      <c r="A1023" s="1" t="s">
        <v>16</v>
      </c>
      <c r="B1023" s="1" t="s">
        <v>17</v>
      </c>
      <c r="C1023" s="6">
        <v>365031</v>
      </c>
      <c r="D1023" s="6">
        <v>98593.177500000005</v>
      </c>
      <c r="E1023" s="6">
        <v>71983.899999999994</v>
      </c>
      <c r="F1023" s="6">
        <v>71983.899999999994</v>
      </c>
      <c r="G1023" s="7" t="s">
        <v>20</v>
      </c>
      <c r="H1023" s="1">
        <f t="shared" si="15"/>
        <v>0.27009535491506204</v>
      </c>
    </row>
    <row r="1024" spans="1:8" x14ac:dyDescent="0.25">
      <c r="A1024" s="1" t="s">
        <v>16</v>
      </c>
      <c r="B1024" s="1" t="s">
        <v>17</v>
      </c>
      <c r="C1024" s="6">
        <v>6173227.75</v>
      </c>
      <c r="D1024" s="6">
        <v>7722634.0999999996</v>
      </c>
      <c r="E1024" s="6">
        <v>7392249.0125000002</v>
      </c>
      <c r="F1024" s="6">
        <v>6886272.6950000003</v>
      </c>
      <c r="G1024" s="7" t="s">
        <v>20</v>
      </c>
      <c r="H1024" s="1">
        <f t="shared" si="15"/>
        <v>1.2509880426815614</v>
      </c>
    </row>
    <row r="1025" spans="1:8" x14ac:dyDescent="0.25">
      <c r="A1025" s="1" t="s">
        <v>16</v>
      </c>
      <c r="B1025" s="1" t="s">
        <v>17</v>
      </c>
      <c r="C1025" s="6">
        <v>1746176.75</v>
      </c>
      <c r="D1025" s="6">
        <v>1294062.02</v>
      </c>
      <c r="E1025" s="6">
        <v>1291772.27</v>
      </c>
      <c r="F1025" s="6">
        <v>1254997.98</v>
      </c>
      <c r="G1025" s="7" t="s">
        <v>20</v>
      </c>
      <c r="H1025" s="1">
        <f t="shared" si="15"/>
        <v>0.74108306619017805</v>
      </c>
    </row>
    <row r="1026" spans="1:8" x14ac:dyDescent="0.25">
      <c r="A1026" s="1" t="s">
        <v>16</v>
      </c>
      <c r="B1026" s="1" t="s">
        <v>17</v>
      </c>
      <c r="C1026" s="6">
        <v>0</v>
      </c>
      <c r="D1026" s="6">
        <v>2067714.81</v>
      </c>
      <c r="E1026" s="6">
        <v>2067714.81</v>
      </c>
      <c r="F1026" s="6">
        <v>2067714.81</v>
      </c>
      <c r="G1026" s="7" t="s">
        <v>20</v>
      </c>
      <c r="H1026" s="1">
        <f t="shared" ref="H1026:H1089" si="16">IF(OR(ISNA($D1026),ISNA($C1026),$C1026=0),0,$D1026/$C1026)</f>
        <v>0</v>
      </c>
    </row>
    <row r="1027" spans="1:8" x14ac:dyDescent="0.25">
      <c r="A1027" s="1" t="s">
        <v>16</v>
      </c>
      <c r="B1027" s="1" t="s">
        <v>17</v>
      </c>
      <c r="C1027" s="6">
        <v>28651.75</v>
      </c>
      <c r="D1027" s="6">
        <v>0</v>
      </c>
      <c r="E1027" s="6">
        <v>0</v>
      </c>
      <c r="F1027" s="6">
        <v>0</v>
      </c>
      <c r="G1027" s="7" t="s">
        <v>20</v>
      </c>
      <c r="H1027" s="1">
        <f t="shared" si="16"/>
        <v>0</v>
      </c>
    </row>
    <row r="1028" spans="1:8" x14ac:dyDescent="0.25">
      <c r="A1028" s="1" t="s">
        <v>16</v>
      </c>
      <c r="B1028" s="1" t="s">
        <v>17</v>
      </c>
      <c r="C1028" s="6">
        <v>650250</v>
      </c>
      <c r="D1028" s="6">
        <v>429298.10749999998</v>
      </c>
      <c r="E1028" s="6">
        <v>429298.10749999998</v>
      </c>
      <c r="F1028" s="6">
        <v>429298.10749999998</v>
      </c>
      <c r="G1028" s="7" t="s">
        <v>20</v>
      </c>
      <c r="H1028" s="1">
        <f t="shared" si="16"/>
        <v>0.66020470203767778</v>
      </c>
    </row>
    <row r="1029" spans="1:8" x14ac:dyDescent="0.25">
      <c r="A1029" s="1" t="s">
        <v>16</v>
      </c>
      <c r="B1029" s="1" t="s">
        <v>17</v>
      </c>
      <c r="C1029" s="6">
        <v>3750</v>
      </c>
      <c r="D1029" s="6">
        <v>0</v>
      </c>
      <c r="E1029" s="6">
        <v>0</v>
      </c>
      <c r="F1029" s="6">
        <v>0</v>
      </c>
      <c r="G1029" s="7" t="s">
        <v>20</v>
      </c>
      <c r="H1029" s="1">
        <f t="shared" si="16"/>
        <v>0</v>
      </c>
    </row>
    <row r="1030" spans="1:8" x14ac:dyDescent="0.25">
      <c r="A1030" s="1" t="s">
        <v>16</v>
      </c>
      <c r="B1030" s="1" t="s">
        <v>17</v>
      </c>
      <c r="C1030" s="6">
        <v>2160791.75</v>
      </c>
      <c r="D1030" s="6">
        <v>1406767.4775</v>
      </c>
      <c r="E1030" s="6">
        <v>1077622.3274999999</v>
      </c>
      <c r="F1030" s="6">
        <v>1058566.645</v>
      </c>
      <c r="G1030" s="7" t="s">
        <v>20</v>
      </c>
      <c r="H1030" s="1">
        <f t="shared" si="16"/>
        <v>0.65104259931573694</v>
      </c>
    </row>
    <row r="1031" spans="1:8" x14ac:dyDescent="0.25">
      <c r="A1031" s="1" t="s">
        <v>16</v>
      </c>
      <c r="B1031" s="1" t="s">
        <v>17</v>
      </c>
      <c r="C1031" s="6">
        <v>317500</v>
      </c>
      <c r="D1031" s="6">
        <v>102025</v>
      </c>
      <c r="E1031" s="6">
        <v>94425</v>
      </c>
      <c r="F1031" s="6">
        <v>90900</v>
      </c>
      <c r="G1031" s="7" t="s">
        <v>20</v>
      </c>
      <c r="H1031" s="1">
        <f t="shared" si="16"/>
        <v>0.32133858267716536</v>
      </c>
    </row>
    <row r="1032" spans="1:8" x14ac:dyDescent="0.25">
      <c r="A1032" s="1" t="s">
        <v>16</v>
      </c>
      <c r="B1032" s="1" t="s">
        <v>17</v>
      </c>
      <c r="C1032" s="6">
        <v>214693.75</v>
      </c>
      <c r="D1032" s="6">
        <v>131167.8725</v>
      </c>
      <c r="E1032" s="6">
        <v>47624.547500000001</v>
      </c>
      <c r="F1032" s="6">
        <v>47624.547500000001</v>
      </c>
      <c r="G1032" s="7" t="s">
        <v>20</v>
      </c>
      <c r="H1032" s="1">
        <f t="shared" si="16"/>
        <v>0.61095338126983201</v>
      </c>
    </row>
    <row r="1033" spans="1:8" x14ac:dyDescent="0.25">
      <c r="A1033" s="1" t="s">
        <v>16</v>
      </c>
      <c r="B1033" s="1" t="s">
        <v>17</v>
      </c>
      <c r="C1033" s="6">
        <v>114750</v>
      </c>
      <c r="D1033" s="6">
        <v>0</v>
      </c>
      <c r="E1033" s="6">
        <v>0</v>
      </c>
      <c r="F1033" s="6">
        <v>0</v>
      </c>
      <c r="G1033" s="7" t="s">
        <v>20</v>
      </c>
      <c r="H1033" s="1">
        <f t="shared" si="16"/>
        <v>0</v>
      </c>
    </row>
    <row r="1034" spans="1:8" x14ac:dyDescent="0.25">
      <c r="A1034" s="1" t="s">
        <v>16</v>
      </c>
      <c r="B1034" s="1" t="s">
        <v>17</v>
      </c>
      <c r="C1034" s="6">
        <v>125</v>
      </c>
      <c r="D1034" s="6">
        <v>0</v>
      </c>
      <c r="E1034" s="6">
        <v>0</v>
      </c>
      <c r="F1034" s="6">
        <v>0</v>
      </c>
      <c r="G1034" s="7" t="s">
        <v>20</v>
      </c>
      <c r="H1034" s="1">
        <f t="shared" si="16"/>
        <v>0</v>
      </c>
    </row>
    <row r="1035" spans="1:8" x14ac:dyDescent="0.25">
      <c r="A1035" s="1" t="s">
        <v>16</v>
      </c>
      <c r="B1035" s="1" t="s">
        <v>17</v>
      </c>
      <c r="C1035" s="6">
        <v>1027273.5</v>
      </c>
      <c r="D1035" s="6">
        <v>1068074.0125</v>
      </c>
      <c r="E1035" s="6">
        <v>1053628.4475</v>
      </c>
      <c r="F1035" s="6">
        <v>1053628.4475</v>
      </c>
      <c r="G1035" s="7" t="s">
        <v>20</v>
      </c>
      <c r="H1035" s="1">
        <f t="shared" si="16"/>
        <v>1.0397172831772648</v>
      </c>
    </row>
    <row r="1036" spans="1:8" x14ac:dyDescent="0.25">
      <c r="A1036" s="1" t="s">
        <v>16</v>
      </c>
      <c r="B1036" s="1" t="s">
        <v>17</v>
      </c>
      <c r="C1036" s="6">
        <v>1257895.25</v>
      </c>
      <c r="D1036" s="6">
        <v>1510698.5</v>
      </c>
      <c r="E1036" s="6">
        <v>1491662.6924999999</v>
      </c>
      <c r="F1036" s="6">
        <v>1491662.6924999999</v>
      </c>
      <c r="G1036" s="7" t="s">
        <v>20</v>
      </c>
      <c r="H1036" s="1">
        <f t="shared" si="16"/>
        <v>1.2009732129920994</v>
      </c>
    </row>
    <row r="1037" spans="1:8" x14ac:dyDescent="0.25">
      <c r="A1037" s="1" t="s">
        <v>16</v>
      </c>
      <c r="B1037" s="1" t="s">
        <v>17</v>
      </c>
      <c r="C1037" s="6">
        <v>1373615.75</v>
      </c>
      <c r="D1037" s="6">
        <v>1431838.56</v>
      </c>
      <c r="E1037" s="6">
        <v>1417612.59</v>
      </c>
      <c r="F1037" s="6">
        <v>1388405.09</v>
      </c>
      <c r="G1037" s="7" t="s">
        <v>20</v>
      </c>
      <c r="H1037" s="1">
        <f t="shared" si="16"/>
        <v>1.04238653349745</v>
      </c>
    </row>
    <row r="1038" spans="1:8" x14ac:dyDescent="0.25">
      <c r="A1038" s="1" t="s">
        <v>16</v>
      </c>
      <c r="B1038" s="1" t="s">
        <v>17</v>
      </c>
      <c r="C1038" s="6">
        <v>108839.25</v>
      </c>
      <c r="D1038" s="6">
        <v>123235.015</v>
      </c>
      <c r="E1038" s="6">
        <v>117909.155</v>
      </c>
      <c r="F1038" s="6">
        <v>117909.155</v>
      </c>
      <c r="G1038" s="7" t="s">
        <v>20</v>
      </c>
      <c r="H1038" s="1">
        <f t="shared" si="16"/>
        <v>1.1322663009897624</v>
      </c>
    </row>
    <row r="1039" spans="1:8" x14ac:dyDescent="0.25">
      <c r="A1039" s="1" t="s">
        <v>16</v>
      </c>
      <c r="B1039" s="1" t="s">
        <v>17</v>
      </c>
      <c r="C1039" s="6">
        <v>500</v>
      </c>
      <c r="D1039" s="6">
        <v>0</v>
      </c>
      <c r="E1039" s="6">
        <v>0</v>
      </c>
      <c r="F1039" s="6">
        <v>0</v>
      </c>
      <c r="G1039" s="7" t="s">
        <v>20</v>
      </c>
      <c r="H1039" s="1">
        <f t="shared" si="16"/>
        <v>0</v>
      </c>
    </row>
    <row r="1040" spans="1:8" x14ac:dyDescent="0.25">
      <c r="A1040" s="1" t="s">
        <v>16</v>
      </c>
      <c r="B1040" s="1" t="s">
        <v>17</v>
      </c>
      <c r="C1040" s="6">
        <v>1000</v>
      </c>
      <c r="D1040" s="6">
        <v>0</v>
      </c>
      <c r="E1040" s="6">
        <v>0</v>
      </c>
      <c r="F1040" s="6">
        <v>0</v>
      </c>
      <c r="G1040" s="7" t="s">
        <v>20</v>
      </c>
      <c r="H1040" s="1">
        <f t="shared" si="16"/>
        <v>0</v>
      </c>
    </row>
    <row r="1041" spans="1:8" x14ac:dyDescent="0.25">
      <c r="A1041" s="1" t="s">
        <v>16</v>
      </c>
      <c r="B1041" s="1" t="s">
        <v>17</v>
      </c>
      <c r="C1041" s="6">
        <v>2981938</v>
      </c>
      <c r="D1041" s="6">
        <v>6150218.9850000003</v>
      </c>
      <c r="E1041" s="6">
        <v>6003084.4850000003</v>
      </c>
      <c r="F1041" s="6">
        <v>5571291.1675000004</v>
      </c>
      <c r="G1041" s="7" t="s">
        <v>20</v>
      </c>
      <c r="H1041" s="1">
        <f t="shared" si="16"/>
        <v>2.0624905631840771</v>
      </c>
    </row>
    <row r="1042" spans="1:8" x14ac:dyDescent="0.25">
      <c r="A1042" s="1" t="s">
        <v>16</v>
      </c>
      <c r="B1042" s="1" t="s">
        <v>17</v>
      </c>
      <c r="C1042" s="6">
        <v>327237</v>
      </c>
      <c r="D1042" s="6">
        <v>215146.50750000001</v>
      </c>
      <c r="E1042" s="6">
        <v>215146.50750000001</v>
      </c>
      <c r="F1042" s="6">
        <v>215146.50750000001</v>
      </c>
      <c r="G1042" s="7" t="s">
        <v>20</v>
      </c>
      <c r="H1042" s="1">
        <f t="shared" si="16"/>
        <v>0.65746387939016682</v>
      </c>
    </row>
    <row r="1043" spans="1:8" x14ac:dyDescent="0.25">
      <c r="A1043" s="1" t="s">
        <v>16</v>
      </c>
      <c r="B1043" s="1" t="s">
        <v>17</v>
      </c>
      <c r="C1043" s="6">
        <v>1230454.75</v>
      </c>
      <c r="D1043" s="6">
        <v>1227454.5900000001</v>
      </c>
      <c r="E1043" s="6">
        <v>1227454.5900000001</v>
      </c>
      <c r="F1043" s="6">
        <v>1227454.5900000001</v>
      </c>
      <c r="G1043" s="7" t="s">
        <v>20</v>
      </c>
      <c r="H1043" s="1">
        <f t="shared" si="16"/>
        <v>0.99756174698825784</v>
      </c>
    </row>
    <row r="1044" spans="1:8" x14ac:dyDescent="0.25">
      <c r="A1044" s="1" t="s">
        <v>16</v>
      </c>
      <c r="B1044" s="1" t="s">
        <v>17</v>
      </c>
      <c r="C1044" s="6">
        <v>1080530</v>
      </c>
      <c r="D1044" s="6">
        <v>467640</v>
      </c>
      <c r="E1044" s="6">
        <v>467640</v>
      </c>
      <c r="F1044" s="6">
        <v>467640</v>
      </c>
      <c r="G1044" s="7" t="s">
        <v>20</v>
      </c>
      <c r="H1044" s="1">
        <f t="shared" si="16"/>
        <v>0.4327876134859745</v>
      </c>
    </row>
    <row r="1045" spans="1:8" x14ac:dyDescent="0.25">
      <c r="A1045" s="1" t="s">
        <v>16</v>
      </c>
      <c r="B1045" s="1" t="s">
        <v>17</v>
      </c>
      <c r="C1045" s="6">
        <v>1285490.75</v>
      </c>
      <c r="D1045" s="6">
        <v>1590758.28</v>
      </c>
      <c r="E1045" s="6">
        <v>1588323.655</v>
      </c>
      <c r="F1045" s="6">
        <v>1450704.86</v>
      </c>
      <c r="G1045" s="7" t="s">
        <v>20</v>
      </c>
      <c r="H1045" s="1">
        <f t="shared" si="16"/>
        <v>1.2374715881852902</v>
      </c>
    </row>
    <row r="1046" spans="1:8" x14ac:dyDescent="0.25">
      <c r="A1046" s="1" t="s">
        <v>16</v>
      </c>
      <c r="B1046" s="1" t="s">
        <v>17</v>
      </c>
      <c r="C1046" s="6">
        <v>5508897</v>
      </c>
      <c r="D1046" s="6">
        <v>5457730.3899999997</v>
      </c>
      <c r="E1046" s="6">
        <v>5447786.4675000003</v>
      </c>
      <c r="F1046" s="6">
        <v>4992123.0999999996</v>
      </c>
      <c r="G1046" s="7" t="s">
        <v>20</v>
      </c>
      <c r="H1046" s="1">
        <f t="shared" si="16"/>
        <v>0.99071200459910569</v>
      </c>
    </row>
    <row r="1047" spans="1:8" x14ac:dyDescent="0.25">
      <c r="A1047" s="1" t="s">
        <v>16</v>
      </c>
      <c r="B1047" s="1" t="s">
        <v>17</v>
      </c>
      <c r="C1047" s="6">
        <v>348471.5</v>
      </c>
      <c r="D1047" s="6">
        <v>68982.75</v>
      </c>
      <c r="E1047" s="6">
        <v>68982.75</v>
      </c>
      <c r="F1047" s="6">
        <v>68982.75</v>
      </c>
      <c r="G1047" s="7" t="s">
        <v>20</v>
      </c>
      <c r="H1047" s="1">
        <f t="shared" si="16"/>
        <v>0.19795808265525303</v>
      </c>
    </row>
    <row r="1048" spans="1:8" x14ac:dyDescent="0.25">
      <c r="A1048" s="1" t="s">
        <v>16</v>
      </c>
      <c r="B1048" s="1" t="s">
        <v>17</v>
      </c>
      <c r="C1048" s="6">
        <v>235597.75</v>
      </c>
      <c r="D1048" s="6">
        <v>57388.014999999999</v>
      </c>
      <c r="E1048" s="6">
        <v>48554.05</v>
      </c>
      <c r="F1048" s="6">
        <v>46792.24</v>
      </c>
      <c r="G1048" s="7" t="s">
        <v>20</v>
      </c>
      <c r="H1048" s="1">
        <f t="shared" si="16"/>
        <v>0.24358473287626897</v>
      </c>
    </row>
    <row r="1049" spans="1:8" x14ac:dyDescent="0.25">
      <c r="A1049" s="1" t="s">
        <v>16</v>
      </c>
      <c r="B1049" s="1" t="s">
        <v>17</v>
      </c>
      <c r="C1049" s="6">
        <v>92250</v>
      </c>
      <c r="D1049" s="6">
        <v>33750</v>
      </c>
      <c r="E1049" s="6">
        <v>28725</v>
      </c>
      <c r="F1049" s="6">
        <v>28725</v>
      </c>
      <c r="G1049" s="7" t="s">
        <v>20</v>
      </c>
      <c r="H1049" s="1">
        <f t="shared" si="16"/>
        <v>0.36585365853658536</v>
      </c>
    </row>
    <row r="1050" spans="1:8" x14ac:dyDescent="0.25">
      <c r="A1050" s="1" t="s">
        <v>16</v>
      </c>
      <c r="B1050" s="1" t="s">
        <v>17</v>
      </c>
      <c r="C1050" s="6">
        <v>75000</v>
      </c>
      <c r="D1050" s="6">
        <v>0</v>
      </c>
      <c r="E1050" s="6">
        <v>0</v>
      </c>
      <c r="F1050" s="6">
        <v>0</v>
      </c>
      <c r="G1050" s="7" t="s">
        <v>20</v>
      </c>
      <c r="H1050" s="1">
        <f t="shared" si="16"/>
        <v>0</v>
      </c>
    </row>
    <row r="1051" spans="1:8" x14ac:dyDescent="0.25">
      <c r="A1051" s="1" t="s">
        <v>16</v>
      </c>
      <c r="B1051" s="1" t="s">
        <v>17</v>
      </c>
      <c r="C1051" s="6">
        <v>6250</v>
      </c>
      <c r="D1051" s="6">
        <v>0</v>
      </c>
      <c r="E1051" s="6">
        <v>0</v>
      </c>
      <c r="F1051" s="6">
        <v>0</v>
      </c>
      <c r="G1051" s="7" t="s">
        <v>20</v>
      </c>
      <c r="H1051" s="1">
        <f t="shared" si="16"/>
        <v>0</v>
      </c>
    </row>
    <row r="1052" spans="1:8" x14ac:dyDescent="0.25">
      <c r="A1052" s="1" t="s">
        <v>16</v>
      </c>
      <c r="B1052" s="1" t="s">
        <v>17</v>
      </c>
      <c r="C1052" s="6">
        <v>250</v>
      </c>
      <c r="D1052" s="6">
        <v>0</v>
      </c>
      <c r="E1052" s="6">
        <v>0</v>
      </c>
      <c r="F1052" s="6">
        <v>0</v>
      </c>
      <c r="G1052" s="7" t="s">
        <v>20</v>
      </c>
      <c r="H1052" s="1">
        <f t="shared" si="16"/>
        <v>0</v>
      </c>
    </row>
    <row r="1053" spans="1:8" x14ac:dyDescent="0.25">
      <c r="A1053" s="1" t="s">
        <v>16</v>
      </c>
      <c r="B1053" s="1" t="s">
        <v>17</v>
      </c>
      <c r="C1053" s="6">
        <v>750</v>
      </c>
      <c r="D1053" s="6">
        <v>0</v>
      </c>
      <c r="E1053" s="6">
        <v>0</v>
      </c>
      <c r="F1053" s="6">
        <v>0</v>
      </c>
      <c r="G1053" s="7" t="s">
        <v>20</v>
      </c>
      <c r="H1053" s="1">
        <f t="shared" si="16"/>
        <v>0</v>
      </c>
    </row>
    <row r="1054" spans="1:8" x14ac:dyDescent="0.25">
      <c r="A1054" s="1" t="s">
        <v>16</v>
      </c>
      <c r="B1054" s="1" t="s">
        <v>17</v>
      </c>
      <c r="C1054" s="6">
        <v>59569.25</v>
      </c>
      <c r="D1054" s="6">
        <v>55819.147499999999</v>
      </c>
      <c r="E1054" s="6">
        <v>6260.0249999999996</v>
      </c>
      <c r="F1054" s="6">
        <v>6260.0249999999996</v>
      </c>
      <c r="G1054" s="7" t="s">
        <v>20</v>
      </c>
      <c r="H1054" s="1">
        <f t="shared" si="16"/>
        <v>0.93704633682646665</v>
      </c>
    </row>
    <row r="1055" spans="1:8" x14ac:dyDescent="0.25">
      <c r="A1055" s="1" t="s">
        <v>16</v>
      </c>
      <c r="B1055" s="1" t="s">
        <v>17</v>
      </c>
      <c r="C1055" s="6">
        <v>3250</v>
      </c>
      <c r="D1055" s="6">
        <v>5547.1424999999999</v>
      </c>
      <c r="E1055" s="6">
        <v>1349.7449999999999</v>
      </c>
      <c r="F1055" s="6">
        <v>1349.7449999999999</v>
      </c>
      <c r="G1055" s="7" t="s">
        <v>20</v>
      </c>
      <c r="H1055" s="1">
        <f t="shared" si="16"/>
        <v>1.7068130769230769</v>
      </c>
    </row>
    <row r="1056" spans="1:8" x14ac:dyDescent="0.25">
      <c r="A1056" s="1" t="s">
        <v>16</v>
      </c>
      <c r="B1056" s="1" t="s">
        <v>17</v>
      </c>
      <c r="C1056" s="6">
        <v>64437.5</v>
      </c>
      <c r="D1056" s="6">
        <v>0</v>
      </c>
      <c r="E1056" s="6">
        <v>0</v>
      </c>
      <c r="F1056" s="6">
        <v>0</v>
      </c>
      <c r="G1056" s="7" t="s">
        <v>20</v>
      </c>
      <c r="H1056" s="1">
        <f t="shared" si="16"/>
        <v>0</v>
      </c>
    </row>
    <row r="1057" spans="1:8" x14ac:dyDescent="0.25">
      <c r="A1057" s="1" t="s">
        <v>16</v>
      </c>
      <c r="B1057" s="1" t="s">
        <v>17</v>
      </c>
      <c r="C1057" s="6">
        <v>4375</v>
      </c>
      <c r="D1057" s="6">
        <v>0</v>
      </c>
      <c r="E1057" s="6">
        <v>0</v>
      </c>
      <c r="F1057" s="6">
        <v>0</v>
      </c>
      <c r="G1057" s="7" t="s">
        <v>20</v>
      </c>
      <c r="H1057" s="1">
        <f t="shared" si="16"/>
        <v>0</v>
      </c>
    </row>
    <row r="1058" spans="1:8" x14ac:dyDescent="0.25">
      <c r="A1058" s="1" t="s">
        <v>16</v>
      </c>
      <c r="B1058" s="1" t="s">
        <v>17</v>
      </c>
      <c r="C1058" s="6">
        <v>12375</v>
      </c>
      <c r="D1058" s="6">
        <v>79196.820000000007</v>
      </c>
      <c r="E1058" s="6">
        <v>5890.9875000000002</v>
      </c>
      <c r="F1058" s="6">
        <v>5890.9875000000002</v>
      </c>
      <c r="G1058" s="7" t="s">
        <v>20</v>
      </c>
      <c r="H1058" s="1">
        <f t="shared" si="16"/>
        <v>6.3997430303030312</v>
      </c>
    </row>
    <row r="1059" spans="1:8" x14ac:dyDescent="0.25">
      <c r="A1059" s="1" t="s">
        <v>16</v>
      </c>
      <c r="B1059" s="1" t="s">
        <v>17</v>
      </c>
      <c r="C1059" s="6">
        <v>1025000</v>
      </c>
      <c r="D1059" s="6">
        <v>594543.56499999994</v>
      </c>
      <c r="E1059" s="6">
        <v>479772.04</v>
      </c>
      <c r="F1059" s="6">
        <v>462649.1875</v>
      </c>
      <c r="G1059" s="7" t="s">
        <v>20</v>
      </c>
      <c r="H1059" s="1">
        <f t="shared" si="16"/>
        <v>0.58004250243902433</v>
      </c>
    </row>
    <row r="1060" spans="1:8" x14ac:dyDescent="0.25">
      <c r="A1060" s="1" t="s">
        <v>16</v>
      </c>
      <c r="B1060" s="1" t="s">
        <v>17</v>
      </c>
      <c r="C1060" s="6">
        <v>3179687.5</v>
      </c>
      <c r="D1060" s="6">
        <v>3201328.04</v>
      </c>
      <c r="E1060" s="6">
        <v>2765944.65</v>
      </c>
      <c r="F1060" s="6">
        <v>2660053.1749999998</v>
      </c>
      <c r="G1060" s="7" t="s">
        <v>20</v>
      </c>
      <c r="H1060" s="1">
        <f t="shared" si="16"/>
        <v>1.0068058700737101</v>
      </c>
    </row>
    <row r="1061" spans="1:8" x14ac:dyDescent="0.25">
      <c r="A1061" s="1" t="s">
        <v>16</v>
      </c>
      <c r="B1061" s="1" t="s">
        <v>17</v>
      </c>
      <c r="C1061" s="6">
        <v>432645.5</v>
      </c>
      <c r="D1061" s="6">
        <v>94331.815000000002</v>
      </c>
      <c r="E1061" s="6">
        <v>91847.065000000002</v>
      </c>
      <c r="F1061" s="6">
        <v>91847.065000000002</v>
      </c>
      <c r="G1061" s="7" t="s">
        <v>20</v>
      </c>
      <c r="H1061" s="1">
        <f t="shared" si="16"/>
        <v>0.21803489230790568</v>
      </c>
    </row>
    <row r="1062" spans="1:8" x14ac:dyDescent="0.25">
      <c r="A1062" s="1" t="s">
        <v>16</v>
      </c>
      <c r="B1062" s="1" t="s">
        <v>17</v>
      </c>
      <c r="C1062" s="6">
        <v>7947</v>
      </c>
      <c r="D1062" s="6">
        <v>472.5</v>
      </c>
      <c r="E1062" s="6">
        <v>472.5</v>
      </c>
      <c r="F1062" s="6">
        <v>472.5</v>
      </c>
      <c r="G1062" s="7" t="s">
        <v>20</v>
      </c>
      <c r="H1062" s="1">
        <f t="shared" si="16"/>
        <v>5.9456398640996604E-2</v>
      </c>
    </row>
    <row r="1063" spans="1:8" x14ac:dyDescent="0.25">
      <c r="A1063" s="1" t="s">
        <v>16</v>
      </c>
      <c r="B1063" s="1" t="s">
        <v>17</v>
      </c>
      <c r="C1063" s="6">
        <v>2652000</v>
      </c>
      <c r="D1063" s="6">
        <v>0</v>
      </c>
      <c r="E1063" s="6">
        <v>0</v>
      </c>
      <c r="F1063" s="6">
        <v>0</v>
      </c>
      <c r="G1063" s="7" t="s">
        <v>20</v>
      </c>
      <c r="H1063" s="1">
        <f t="shared" si="16"/>
        <v>0</v>
      </c>
    </row>
    <row r="1064" spans="1:8" x14ac:dyDescent="0.25">
      <c r="A1064" s="1" t="s">
        <v>16</v>
      </c>
      <c r="B1064" s="1" t="s">
        <v>17</v>
      </c>
      <c r="C1064" s="6">
        <v>79567</v>
      </c>
      <c r="D1064" s="6">
        <v>32106.977500000001</v>
      </c>
      <c r="E1064" s="6">
        <v>21047.305</v>
      </c>
      <c r="F1064" s="6">
        <v>20942.7</v>
      </c>
      <c r="G1064" s="7" t="s">
        <v>20</v>
      </c>
      <c r="H1064" s="1">
        <f t="shared" si="16"/>
        <v>0.40352127766536378</v>
      </c>
    </row>
    <row r="1065" spans="1:8" x14ac:dyDescent="0.25">
      <c r="A1065" s="1" t="s">
        <v>16</v>
      </c>
      <c r="B1065" s="1" t="s">
        <v>17</v>
      </c>
      <c r="C1065" s="6">
        <v>204222</v>
      </c>
      <c r="D1065" s="6">
        <v>89945.014999999999</v>
      </c>
      <c r="E1065" s="6">
        <v>80882.517500000002</v>
      </c>
      <c r="F1065" s="6">
        <v>80687.107499999998</v>
      </c>
      <c r="G1065" s="7" t="s">
        <v>20</v>
      </c>
      <c r="H1065" s="1">
        <f t="shared" si="16"/>
        <v>0.44042764736414292</v>
      </c>
    </row>
    <row r="1066" spans="1:8" x14ac:dyDescent="0.25">
      <c r="A1066" s="1" t="s">
        <v>16</v>
      </c>
      <c r="B1066" s="1" t="s">
        <v>17</v>
      </c>
      <c r="C1066" s="6">
        <v>15800</v>
      </c>
      <c r="D1066" s="6">
        <v>109829.3875</v>
      </c>
      <c r="E1066" s="6">
        <v>98351.66</v>
      </c>
      <c r="F1066" s="6">
        <v>98351.66</v>
      </c>
      <c r="G1066" s="7" t="s">
        <v>20</v>
      </c>
      <c r="H1066" s="1">
        <f t="shared" si="16"/>
        <v>6.9512270569620247</v>
      </c>
    </row>
    <row r="1067" spans="1:8" x14ac:dyDescent="0.25">
      <c r="A1067" s="1" t="s">
        <v>16</v>
      </c>
      <c r="B1067" s="1" t="s">
        <v>17</v>
      </c>
      <c r="C1067" s="6">
        <v>126362.5</v>
      </c>
      <c r="D1067" s="6">
        <v>38948.83</v>
      </c>
      <c r="E1067" s="6">
        <v>35575.472500000003</v>
      </c>
      <c r="F1067" s="6">
        <v>35575.472500000003</v>
      </c>
      <c r="G1067" s="7" t="s">
        <v>20</v>
      </c>
      <c r="H1067" s="1">
        <f t="shared" si="16"/>
        <v>0.30823092293995452</v>
      </c>
    </row>
    <row r="1068" spans="1:8" x14ac:dyDescent="0.25">
      <c r="A1068" s="1" t="s">
        <v>16</v>
      </c>
      <c r="B1068" s="1" t="s">
        <v>17</v>
      </c>
      <c r="C1068" s="6">
        <v>0</v>
      </c>
      <c r="D1068" s="6">
        <v>3049.6275000000001</v>
      </c>
      <c r="E1068" s="6">
        <v>0</v>
      </c>
      <c r="F1068" s="6">
        <v>0</v>
      </c>
      <c r="G1068" s="7" t="s">
        <v>20</v>
      </c>
      <c r="H1068" s="1">
        <f t="shared" si="16"/>
        <v>0</v>
      </c>
    </row>
    <row r="1069" spans="1:8" x14ac:dyDescent="0.25">
      <c r="A1069" s="1" t="s">
        <v>16</v>
      </c>
      <c r="B1069" s="1" t="s">
        <v>17</v>
      </c>
      <c r="C1069" s="6">
        <v>13962.5</v>
      </c>
      <c r="D1069" s="6">
        <v>1709.4124999999999</v>
      </c>
      <c r="E1069" s="6">
        <v>326.91250000000002</v>
      </c>
      <c r="F1069" s="6">
        <v>326.91250000000002</v>
      </c>
      <c r="G1069" s="7" t="s">
        <v>20</v>
      </c>
      <c r="H1069" s="1">
        <f t="shared" si="16"/>
        <v>0.12242882721575649</v>
      </c>
    </row>
    <row r="1070" spans="1:8" x14ac:dyDescent="0.25">
      <c r="A1070" s="1" t="s">
        <v>16</v>
      </c>
      <c r="B1070" s="1" t="s">
        <v>17</v>
      </c>
      <c r="C1070" s="6">
        <v>2197930.25</v>
      </c>
      <c r="D1070" s="6">
        <v>2790576.3525</v>
      </c>
      <c r="E1070" s="6">
        <v>2719686.6924999999</v>
      </c>
      <c r="F1070" s="6">
        <v>2579529.3925000001</v>
      </c>
      <c r="G1070" s="7" t="s">
        <v>20</v>
      </c>
      <c r="H1070" s="1">
        <f t="shared" si="16"/>
        <v>1.2696382665009502</v>
      </c>
    </row>
    <row r="1071" spans="1:8" x14ac:dyDescent="0.25">
      <c r="A1071" s="1" t="s">
        <v>16</v>
      </c>
      <c r="B1071" s="1" t="s">
        <v>17</v>
      </c>
      <c r="C1071" s="6">
        <v>8603371</v>
      </c>
      <c r="D1071" s="6">
        <v>8463084.9275000002</v>
      </c>
      <c r="E1071" s="6">
        <v>8173804.5700000003</v>
      </c>
      <c r="F1071" s="6">
        <v>7686975.96</v>
      </c>
      <c r="G1071" s="7" t="s">
        <v>20</v>
      </c>
      <c r="H1071" s="1">
        <f t="shared" si="16"/>
        <v>0.98369405753860906</v>
      </c>
    </row>
    <row r="1072" spans="1:8" x14ac:dyDescent="0.25">
      <c r="A1072" s="1" t="s">
        <v>16</v>
      </c>
      <c r="B1072" s="1" t="s">
        <v>17</v>
      </c>
      <c r="C1072" s="6">
        <v>24750</v>
      </c>
      <c r="D1072" s="6">
        <v>0</v>
      </c>
      <c r="E1072" s="6">
        <v>0</v>
      </c>
      <c r="F1072" s="6">
        <v>0</v>
      </c>
      <c r="G1072" s="7" t="s">
        <v>20</v>
      </c>
      <c r="H1072" s="1">
        <f t="shared" si="16"/>
        <v>0</v>
      </c>
    </row>
    <row r="1073" spans="1:8" x14ac:dyDescent="0.25">
      <c r="A1073" s="1" t="s">
        <v>16</v>
      </c>
      <c r="B1073" s="1" t="s">
        <v>17</v>
      </c>
      <c r="C1073" s="6">
        <v>248139.75</v>
      </c>
      <c r="D1073" s="6">
        <v>233228.9975</v>
      </c>
      <c r="E1073" s="6">
        <v>213283.38750000001</v>
      </c>
      <c r="F1073" s="6">
        <v>201007.9675</v>
      </c>
      <c r="G1073" s="7" t="s">
        <v>20</v>
      </c>
      <c r="H1073" s="1">
        <f t="shared" si="16"/>
        <v>0.93990985926277426</v>
      </c>
    </row>
    <row r="1074" spans="1:8" x14ac:dyDescent="0.25">
      <c r="A1074" s="1" t="s">
        <v>16</v>
      </c>
      <c r="B1074" s="1" t="s">
        <v>19</v>
      </c>
      <c r="C1074" s="6">
        <v>1258792</v>
      </c>
      <c r="D1074" s="6">
        <v>786306.28</v>
      </c>
      <c r="E1074" s="6">
        <v>712406.62</v>
      </c>
      <c r="F1074" s="6">
        <v>712406.62</v>
      </c>
      <c r="G1074" s="7" t="s">
        <v>20</v>
      </c>
      <c r="H1074" s="1">
        <f t="shared" si="16"/>
        <v>0.6246514753827479</v>
      </c>
    </row>
    <row r="1075" spans="1:8" x14ac:dyDescent="0.25">
      <c r="A1075" s="1" t="s">
        <v>16</v>
      </c>
      <c r="B1075" s="1" t="s">
        <v>19</v>
      </c>
      <c r="C1075" s="6">
        <v>41000</v>
      </c>
      <c r="D1075" s="6">
        <v>0</v>
      </c>
      <c r="E1075" s="6">
        <v>0</v>
      </c>
      <c r="F1075" s="6">
        <v>0</v>
      </c>
      <c r="G1075" s="7" t="s">
        <v>20</v>
      </c>
      <c r="H1075" s="1">
        <f t="shared" si="16"/>
        <v>0</v>
      </c>
    </row>
    <row r="1076" spans="1:8" x14ac:dyDescent="0.25">
      <c r="A1076" s="1" t="s">
        <v>16</v>
      </c>
      <c r="B1076" s="1" t="s">
        <v>19</v>
      </c>
      <c r="C1076" s="6">
        <v>2625</v>
      </c>
      <c r="D1076" s="6">
        <v>337.5</v>
      </c>
      <c r="E1076" s="6">
        <v>337.5</v>
      </c>
      <c r="F1076" s="6">
        <v>337.5</v>
      </c>
      <c r="G1076" s="7" t="s">
        <v>20</v>
      </c>
      <c r="H1076" s="1">
        <f t="shared" si="16"/>
        <v>0.12857142857142856</v>
      </c>
    </row>
    <row r="1077" spans="1:8" x14ac:dyDescent="0.25">
      <c r="A1077" s="1" t="s">
        <v>16</v>
      </c>
      <c r="B1077" s="1" t="s">
        <v>19</v>
      </c>
      <c r="C1077" s="6">
        <v>38231</v>
      </c>
      <c r="D1077" s="6">
        <v>10559.92</v>
      </c>
      <c r="E1077" s="6">
        <v>10559.92</v>
      </c>
      <c r="F1077" s="6">
        <v>10559.92</v>
      </c>
      <c r="G1077" s="7" t="s">
        <v>20</v>
      </c>
      <c r="H1077" s="1">
        <f t="shared" si="16"/>
        <v>0.27621354398263187</v>
      </c>
    </row>
    <row r="1078" spans="1:8" x14ac:dyDescent="0.25">
      <c r="A1078" s="1" t="s">
        <v>16</v>
      </c>
      <c r="B1078" s="1" t="s">
        <v>19</v>
      </c>
      <c r="C1078" s="6">
        <v>71625</v>
      </c>
      <c r="D1078" s="6">
        <v>0</v>
      </c>
      <c r="E1078" s="6">
        <v>0</v>
      </c>
      <c r="F1078" s="6">
        <v>0</v>
      </c>
      <c r="G1078" s="7" t="s">
        <v>20</v>
      </c>
      <c r="H1078" s="1">
        <f t="shared" si="16"/>
        <v>0</v>
      </c>
    </row>
    <row r="1079" spans="1:8" x14ac:dyDescent="0.25">
      <c r="A1079" s="1" t="s">
        <v>16</v>
      </c>
      <c r="B1079" s="1" t="s">
        <v>19</v>
      </c>
      <c r="C1079" s="6">
        <v>14000</v>
      </c>
      <c r="D1079" s="6">
        <v>0</v>
      </c>
      <c r="E1079" s="6">
        <v>0</v>
      </c>
      <c r="F1079" s="6">
        <v>0</v>
      </c>
      <c r="G1079" s="7" t="s">
        <v>20</v>
      </c>
      <c r="H1079" s="1">
        <f t="shared" si="16"/>
        <v>0</v>
      </c>
    </row>
    <row r="1080" spans="1:8" x14ac:dyDescent="0.25">
      <c r="A1080" s="1" t="s">
        <v>16</v>
      </c>
      <c r="B1080" s="1" t="s">
        <v>19</v>
      </c>
      <c r="C1080" s="6">
        <v>14000</v>
      </c>
      <c r="D1080" s="6">
        <v>0</v>
      </c>
      <c r="E1080" s="6">
        <v>0</v>
      </c>
      <c r="F1080" s="6">
        <v>0</v>
      </c>
      <c r="G1080" s="7" t="s">
        <v>20</v>
      </c>
      <c r="H1080" s="1">
        <f t="shared" si="16"/>
        <v>0</v>
      </c>
    </row>
    <row r="1081" spans="1:8" x14ac:dyDescent="0.25">
      <c r="A1081" s="1" t="s">
        <v>16</v>
      </c>
      <c r="B1081" s="1" t="s">
        <v>19</v>
      </c>
      <c r="C1081" s="6">
        <v>4950</v>
      </c>
      <c r="D1081" s="6">
        <v>3989.5450000000001</v>
      </c>
      <c r="E1081" s="6">
        <v>3056.895</v>
      </c>
      <c r="F1081" s="6">
        <v>1256.5825</v>
      </c>
      <c r="G1081" s="7" t="s">
        <v>20</v>
      </c>
      <c r="H1081" s="1">
        <f t="shared" si="16"/>
        <v>0.80596868686868683</v>
      </c>
    </row>
    <row r="1082" spans="1:8" x14ac:dyDescent="0.25">
      <c r="A1082" s="1" t="s">
        <v>16</v>
      </c>
      <c r="B1082" s="1" t="s">
        <v>19</v>
      </c>
      <c r="C1082" s="6">
        <v>2500</v>
      </c>
      <c r="D1082" s="6">
        <v>330.12</v>
      </c>
      <c r="E1082" s="6">
        <v>330.12</v>
      </c>
      <c r="F1082" s="6">
        <v>330.12</v>
      </c>
      <c r="G1082" s="7" t="s">
        <v>20</v>
      </c>
      <c r="H1082" s="1">
        <f t="shared" si="16"/>
        <v>0.132048</v>
      </c>
    </row>
    <row r="1083" spans="1:8" x14ac:dyDescent="0.25">
      <c r="A1083" s="1" t="s">
        <v>16</v>
      </c>
      <c r="B1083" s="1" t="s">
        <v>19</v>
      </c>
      <c r="C1083" s="6">
        <v>29625</v>
      </c>
      <c r="D1083" s="6">
        <v>299.5</v>
      </c>
      <c r="E1083" s="6">
        <v>299.5</v>
      </c>
      <c r="F1083" s="6">
        <v>299.5</v>
      </c>
      <c r="G1083" s="7" t="s">
        <v>20</v>
      </c>
      <c r="H1083" s="1">
        <f t="shared" si="16"/>
        <v>1.0109704641350211E-2</v>
      </c>
    </row>
    <row r="1084" spans="1:8" x14ac:dyDescent="0.25">
      <c r="A1084" s="1" t="s">
        <v>16</v>
      </c>
      <c r="B1084" s="1" t="s">
        <v>19</v>
      </c>
      <c r="C1084" s="6">
        <v>25000</v>
      </c>
      <c r="D1084" s="6">
        <v>0</v>
      </c>
      <c r="E1084" s="6">
        <v>0</v>
      </c>
      <c r="F1084" s="6">
        <v>0</v>
      </c>
      <c r="G1084" s="7" t="s">
        <v>20</v>
      </c>
      <c r="H1084" s="1">
        <f t="shared" si="16"/>
        <v>0</v>
      </c>
    </row>
    <row r="1085" spans="1:8" x14ac:dyDescent="0.25">
      <c r="A1085" s="1" t="s">
        <v>16</v>
      </c>
      <c r="B1085" s="1" t="s">
        <v>19</v>
      </c>
      <c r="C1085" s="6">
        <v>437032</v>
      </c>
      <c r="D1085" s="6">
        <v>407235.83</v>
      </c>
      <c r="E1085" s="6">
        <v>385323.16</v>
      </c>
      <c r="F1085" s="6">
        <v>362502.10499999998</v>
      </c>
      <c r="G1085" s="7" t="s">
        <v>20</v>
      </c>
      <c r="H1085" s="1">
        <f t="shared" si="16"/>
        <v>0.93182153709568183</v>
      </c>
    </row>
    <row r="1086" spans="1:8" x14ac:dyDescent="0.25">
      <c r="A1086" s="1" t="s">
        <v>16</v>
      </c>
      <c r="B1086" s="1" t="s">
        <v>19</v>
      </c>
      <c r="C1086" s="6">
        <v>50000</v>
      </c>
      <c r="D1086" s="6">
        <v>0</v>
      </c>
      <c r="E1086" s="6">
        <v>0</v>
      </c>
      <c r="F1086" s="6">
        <v>0</v>
      </c>
      <c r="G1086" s="7" t="s">
        <v>20</v>
      </c>
      <c r="H1086" s="1">
        <f t="shared" si="16"/>
        <v>0</v>
      </c>
    </row>
    <row r="1087" spans="1:8" x14ac:dyDescent="0.25">
      <c r="A1087" s="1" t="s">
        <v>16</v>
      </c>
      <c r="B1087" s="1" t="s">
        <v>19</v>
      </c>
      <c r="C1087" s="6">
        <v>228480.25</v>
      </c>
      <c r="D1087" s="6">
        <v>143660.37</v>
      </c>
      <c r="E1087" s="6">
        <v>129793.67</v>
      </c>
      <c r="F1087" s="6">
        <v>129793.67</v>
      </c>
      <c r="G1087" s="7" t="s">
        <v>20</v>
      </c>
      <c r="H1087" s="1">
        <f t="shared" si="16"/>
        <v>0.62876493701315539</v>
      </c>
    </row>
    <row r="1088" spans="1:8" x14ac:dyDescent="0.25">
      <c r="A1088" s="1" t="s">
        <v>16</v>
      </c>
      <c r="B1088" s="1" t="s">
        <v>19</v>
      </c>
      <c r="C1088" s="6">
        <v>62500</v>
      </c>
      <c r="D1088" s="6">
        <v>0</v>
      </c>
      <c r="E1088" s="6">
        <v>0</v>
      </c>
      <c r="F1088" s="6">
        <v>0</v>
      </c>
      <c r="G1088" s="7" t="s">
        <v>20</v>
      </c>
      <c r="H1088" s="1">
        <f t="shared" si="16"/>
        <v>0</v>
      </c>
    </row>
    <row r="1089" spans="1:8" x14ac:dyDescent="0.25">
      <c r="A1089" s="1" t="s">
        <v>16</v>
      </c>
      <c r="B1089" s="1" t="s">
        <v>19</v>
      </c>
      <c r="C1089" s="6">
        <v>381586.75</v>
      </c>
      <c r="D1089" s="6">
        <v>344102.1825</v>
      </c>
      <c r="E1089" s="6">
        <v>339466.815</v>
      </c>
      <c r="F1089" s="6">
        <v>319566.14</v>
      </c>
      <c r="G1089" s="7" t="s">
        <v>20</v>
      </c>
      <c r="H1089" s="1">
        <f t="shared" si="16"/>
        <v>0.90176659042799567</v>
      </c>
    </row>
    <row r="1090" spans="1:8" x14ac:dyDescent="0.25">
      <c r="A1090" s="1" t="s">
        <v>16</v>
      </c>
      <c r="B1090" s="1" t="s">
        <v>19</v>
      </c>
      <c r="C1090" s="6">
        <v>2554982.25</v>
      </c>
      <c r="D1090" s="6">
        <v>19105.232499999998</v>
      </c>
      <c r="E1090" s="6">
        <v>16226.7775</v>
      </c>
      <c r="F1090" s="6">
        <v>11817.057500000001</v>
      </c>
      <c r="G1090" s="7" t="s">
        <v>20</v>
      </c>
      <c r="H1090" s="1">
        <f t="shared" ref="H1090:H1153" si="17">IF(OR(ISNA($D1090),ISNA($C1090),$C1090=0),0,$D1090/$C1090)</f>
        <v>7.4776380540412749E-3</v>
      </c>
    </row>
    <row r="1091" spans="1:8" x14ac:dyDescent="0.25">
      <c r="A1091" s="1" t="s">
        <v>16</v>
      </c>
      <c r="B1091" s="1" t="s">
        <v>19</v>
      </c>
      <c r="C1091" s="6">
        <v>62500</v>
      </c>
      <c r="D1091" s="6">
        <v>0</v>
      </c>
      <c r="E1091" s="6">
        <v>0</v>
      </c>
      <c r="F1091" s="6">
        <v>0</v>
      </c>
      <c r="G1091" s="7" t="s">
        <v>20</v>
      </c>
      <c r="H1091" s="1">
        <f t="shared" si="17"/>
        <v>0</v>
      </c>
    </row>
    <row r="1092" spans="1:8" x14ac:dyDescent="0.25">
      <c r="A1092" s="1" t="s">
        <v>16</v>
      </c>
      <c r="B1092" s="1" t="s">
        <v>19</v>
      </c>
      <c r="C1092" s="6">
        <v>197941.75</v>
      </c>
      <c r="D1092" s="6">
        <v>183548.13750000001</v>
      </c>
      <c r="E1092" s="6">
        <v>183548.13750000001</v>
      </c>
      <c r="F1092" s="6">
        <v>169109.76749999999</v>
      </c>
      <c r="G1092" s="7" t="s">
        <v>20</v>
      </c>
      <c r="H1092" s="1">
        <f t="shared" si="17"/>
        <v>0.92728359479493339</v>
      </c>
    </row>
    <row r="1093" spans="1:8" x14ac:dyDescent="0.25">
      <c r="A1093" s="1" t="s">
        <v>12</v>
      </c>
      <c r="B1093" s="1" t="s">
        <v>13</v>
      </c>
      <c r="C1093" s="6">
        <v>364265.75</v>
      </c>
      <c r="D1093" s="6">
        <v>101500</v>
      </c>
      <c r="E1093" s="6">
        <v>73225.487500000003</v>
      </c>
      <c r="F1093" s="6">
        <v>44742.65</v>
      </c>
      <c r="G1093" s="7" t="s">
        <v>20</v>
      </c>
      <c r="H1093" s="1">
        <f t="shared" si="17"/>
        <v>0.27864272169425758</v>
      </c>
    </row>
    <row r="1094" spans="1:8" x14ac:dyDescent="0.25">
      <c r="A1094" s="1" t="s">
        <v>12</v>
      </c>
      <c r="B1094" s="1" t="s">
        <v>13</v>
      </c>
      <c r="C1094" s="6">
        <v>264000</v>
      </c>
      <c r="D1094" s="6">
        <v>144645.85250000001</v>
      </c>
      <c r="E1094" s="6">
        <v>131270.85250000001</v>
      </c>
      <c r="F1094" s="6">
        <v>131270.85250000001</v>
      </c>
      <c r="G1094" s="7" t="s">
        <v>20</v>
      </c>
      <c r="H1094" s="1">
        <f t="shared" si="17"/>
        <v>0.54790095643939396</v>
      </c>
    </row>
    <row r="1095" spans="1:8" x14ac:dyDescent="0.25">
      <c r="A1095" s="1" t="s">
        <v>12</v>
      </c>
      <c r="B1095" s="1" t="s">
        <v>13</v>
      </c>
      <c r="C1095" s="6">
        <v>129250</v>
      </c>
      <c r="D1095" s="6">
        <v>12962</v>
      </c>
      <c r="E1095" s="6">
        <v>12962</v>
      </c>
      <c r="F1095" s="6">
        <v>12962</v>
      </c>
      <c r="G1095" s="7" t="s">
        <v>20</v>
      </c>
      <c r="H1095" s="1">
        <f t="shared" si="17"/>
        <v>0.1002862669245648</v>
      </c>
    </row>
    <row r="1096" spans="1:8" x14ac:dyDescent="0.25">
      <c r="A1096" s="1" t="s">
        <v>12</v>
      </c>
      <c r="B1096" s="1" t="s">
        <v>13</v>
      </c>
      <c r="C1096" s="6">
        <v>89925</v>
      </c>
      <c r="D1096" s="6">
        <v>227824.54500000001</v>
      </c>
      <c r="E1096" s="6">
        <v>196680.20749999999</v>
      </c>
      <c r="F1096" s="6">
        <v>196680.20749999999</v>
      </c>
      <c r="G1096" s="7" t="s">
        <v>20</v>
      </c>
      <c r="H1096" s="1">
        <f t="shared" si="17"/>
        <v>2.533495079232694</v>
      </c>
    </row>
    <row r="1097" spans="1:8" x14ac:dyDescent="0.25">
      <c r="A1097" s="1" t="s">
        <v>12</v>
      </c>
      <c r="B1097" s="1" t="s">
        <v>13</v>
      </c>
      <c r="C1097" s="6">
        <v>441489</v>
      </c>
      <c r="D1097" s="6">
        <v>490023.935</v>
      </c>
      <c r="E1097" s="6">
        <v>444947.36249999999</v>
      </c>
      <c r="F1097" s="6">
        <v>444297.9975</v>
      </c>
      <c r="G1097" s="7" t="s">
        <v>20</v>
      </c>
      <c r="H1097" s="1">
        <f t="shared" si="17"/>
        <v>1.1099346416332003</v>
      </c>
    </row>
    <row r="1098" spans="1:8" x14ac:dyDescent="0.25">
      <c r="A1098" s="1" t="s">
        <v>12</v>
      </c>
      <c r="B1098" s="1" t="s">
        <v>13</v>
      </c>
      <c r="C1098" s="6">
        <v>353762.5</v>
      </c>
      <c r="D1098" s="6">
        <v>156079.05249999999</v>
      </c>
      <c r="E1098" s="6">
        <v>156079.05249999999</v>
      </c>
      <c r="F1098" s="6">
        <v>156079.05249999999</v>
      </c>
      <c r="G1098" s="7" t="s">
        <v>20</v>
      </c>
      <c r="H1098" s="1">
        <f t="shared" si="17"/>
        <v>0.44119727924808311</v>
      </c>
    </row>
    <row r="1099" spans="1:8" x14ac:dyDescent="0.25">
      <c r="A1099" s="1" t="s">
        <v>12</v>
      </c>
      <c r="B1099" s="1" t="s">
        <v>13</v>
      </c>
      <c r="C1099" s="6">
        <v>990188.5</v>
      </c>
      <c r="D1099" s="6">
        <v>356925.28249999997</v>
      </c>
      <c r="E1099" s="6">
        <v>356925.28249999997</v>
      </c>
      <c r="F1099" s="6">
        <v>314435.21250000002</v>
      </c>
      <c r="G1099" s="7" t="s">
        <v>20</v>
      </c>
      <c r="H1099" s="1">
        <f t="shared" si="17"/>
        <v>0.36046195497119993</v>
      </c>
    </row>
    <row r="1100" spans="1:8" x14ac:dyDescent="0.25">
      <c r="A1100" s="1" t="s">
        <v>12</v>
      </c>
      <c r="B1100" s="1" t="s">
        <v>13</v>
      </c>
      <c r="C1100" s="6">
        <v>659625</v>
      </c>
      <c r="D1100" s="6">
        <v>589062.5</v>
      </c>
      <c r="E1100" s="6">
        <v>505375</v>
      </c>
      <c r="F1100" s="6">
        <v>505375</v>
      </c>
      <c r="G1100" s="7" t="s">
        <v>20</v>
      </c>
      <c r="H1100" s="1">
        <f t="shared" si="17"/>
        <v>0.89302634072389619</v>
      </c>
    </row>
    <row r="1101" spans="1:8" x14ac:dyDescent="0.25">
      <c r="A1101" s="1" t="s">
        <v>12</v>
      </c>
      <c r="B1101" s="1" t="s">
        <v>13</v>
      </c>
      <c r="C1101" s="6">
        <v>236250</v>
      </c>
      <c r="D1101" s="6">
        <v>235500</v>
      </c>
      <c r="E1101" s="6">
        <v>202125</v>
      </c>
      <c r="F1101" s="6">
        <v>202125</v>
      </c>
      <c r="G1101" s="7" t="s">
        <v>20</v>
      </c>
      <c r="H1101" s="1">
        <f t="shared" si="17"/>
        <v>0.99682539682539684</v>
      </c>
    </row>
    <row r="1102" spans="1:8" x14ac:dyDescent="0.25">
      <c r="A1102" s="1" t="s">
        <v>12</v>
      </c>
      <c r="B1102" s="1" t="s">
        <v>13</v>
      </c>
      <c r="C1102" s="6">
        <v>407000</v>
      </c>
      <c r="D1102" s="6">
        <v>63000</v>
      </c>
      <c r="E1102" s="6">
        <v>53358.214999999997</v>
      </c>
      <c r="F1102" s="6">
        <v>53358.214999999997</v>
      </c>
      <c r="G1102" s="7" t="s">
        <v>20</v>
      </c>
      <c r="H1102" s="1">
        <f t="shared" si="17"/>
        <v>0.15479115479115479</v>
      </c>
    </row>
    <row r="1103" spans="1:8" x14ac:dyDescent="0.25">
      <c r="A1103" s="1" t="s">
        <v>12</v>
      </c>
      <c r="B1103" s="1" t="s">
        <v>13</v>
      </c>
      <c r="C1103" s="6">
        <v>59250</v>
      </c>
      <c r="D1103" s="6">
        <v>38000</v>
      </c>
      <c r="E1103" s="6">
        <v>17750</v>
      </c>
      <c r="F1103" s="6">
        <v>17750</v>
      </c>
      <c r="G1103" s="7" t="s">
        <v>20</v>
      </c>
      <c r="H1103" s="1">
        <f t="shared" si="17"/>
        <v>0.64135021097046419</v>
      </c>
    </row>
    <row r="1104" spans="1:8" x14ac:dyDescent="0.25">
      <c r="A1104" s="1" t="s">
        <v>12</v>
      </c>
      <c r="B1104" s="1" t="s">
        <v>13</v>
      </c>
      <c r="C1104" s="6">
        <v>6347964.25</v>
      </c>
      <c r="D1104" s="6">
        <v>2524337.38</v>
      </c>
      <c r="E1104" s="6">
        <v>2491051.1949999998</v>
      </c>
      <c r="F1104" s="6">
        <v>2292243.5625</v>
      </c>
      <c r="G1104" s="7" t="s">
        <v>20</v>
      </c>
      <c r="H1104" s="1">
        <f t="shared" si="17"/>
        <v>0.39766093200666652</v>
      </c>
    </row>
    <row r="1105" spans="1:8" x14ac:dyDescent="0.25">
      <c r="A1105" s="1" t="s">
        <v>12</v>
      </c>
      <c r="B1105" s="1" t="s">
        <v>13</v>
      </c>
      <c r="C1105" s="6">
        <v>781507.25</v>
      </c>
      <c r="D1105" s="6">
        <v>242871.89499999999</v>
      </c>
      <c r="E1105" s="6">
        <v>161247.38250000001</v>
      </c>
      <c r="F1105" s="6">
        <v>145326.62</v>
      </c>
      <c r="G1105" s="7" t="s">
        <v>20</v>
      </c>
      <c r="H1105" s="1">
        <f t="shared" si="17"/>
        <v>0.31077369403802713</v>
      </c>
    </row>
    <row r="1106" spans="1:8" x14ac:dyDescent="0.25">
      <c r="A1106" s="1" t="s">
        <v>12</v>
      </c>
      <c r="B1106" s="1" t="s">
        <v>13</v>
      </c>
      <c r="C1106" s="6">
        <v>54500</v>
      </c>
      <c r="D1106" s="6">
        <v>0</v>
      </c>
      <c r="E1106" s="6">
        <v>0</v>
      </c>
      <c r="F1106" s="6">
        <v>0</v>
      </c>
      <c r="G1106" s="7" t="s">
        <v>20</v>
      </c>
      <c r="H1106" s="1">
        <f t="shared" si="17"/>
        <v>0</v>
      </c>
    </row>
    <row r="1107" spans="1:8" x14ac:dyDescent="0.25">
      <c r="A1107" s="1" t="s">
        <v>12</v>
      </c>
      <c r="B1107" s="1" t="s">
        <v>13</v>
      </c>
      <c r="C1107" s="6">
        <v>40000</v>
      </c>
      <c r="D1107" s="6">
        <v>0</v>
      </c>
      <c r="E1107" s="6">
        <v>0</v>
      </c>
      <c r="F1107" s="6">
        <v>0</v>
      </c>
      <c r="G1107" s="7" t="s">
        <v>20</v>
      </c>
      <c r="H1107" s="1">
        <f t="shared" si="17"/>
        <v>0</v>
      </c>
    </row>
    <row r="1108" spans="1:8" x14ac:dyDescent="0.25">
      <c r="A1108" s="1" t="s">
        <v>12</v>
      </c>
      <c r="B1108" s="1" t="s">
        <v>13</v>
      </c>
      <c r="C1108" s="6">
        <v>373671.75</v>
      </c>
      <c r="D1108" s="6">
        <v>72158.600000000006</v>
      </c>
      <c r="E1108" s="6">
        <v>41637.747499999998</v>
      </c>
      <c r="F1108" s="6">
        <v>41637.747499999998</v>
      </c>
      <c r="G1108" s="7" t="s">
        <v>20</v>
      </c>
      <c r="H1108" s="1">
        <f t="shared" si="17"/>
        <v>0.19310691803702049</v>
      </c>
    </row>
    <row r="1109" spans="1:8" x14ac:dyDescent="0.25">
      <c r="A1109" s="1" t="s">
        <v>12</v>
      </c>
      <c r="B1109" s="1" t="s">
        <v>13</v>
      </c>
      <c r="C1109" s="6">
        <v>1710157.75</v>
      </c>
      <c r="D1109" s="6">
        <v>755212.89249999996</v>
      </c>
      <c r="E1109" s="6">
        <v>661675.93500000006</v>
      </c>
      <c r="F1109" s="6">
        <v>652100.26749999996</v>
      </c>
      <c r="G1109" s="7" t="s">
        <v>20</v>
      </c>
      <c r="H1109" s="1">
        <f t="shared" si="17"/>
        <v>0.44160422773863989</v>
      </c>
    </row>
    <row r="1110" spans="1:8" x14ac:dyDescent="0.25">
      <c r="A1110" s="1" t="s">
        <v>12</v>
      </c>
      <c r="B1110" s="1" t="s">
        <v>13</v>
      </c>
      <c r="C1110" s="6">
        <v>1511118.75</v>
      </c>
      <c r="D1110" s="6">
        <v>835350.57750000001</v>
      </c>
      <c r="E1110" s="6">
        <v>628576.57499999995</v>
      </c>
      <c r="F1110" s="6">
        <v>591124.06499999994</v>
      </c>
      <c r="G1110" s="7" t="s">
        <v>20</v>
      </c>
      <c r="H1110" s="1">
        <f t="shared" si="17"/>
        <v>0.55280273472882258</v>
      </c>
    </row>
    <row r="1111" spans="1:8" x14ac:dyDescent="0.25">
      <c r="A1111" s="1" t="s">
        <v>12</v>
      </c>
      <c r="B1111" s="1" t="s">
        <v>13</v>
      </c>
      <c r="C1111" s="6">
        <v>831308.75</v>
      </c>
      <c r="D1111" s="6">
        <v>240157.77</v>
      </c>
      <c r="E1111" s="6">
        <v>240157.77</v>
      </c>
      <c r="F1111" s="6">
        <v>240157.77</v>
      </c>
      <c r="G1111" s="7" t="s">
        <v>20</v>
      </c>
      <c r="H1111" s="1">
        <f t="shared" si="17"/>
        <v>0.28889118513428375</v>
      </c>
    </row>
    <row r="1112" spans="1:8" x14ac:dyDescent="0.25">
      <c r="A1112" s="1" t="s">
        <v>12</v>
      </c>
      <c r="B1112" s="1" t="s">
        <v>13</v>
      </c>
      <c r="C1112" s="6">
        <v>3259920.5</v>
      </c>
      <c r="D1112" s="6">
        <v>2076767.175</v>
      </c>
      <c r="E1112" s="6">
        <v>1779945.5425</v>
      </c>
      <c r="F1112" s="6">
        <v>1598728.0425</v>
      </c>
      <c r="G1112" s="7" t="s">
        <v>20</v>
      </c>
      <c r="H1112" s="1">
        <f t="shared" si="17"/>
        <v>0.63706068138778227</v>
      </c>
    </row>
    <row r="1113" spans="1:8" x14ac:dyDescent="0.25">
      <c r="A1113" s="1" t="s">
        <v>12</v>
      </c>
      <c r="B1113" s="1" t="s">
        <v>13</v>
      </c>
      <c r="C1113" s="6">
        <v>1442950.5</v>
      </c>
      <c r="D1113" s="6">
        <v>3250</v>
      </c>
      <c r="E1113" s="6">
        <v>2750</v>
      </c>
      <c r="F1113" s="6">
        <v>2750</v>
      </c>
      <c r="G1113" s="7" t="s">
        <v>20</v>
      </c>
      <c r="H1113" s="1">
        <f t="shared" si="17"/>
        <v>2.252329515115037E-3</v>
      </c>
    </row>
    <row r="1114" spans="1:8" x14ac:dyDescent="0.25">
      <c r="A1114" s="1" t="s">
        <v>12</v>
      </c>
      <c r="B1114" s="1" t="s">
        <v>13</v>
      </c>
      <c r="C1114" s="6">
        <v>397937.25</v>
      </c>
      <c r="D1114" s="6">
        <v>23405.5</v>
      </c>
      <c r="E1114" s="6">
        <v>0</v>
      </c>
      <c r="F1114" s="6">
        <v>0</v>
      </c>
      <c r="G1114" s="7" t="s">
        <v>20</v>
      </c>
      <c r="H1114" s="1">
        <f t="shared" si="17"/>
        <v>5.8817062237827698E-2</v>
      </c>
    </row>
    <row r="1115" spans="1:8" x14ac:dyDescent="0.25">
      <c r="A1115" s="1" t="s">
        <v>12</v>
      </c>
      <c r="B1115" s="1" t="s">
        <v>13</v>
      </c>
      <c r="C1115" s="6">
        <v>248916.5</v>
      </c>
      <c r="D1115" s="6">
        <v>250329.36499999999</v>
      </c>
      <c r="E1115" s="6">
        <v>249579.36499999999</v>
      </c>
      <c r="F1115" s="6">
        <v>249579.36499999999</v>
      </c>
      <c r="G1115" s="7" t="s">
        <v>20</v>
      </c>
      <c r="H1115" s="1">
        <f t="shared" si="17"/>
        <v>1.0056760600442316</v>
      </c>
    </row>
    <row r="1116" spans="1:8" x14ac:dyDescent="0.25">
      <c r="A1116" s="1" t="s">
        <v>12</v>
      </c>
      <c r="B1116" s="1" t="s">
        <v>13</v>
      </c>
      <c r="C1116" s="6">
        <v>2926549</v>
      </c>
      <c r="D1116" s="6">
        <v>3847633.9824999999</v>
      </c>
      <c r="E1116" s="6">
        <v>3129770.1475</v>
      </c>
      <c r="F1116" s="6">
        <v>2919741.93</v>
      </c>
      <c r="G1116" s="7" t="s">
        <v>20</v>
      </c>
      <c r="H1116" s="1">
        <f t="shared" si="17"/>
        <v>1.3147341741074556</v>
      </c>
    </row>
    <row r="1117" spans="1:8" x14ac:dyDescent="0.25">
      <c r="A1117" s="1" t="s">
        <v>12</v>
      </c>
      <c r="B1117" s="1" t="s">
        <v>13</v>
      </c>
      <c r="C1117" s="6">
        <v>1754189.75</v>
      </c>
      <c r="D1117" s="6">
        <v>3109286.5775000001</v>
      </c>
      <c r="E1117" s="6">
        <v>2662117.3725000001</v>
      </c>
      <c r="F1117" s="6">
        <v>2592443.5575000001</v>
      </c>
      <c r="G1117" s="7" t="s">
        <v>20</v>
      </c>
      <c r="H1117" s="1">
        <f t="shared" si="17"/>
        <v>1.7724915890655502</v>
      </c>
    </row>
    <row r="1118" spans="1:8" x14ac:dyDescent="0.25">
      <c r="A1118" s="1" t="s">
        <v>12</v>
      </c>
      <c r="B1118" s="1" t="s">
        <v>13</v>
      </c>
      <c r="C1118" s="6">
        <v>787741.75</v>
      </c>
      <c r="D1118" s="6">
        <v>108000.25</v>
      </c>
      <c r="E1118" s="6">
        <v>90041.042499999996</v>
      </c>
      <c r="F1118" s="6">
        <v>90041.042499999996</v>
      </c>
      <c r="G1118" s="7" t="s">
        <v>20</v>
      </c>
      <c r="H1118" s="1">
        <f t="shared" si="17"/>
        <v>0.13710108674575139</v>
      </c>
    </row>
    <row r="1119" spans="1:8" x14ac:dyDescent="0.25">
      <c r="A1119" s="1" t="s">
        <v>12</v>
      </c>
      <c r="B1119" s="1" t="s">
        <v>13</v>
      </c>
      <c r="C1119" s="6">
        <v>3736491.25</v>
      </c>
      <c r="D1119" s="6">
        <v>3292213.3574999999</v>
      </c>
      <c r="E1119" s="6">
        <v>2821593.3149999999</v>
      </c>
      <c r="F1119" s="6">
        <v>2810327.7025000001</v>
      </c>
      <c r="G1119" s="7" t="s">
        <v>20</v>
      </c>
      <c r="H1119" s="1">
        <f t="shared" si="17"/>
        <v>0.88109756914324366</v>
      </c>
    </row>
    <row r="1120" spans="1:8" x14ac:dyDescent="0.25">
      <c r="A1120" s="1" t="s">
        <v>12</v>
      </c>
      <c r="B1120" s="1" t="s">
        <v>13</v>
      </c>
      <c r="C1120" s="6">
        <v>425750</v>
      </c>
      <c r="D1120" s="6">
        <v>1103944.8400000001</v>
      </c>
      <c r="E1120" s="6">
        <v>978060.83</v>
      </c>
      <c r="F1120" s="6">
        <v>978060.83</v>
      </c>
      <c r="G1120" s="7" t="s">
        <v>20</v>
      </c>
      <c r="H1120" s="1">
        <f t="shared" si="17"/>
        <v>2.5929414914856137</v>
      </c>
    </row>
    <row r="1121" spans="1:8" x14ac:dyDescent="0.25">
      <c r="A1121" s="1" t="s">
        <v>12</v>
      </c>
      <c r="B1121" s="1" t="s">
        <v>13</v>
      </c>
      <c r="C1121" s="6">
        <v>1942342</v>
      </c>
      <c r="D1121" s="6">
        <v>231964.21249999999</v>
      </c>
      <c r="E1121" s="6">
        <v>225142.66</v>
      </c>
      <c r="F1121" s="6">
        <v>185998.53</v>
      </c>
      <c r="G1121" s="7" t="s">
        <v>20</v>
      </c>
      <c r="H1121" s="1">
        <f t="shared" si="17"/>
        <v>0.1194250098592318</v>
      </c>
    </row>
    <row r="1122" spans="1:8" x14ac:dyDescent="0.25">
      <c r="A1122" s="1" t="s">
        <v>12</v>
      </c>
      <c r="B1122" s="1" t="s">
        <v>13</v>
      </c>
      <c r="C1122" s="6">
        <v>263750</v>
      </c>
      <c r="D1122" s="6">
        <v>0</v>
      </c>
      <c r="E1122" s="6">
        <v>0</v>
      </c>
      <c r="F1122" s="6">
        <v>0</v>
      </c>
      <c r="G1122" s="7" t="s">
        <v>20</v>
      </c>
      <c r="H1122" s="1">
        <f t="shared" si="17"/>
        <v>0</v>
      </c>
    </row>
    <row r="1123" spans="1:8" x14ac:dyDescent="0.25">
      <c r="A1123" s="1" t="s">
        <v>12</v>
      </c>
      <c r="B1123" s="1" t="s">
        <v>13</v>
      </c>
      <c r="C1123" s="6">
        <v>5476538.25</v>
      </c>
      <c r="D1123" s="6">
        <v>0</v>
      </c>
      <c r="E1123" s="6">
        <v>0</v>
      </c>
      <c r="F1123" s="6">
        <v>0</v>
      </c>
      <c r="G1123" s="7" t="s">
        <v>20</v>
      </c>
      <c r="H1123" s="1">
        <f t="shared" si="17"/>
        <v>0</v>
      </c>
    </row>
    <row r="1124" spans="1:8" x14ac:dyDescent="0.25">
      <c r="A1124" s="1" t="s">
        <v>12</v>
      </c>
      <c r="B1124" s="1" t="s">
        <v>13</v>
      </c>
      <c r="C1124" s="6">
        <v>75023</v>
      </c>
      <c r="D1124" s="6">
        <v>0</v>
      </c>
      <c r="E1124" s="6">
        <v>0</v>
      </c>
      <c r="F1124" s="6">
        <v>0</v>
      </c>
      <c r="G1124" s="7" t="s">
        <v>20</v>
      </c>
      <c r="H1124" s="1">
        <f t="shared" si="17"/>
        <v>0</v>
      </c>
    </row>
    <row r="1125" spans="1:8" x14ac:dyDescent="0.25">
      <c r="A1125" s="1" t="s">
        <v>12</v>
      </c>
      <c r="B1125" s="1" t="s">
        <v>13</v>
      </c>
      <c r="C1125" s="6">
        <v>6500</v>
      </c>
      <c r="D1125" s="6">
        <v>0</v>
      </c>
      <c r="E1125" s="6">
        <v>0</v>
      </c>
      <c r="F1125" s="6">
        <v>0</v>
      </c>
      <c r="G1125" s="7" t="s">
        <v>20</v>
      </c>
      <c r="H1125" s="1">
        <f t="shared" si="17"/>
        <v>0</v>
      </c>
    </row>
    <row r="1126" spans="1:8" x14ac:dyDescent="0.25">
      <c r="A1126" s="1" t="s">
        <v>12</v>
      </c>
      <c r="B1126" s="1" t="s">
        <v>13</v>
      </c>
      <c r="C1126" s="6">
        <v>129875</v>
      </c>
      <c r="D1126" s="6">
        <v>50500</v>
      </c>
      <c r="E1126" s="6">
        <v>39875</v>
      </c>
      <c r="F1126" s="6">
        <v>39875</v>
      </c>
      <c r="G1126" s="7" t="s">
        <v>20</v>
      </c>
      <c r="H1126" s="1">
        <f t="shared" si="17"/>
        <v>0.38883541867179983</v>
      </c>
    </row>
    <row r="1127" spans="1:8" x14ac:dyDescent="0.25">
      <c r="A1127" s="1" t="s">
        <v>12</v>
      </c>
      <c r="B1127" s="1" t="s">
        <v>13</v>
      </c>
      <c r="C1127" s="6">
        <v>30500</v>
      </c>
      <c r="D1127" s="6">
        <v>0</v>
      </c>
      <c r="E1127" s="6">
        <v>0</v>
      </c>
      <c r="F1127" s="6">
        <v>0</v>
      </c>
      <c r="G1127" s="7" t="s">
        <v>20</v>
      </c>
      <c r="H1127" s="1">
        <f t="shared" si="17"/>
        <v>0</v>
      </c>
    </row>
    <row r="1128" spans="1:8" x14ac:dyDescent="0.25">
      <c r="A1128" s="1" t="s">
        <v>12</v>
      </c>
      <c r="B1128" s="1" t="s">
        <v>13</v>
      </c>
      <c r="C1128" s="6">
        <v>30500</v>
      </c>
      <c r="D1128" s="6">
        <v>0</v>
      </c>
      <c r="E1128" s="6">
        <v>0</v>
      </c>
      <c r="F1128" s="6">
        <v>0</v>
      </c>
      <c r="G1128" s="7" t="s">
        <v>20</v>
      </c>
      <c r="H1128" s="1">
        <f t="shared" si="17"/>
        <v>0</v>
      </c>
    </row>
    <row r="1129" spans="1:8" x14ac:dyDescent="0.25">
      <c r="A1129" s="1" t="s">
        <v>12</v>
      </c>
      <c r="B1129" s="1" t="s">
        <v>13</v>
      </c>
      <c r="C1129" s="6">
        <v>24524.5</v>
      </c>
      <c r="D1129" s="6">
        <v>20800</v>
      </c>
      <c r="E1129" s="6">
        <v>13730.91</v>
      </c>
      <c r="F1129" s="6">
        <v>13730.91</v>
      </c>
      <c r="G1129" s="7" t="s">
        <v>20</v>
      </c>
      <c r="H1129" s="1">
        <f t="shared" si="17"/>
        <v>0.84813146037635834</v>
      </c>
    </row>
    <row r="1130" spans="1:8" x14ac:dyDescent="0.25">
      <c r="A1130" s="1" t="s">
        <v>12</v>
      </c>
      <c r="B1130" s="1" t="s">
        <v>13</v>
      </c>
      <c r="C1130" s="6">
        <v>1740623.25</v>
      </c>
      <c r="D1130" s="6">
        <v>6400</v>
      </c>
      <c r="E1130" s="6">
        <v>6400</v>
      </c>
      <c r="F1130" s="6">
        <v>6400</v>
      </c>
      <c r="G1130" s="7" t="s">
        <v>20</v>
      </c>
      <c r="H1130" s="1">
        <f t="shared" si="17"/>
        <v>3.6768439120872364E-3</v>
      </c>
    </row>
    <row r="1131" spans="1:8" x14ac:dyDescent="0.25">
      <c r="A1131" s="1" t="s">
        <v>12</v>
      </c>
      <c r="B1131" s="1" t="s">
        <v>13</v>
      </c>
      <c r="C1131" s="6">
        <v>1426454</v>
      </c>
      <c r="D1131" s="6">
        <v>0</v>
      </c>
      <c r="E1131" s="6">
        <v>0</v>
      </c>
      <c r="F1131" s="6">
        <v>0</v>
      </c>
      <c r="G1131" s="7" t="s">
        <v>20</v>
      </c>
      <c r="H1131" s="1">
        <f t="shared" si="17"/>
        <v>0</v>
      </c>
    </row>
    <row r="1132" spans="1:8" x14ac:dyDescent="0.25">
      <c r="A1132" s="1" t="s">
        <v>12</v>
      </c>
      <c r="B1132" s="1" t="s">
        <v>14</v>
      </c>
      <c r="C1132" s="6">
        <v>12853262.75</v>
      </c>
      <c r="D1132" s="6">
        <v>13369326.387499999</v>
      </c>
      <c r="E1132" s="6">
        <v>11793024.737500001</v>
      </c>
      <c r="F1132" s="6">
        <v>11793024.737500001</v>
      </c>
      <c r="G1132" s="7" t="s">
        <v>20</v>
      </c>
      <c r="H1132" s="1">
        <f t="shared" si="17"/>
        <v>1.0401503997496666</v>
      </c>
    </row>
    <row r="1133" spans="1:8" x14ac:dyDescent="0.25">
      <c r="A1133" s="1" t="s">
        <v>12</v>
      </c>
      <c r="B1133" s="1" t="s">
        <v>14</v>
      </c>
      <c r="C1133" s="6">
        <v>0</v>
      </c>
      <c r="D1133" s="6">
        <v>1199952.3400000001</v>
      </c>
      <c r="E1133" s="6">
        <v>268345.125</v>
      </c>
      <c r="F1133" s="6">
        <v>20845.125</v>
      </c>
      <c r="G1133" s="7" t="s">
        <v>20</v>
      </c>
      <c r="H1133" s="1">
        <f t="shared" si="17"/>
        <v>0</v>
      </c>
    </row>
    <row r="1134" spans="1:8" x14ac:dyDescent="0.25">
      <c r="A1134" s="1" t="s">
        <v>12</v>
      </c>
      <c r="B1134" s="1" t="s">
        <v>14</v>
      </c>
      <c r="C1134" s="6">
        <v>23549563</v>
      </c>
      <c r="D1134" s="6">
        <v>29215995.289999999</v>
      </c>
      <c r="E1134" s="6">
        <v>26374031.864999998</v>
      </c>
      <c r="F1134" s="6">
        <v>26374031.864999998</v>
      </c>
      <c r="G1134" s="7" t="s">
        <v>20</v>
      </c>
      <c r="H1134" s="1">
        <f t="shared" si="17"/>
        <v>1.2406173010514037</v>
      </c>
    </row>
    <row r="1135" spans="1:8" x14ac:dyDescent="0.25">
      <c r="A1135" s="1" t="s">
        <v>12</v>
      </c>
      <c r="B1135" s="1" t="s">
        <v>14</v>
      </c>
      <c r="C1135" s="6">
        <v>1570511.5</v>
      </c>
      <c r="D1135" s="6">
        <v>1252413.5425</v>
      </c>
      <c r="E1135" s="6">
        <v>1091283.47</v>
      </c>
      <c r="F1135" s="6">
        <v>1091283.47</v>
      </c>
      <c r="G1135" s="7" t="s">
        <v>20</v>
      </c>
      <c r="H1135" s="1">
        <f t="shared" si="17"/>
        <v>0.79745582410571336</v>
      </c>
    </row>
    <row r="1136" spans="1:8" x14ac:dyDescent="0.25">
      <c r="A1136" s="1" t="s">
        <v>12</v>
      </c>
      <c r="B1136" s="1" t="s">
        <v>14</v>
      </c>
      <c r="C1136" s="6">
        <v>9039740.25</v>
      </c>
      <c r="D1136" s="6">
        <v>9958813.8650000002</v>
      </c>
      <c r="E1136" s="6">
        <v>8740644.5899999999</v>
      </c>
      <c r="F1136" s="6">
        <v>8740644.5899999999</v>
      </c>
      <c r="G1136" s="7" t="s">
        <v>20</v>
      </c>
      <c r="H1136" s="1">
        <f t="shared" si="17"/>
        <v>1.1016703566233554</v>
      </c>
    </row>
    <row r="1137" spans="1:8" x14ac:dyDescent="0.25">
      <c r="A1137" s="1" t="s">
        <v>12</v>
      </c>
      <c r="B1137" s="1" t="s">
        <v>14</v>
      </c>
      <c r="C1137" s="6">
        <v>28958658.75</v>
      </c>
      <c r="D1137" s="6">
        <v>27027187.0975</v>
      </c>
      <c r="E1137" s="6">
        <v>26613261.925000001</v>
      </c>
      <c r="F1137" s="6">
        <v>24691036.727499999</v>
      </c>
      <c r="G1137" s="7" t="s">
        <v>20</v>
      </c>
      <c r="H1137" s="1">
        <f t="shared" si="17"/>
        <v>0.93330244783867966</v>
      </c>
    </row>
    <row r="1138" spans="1:8" x14ac:dyDescent="0.25">
      <c r="A1138" s="1" t="s">
        <v>12</v>
      </c>
      <c r="B1138" s="1" t="s">
        <v>14</v>
      </c>
      <c r="C1138" s="6">
        <v>88914483.5</v>
      </c>
      <c r="D1138" s="6">
        <v>27141025.7225</v>
      </c>
      <c r="E1138" s="6">
        <v>22760138.745000001</v>
      </c>
      <c r="F1138" s="6">
        <v>22251304.375</v>
      </c>
      <c r="G1138" s="7" t="s">
        <v>20</v>
      </c>
      <c r="H1138" s="1">
        <f t="shared" si="17"/>
        <v>0.30524864627369735</v>
      </c>
    </row>
    <row r="1139" spans="1:8" x14ac:dyDescent="0.25">
      <c r="A1139" s="1" t="s">
        <v>12</v>
      </c>
      <c r="B1139" s="1" t="s">
        <v>14</v>
      </c>
      <c r="C1139" s="6">
        <v>1484241.5</v>
      </c>
      <c r="D1139" s="6">
        <v>220050.86249999999</v>
      </c>
      <c r="E1139" s="6">
        <v>164344.29999999999</v>
      </c>
      <c r="F1139" s="6">
        <v>164344.29999999999</v>
      </c>
      <c r="G1139" s="7" t="s">
        <v>20</v>
      </c>
      <c r="H1139" s="1">
        <f t="shared" si="17"/>
        <v>0.14825812544656647</v>
      </c>
    </row>
    <row r="1140" spans="1:8" x14ac:dyDescent="0.25">
      <c r="A1140" s="1" t="s">
        <v>12</v>
      </c>
      <c r="B1140" s="1" t="s">
        <v>14</v>
      </c>
      <c r="C1140" s="6">
        <v>55085.25</v>
      </c>
      <c r="D1140" s="6">
        <v>867014.5575</v>
      </c>
      <c r="E1140" s="6">
        <v>843128.53749999998</v>
      </c>
      <c r="F1140" s="6">
        <v>843128.53749999998</v>
      </c>
      <c r="G1140" s="7" t="s">
        <v>20</v>
      </c>
      <c r="H1140" s="1">
        <f t="shared" si="17"/>
        <v>15.739504812994404</v>
      </c>
    </row>
    <row r="1141" spans="1:8" x14ac:dyDescent="0.25">
      <c r="A1141" s="1" t="s">
        <v>12</v>
      </c>
      <c r="B1141" s="1" t="s">
        <v>14</v>
      </c>
      <c r="C1141" s="6">
        <v>25285785.25</v>
      </c>
      <c r="D1141" s="6">
        <v>23866638.212499999</v>
      </c>
      <c r="E1141" s="6">
        <v>22486423.232500002</v>
      </c>
      <c r="F1141" s="6">
        <v>22486423.232500002</v>
      </c>
      <c r="G1141" s="7" t="s">
        <v>20</v>
      </c>
      <c r="H1141" s="1">
        <f t="shared" si="17"/>
        <v>0.94387569840252439</v>
      </c>
    </row>
    <row r="1142" spans="1:8" x14ac:dyDescent="0.25">
      <c r="A1142" s="1" t="s">
        <v>12</v>
      </c>
      <c r="B1142" s="1" t="s">
        <v>14</v>
      </c>
      <c r="C1142" s="6">
        <v>770056.25</v>
      </c>
      <c r="D1142" s="6">
        <v>394367.84499999997</v>
      </c>
      <c r="E1142" s="6">
        <v>356107.73</v>
      </c>
      <c r="F1142" s="6">
        <v>356107.73</v>
      </c>
      <c r="G1142" s="7" t="s">
        <v>20</v>
      </c>
      <c r="H1142" s="1">
        <f t="shared" si="17"/>
        <v>0.51212862047415364</v>
      </c>
    </row>
    <row r="1143" spans="1:8" x14ac:dyDescent="0.25">
      <c r="A1143" s="1" t="s">
        <v>12</v>
      </c>
      <c r="B1143" s="1" t="s">
        <v>14</v>
      </c>
      <c r="C1143" s="6">
        <v>1165298</v>
      </c>
      <c r="D1143" s="6">
        <v>435333.92</v>
      </c>
      <c r="E1143" s="6">
        <v>435333.92</v>
      </c>
      <c r="F1143" s="6">
        <v>435333.92</v>
      </c>
      <c r="G1143" s="7" t="s">
        <v>20</v>
      </c>
      <c r="H1143" s="1">
        <f t="shared" si="17"/>
        <v>0.3735816246144763</v>
      </c>
    </row>
    <row r="1144" spans="1:8" x14ac:dyDescent="0.25">
      <c r="A1144" s="1" t="s">
        <v>12</v>
      </c>
      <c r="B1144" s="1" t="s">
        <v>15</v>
      </c>
      <c r="C1144" s="6">
        <v>0</v>
      </c>
      <c r="D1144" s="6">
        <v>12825690.772500001</v>
      </c>
      <c r="E1144" s="6">
        <v>11219326.425000001</v>
      </c>
      <c r="F1144" s="6">
        <v>10912863.1075</v>
      </c>
      <c r="G1144" s="7" t="s">
        <v>20</v>
      </c>
      <c r="H1144" s="1">
        <f t="shared" si="17"/>
        <v>0</v>
      </c>
    </row>
    <row r="1145" spans="1:8" x14ac:dyDescent="0.25">
      <c r="A1145" s="1" t="s">
        <v>12</v>
      </c>
      <c r="B1145" s="1" t="s">
        <v>15</v>
      </c>
      <c r="C1145" s="6">
        <v>89750</v>
      </c>
      <c r="D1145" s="6">
        <v>0</v>
      </c>
      <c r="E1145" s="6">
        <v>0</v>
      </c>
      <c r="F1145" s="6">
        <v>0</v>
      </c>
      <c r="G1145" s="7" t="s">
        <v>20</v>
      </c>
      <c r="H1145" s="1">
        <f t="shared" si="17"/>
        <v>0</v>
      </c>
    </row>
    <row r="1146" spans="1:8" x14ac:dyDescent="0.25">
      <c r="A1146" s="1" t="s">
        <v>12</v>
      </c>
      <c r="B1146" s="1" t="s">
        <v>15</v>
      </c>
      <c r="C1146" s="6">
        <v>12750</v>
      </c>
      <c r="D1146" s="6">
        <v>0</v>
      </c>
      <c r="E1146" s="6">
        <v>0</v>
      </c>
      <c r="F1146" s="6">
        <v>0</v>
      </c>
      <c r="G1146" s="7" t="s">
        <v>20</v>
      </c>
      <c r="H1146" s="1">
        <f t="shared" si="17"/>
        <v>0</v>
      </c>
    </row>
    <row r="1147" spans="1:8" x14ac:dyDescent="0.25">
      <c r="A1147" s="1" t="s">
        <v>12</v>
      </c>
      <c r="B1147" s="1" t="s">
        <v>15</v>
      </c>
      <c r="C1147" s="6">
        <v>19465000</v>
      </c>
      <c r="D1147" s="6">
        <v>1501272.567</v>
      </c>
      <c r="E1147" s="6">
        <v>846172.27150000003</v>
      </c>
      <c r="F1147" s="6">
        <v>758799.07149999996</v>
      </c>
      <c r="G1147" s="7" t="s">
        <v>20</v>
      </c>
      <c r="H1147" s="1">
        <f t="shared" si="17"/>
        <v>7.7126769432314418E-2</v>
      </c>
    </row>
    <row r="1148" spans="1:8" x14ac:dyDescent="0.25">
      <c r="A1148" s="1" t="s">
        <v>12</v>
      </c>
      <c r="B1148" s="1" t="s">
        <v>15</v>
      </c>
      <c r="C1148" s="6">
        <v>0</v>
      </c>
      <c r="D1148" s="6">
        <v>252777.21</v>
      </c>
      <c r="E1148" s="6">
        <v>252777.21</v>
      </c>
      <c r="F1148" s="6">
        <v>252777.21</v>
      </c>
      <c r="G1148" s="7" t="s">
        <v>20</v>
      </c>
      <c r="H1148" s="1">
        <f t="shared" si="17"/>
        <v>0</v>
      </c>
    </row>
    <row r="1149" spans="1:8" x14ac:dyDescent="0.25">
      <c r="A1149" s="1" t="s">
        <v>12</v>
      </c>
      <c r="B1149" s="1" t="s">
        <v>15</v>
      </c>
      <c r="C1149" s="6">
        <v>0</v>
      </c>
      <c r="D1149" s="6">
        <v>349670.64500000002</v>
      </c>
      <c r="E1149" s="6">
        <v>236646.21249999999</v>
      </c>
      <c r="F1149" s="6">
        <v>236646.21249999999</v>
      </c>
      <c r="G1149" s="7" t="s">
        <v>20</v>
      </c>
      <c r="H1149" s="1">
        <f t="shared" si="17"/>
        <v>0</v>
      </c>
    </row>
    <row r="1150" spans="1:8" x14ac:dyDescent="0.25">
      <c r="A1150" s="1" t="s">
        <v>12</v>
      </c>
      <c r="B1150" s="1" t="s">
        <v>15</v>
      </c>
      <c r="C1150" s="6">
        <v>0</v>
      </c>
      <c r="D1150" s="6">
        <v>72279.662500000006</v>
      </c>
      <c r="E1150" s="6">
        <v>72279.662500000006</v>
      </c>
      <c r="F1150" s="6">
        <v>72279.662500000006</v>
      </c>
      <c r="G1150" s="7" t="s">
        <v>20</v>
      </c>
      <c r="H1150" s="1">
        <f t="shared" si="17"/>
        <v>0</v>
      </c>
    </row>
    <row r="1151" spans="1:8" x14ac:dyDescent="0.25">
      <c r="A1151" s="1" t="s">
        <v>12</v>
      </c>
      <c r="B1151" s="1" t="s">
        <v>15</v>
      </c>
      <c r="C1151" s="6">
        <v>1754000</v>
      </c>
      <c r="D1151" s="6">
        <v>0</v>
      </c>
      <c r="E1151" s="6">
        <v>0</v>
      </c>
      <c r="F1151" s="6">
        <v>0</v>
      </c>
      <c r="G1151" s="7" t="s">
        <v>20</v>
      </c>
      <c r="H1151" s="1">
        <f t="shared" si="17"/>
        <v>0</v>
      </c>
    </row>
    <row r="1152" spans="1:8" x14ac:dyDescent="0.25">
      <c r="A1152" s="1" t="s">
        <v>12</v>
      </c>
      <c r="B1152" s="1" t="s">
        <v>15</v>
      </c>
      <c r="C1152" s="6">
        <v>175250</v>
      </c>
      <c r="D1152" s="6">
        <v>39584.197500000002</v>
      </c>
      <c r="E1152" s="6">
        <v>35978.087500000001</v>
      </c>
      <c r="F1152" s="6">
        <v>35978.087500000001</v>
      </c>
      <c r="G1152" s="7" t="s">
        <v>20</v>
      </c>
      <c r="H1152" s="1">
        <f t="shared" si="17"/>
        <v>0.22587273894436521</v>
      </c>
    </row>
    <row r="1153" spans="1:8" x14ac:dyDescent="0.25">
      <c r="A1153" s="1" t="s">
        <v>12</v>
      </c>
      <c r="B1153" s="1" t="s">
        <v>15</v>
      </c>
      <c r="C1153" s="6">
        <v>6572250</v>
      </c>
      <c r="D1153" s="6">
        <v>947118.79749999999</v>
      </c>
      <c r="E1153" s="6">
        <v>390879.44</v>
      </c>
      <c r="F1153" s="6">
        <v>365576.44</v>
      </c>
      <c r="G1153" s="7" t="s">
        <v>20</v>
      </c>
      <c r="H1153" s="1">
        <f t="shared" si="17"/>
        <v>0.14410875993761649</v>
      </c>
    </row>
    <row r="1154" spans="1:8" x14ac:dyDescent="0.25">
      <c r="A1154" s="1" t="s">
        <v>12</v>
      </c>
      <c r="B1154" s="1" t="s">
        <v>15</v>
      </c>
      <c r="C1154" s="6">
        <v>8275750</v>
      </c>
      <c r="D1154" s="6">
        <v>2779987.2050000001</v>
      </c>
      <c r="E1154" s="6">
        <v>1514822.78</v>
      </c>
      <c r="F1154" s="6">
        <v>1373442.2175</v>
      </c>
      <c r="G1154" s="7" t="s">
        <v>20</v>
      </c>
      <c r="H1154" s="1">
        <f t="shared" ref="H1154:H1217" si="18">IF(OR(ISNA($D1154),ISNA($C1154),$C1154=0),0,$D1154/$C1154)</f>
        <v>0.33591966951635804</v>
      </c>
    </row>
    <row r="1155" spans="1:8" x14ac:dyDescent="0.25">
      <c r="A1155" s="1" t="s">
        <v>12</v>
      </c>
      <c r="B1155" s="1" t="s">
        <v>15</v>
      </c>
      <c r="C1155" s="6">
        <v>946000</v>
      </c>
      <c r="D1155" s="6">
        <v>1161540.93</v>
      </c>
      <c r="E1155" s="6">
        <v>790070.18</v>
      </c>
      <c r="F1155" s="6">
        <v>790070.18</v>
      </c>
      <c r="G1155" s="7" t="s">
        <v>20</v>
      </c>
      <c r="H1155" s="1">
        <f t="shared" si="18"/>
        <v>1.2278445348837208</v>
      </c>
    </row>
    <row r="1156" spans="1:8" x14ac:dyDescent="0.25">
      <c r="A1156" s="1" t="s">
        <v>12</v>
      </c>
      <c r="B1156" s="1" t="s">
        <v>15</v>
      </c>
      <c r="C1156" s="6">
        <v>619125</v>
      </c>
      <c r="D1156" s="6">
        <v>4250</v>
      </c>
      <c r="E1156" s="6">
        <v>0</v>
      </c>
      <c r="F1156" s="6">
        <v>0</v>
      </c>
      <c r="G1156" s="7" t="s">
        <v>20</v>
      </c>
      <c r="H1156" s="1">
        <f t="shared" si="18"/>
        <v>6.8645265495659198E-3</v>
      </c>
    </row>
    <row r="1157" spans="1:8" x14ac:dyDescent="0.25">
      <c r="A1157" s="1" t="s">
        <v>12</v>
      </c>
      <c r="B1157" s="1" t="s">
        <v>15</v>
      </c>
      <c r="C1157" s="6">
        <v>8103250</v>
      </c>
      <c r="D1157" s="6">
        <v>752917.78749999998</v>
      </c>
      <c r="E1157" s="6">
        <v>424535.15250000003</v>
      </c>
      <c r="F1157" s="6">
        <v>423529.84</v>
      </c>
      <c r="G1157" s="7" t="s">
        <v>20</v>
      </c>
      <c r="H1157" s="1">
        <f t="shared" si="18"/>
        <v>9.2915532348131921E-2</v>
      </c>
    </row>
    <row r="1158" spans="1:8" x14ac:dyDescent="0.25">
      <c r="A1158" s="1" t="s">
        <v>12</v>
      </c>
      <c r="B1158" s="1" t="s">
        <v>15</v>
      </c>
      <c r="C1158" s="6">
        <v>2142175</v>
      </c>
      <c r="D1158" s="6">
        <v>508104.07750000001</v>
      </c>
      <c r="E1158" s="6">
        <v>400740.51750000002</v>
      </c>
      <c r="F1158" s="6">
        <v>399900.03249999997</v>
      </c>
      <c r="G1158" s="7" t="s">
        <v>20</v>
      </c>
      <c r="H1158" s="1">
        <f t="shared" si="18"/>
        <v>0.23719074188616709</v>
      </c>
    </row>
    <row r="1159" spans="1:8" x14ac:dyDescent="0.25">
      <c r="A1159" s="1" t="s">
        <v>12</v>
      </c>
      <c r="B1159" s="1" t="s">
        <v>15</v>
      </c>
      <c r="C1159" s="6">
        <v>1967000</v>
      </c>
      <c r="D1159" s="6">
        <v>1767543.5874999999</v>
      </c>
      <c r="E1159" s="6">
        <v>1635092.1625000001</v>
      </c>
      <c r="F1159" s="6">
        <v>1635092.1625000001</v>
      </c>
      <c r="G1159" s="7" t="s">
        <v>20</v>
      </c>
      <c r="H1159" s="1">
        <f t="shared" si="18"/>
        <v>0.89859867183528208</v>
      </c>
    </row>
    <row r="1160" spans="1:8" x14ac:dyDescent="0.25">
      <c r="A1160" s="1" t="s">
        <v>12</v>
      </c>
      <c r="B1160" s="1" t="s">
        <v>15</v>
      </c>
      <c r="C1160" s="6">
        <v>535966.25</v>
      </c>
      <c r="D1160" s="6">
        <v>427338.03249999997</v>
      </c>
      <c r="E1160" s="6">
        <v>291937.42</v>
      </c>
      <c r="F1160" s="6">
        <v>287738.29499999998</v>
      </c>
      <c r="G1160" s="7" t="s">
        <v>20</v>
      </c>
      <c r="H1160" s="1">
        <f t="shared" si="18"/>
        <v>0.79732265324542351</v>
      </c>
    </row>
    <row r="1161" spans="1:8" x14ac:dyDescent="0.25">
      <c r="A1161" s="1" t="s">
        <v>12</v>
      </c>
      <c r="B1161" s="1" t="s">
        <v>15</v>
      </c>
      <c r="C1161" s="6">
        <v>28012496</v>
      </c>
      <c r="D1161" s="6">
        <v>27257529.045000002</v>
      </c>
      <c r="E1161" s="6">
        <v>26975425.390000001</v>
      </c>
      <c r="F1161" s="6">
        <v>24929598.774999999</v>
      </c>
      <c r="G1161" s="7" t="s">
        <v>20</v>
      </c>
      <c r="H1161" s="1">
        <f t="shared" si="18"/>
        <v>0.97304892234522766</v>
      </c>
    </row>
    <row r="1162" spans="1:8" x14ac:dyDescent="0.25">
      <c r="A1162" s="1" t="s">
        <v>12</v>
      </c>
      <c r="B1162" s="1" t="s">
        <v>15</v>
      </c>
      <c r="C1162" s="6">
        <v>2711254.25</v>
      </c>
      <c r="D1162" s="6">
        <v>1924576.2050000001</v>
      </c>
      <c r="E1162" s="6">
        <v>1057831.2925</v>
      </c>
      <c r="F1162" s="6">
        <v>1057831.2925</v>
      </c>
      <c r="G1162" s="7" t="s">
        <v>20</v>
      </c>
      <c r="H1162" s="1">
        <f t="shared" si="18"/>
        <v>0.70984718788361512</v>
      </c>
    </row>
    <row r="1163" spans="1:8" x14ac:dyDescent="0.25">
      <c r="A1163" s="1" t="s">
        <v>12</v>
      </c>
      <c r="B1163" s="1" t="s">
        <v>15</v>
      </c>
      <c r="C1163" s="6">
        <v>8000</v>
      </c>
      <c r="D1163" s="6">
        <v>0</v>
      </c>
      <c r="E1163" s="6">
        <v>0</v>
      </c>
      <c r="F1163" s="6">
        <v>0</v>
      </c>
      <c r="G1163" s="7" t="s">
        <v>20</v>
      </c>
      <c r="H1163" s="1">
        <f t="shared" si="18"/>
        <v>0</v>
      </c>
    </row>
    <row r="1164" spans="1:8" x14ac:dyDescent="0.25">
      <c r="A1164" s="1" t="s">
        <v>12</v>
      </c>
      <c r="B1164" s="1" t="s">
        <v>15</v>
      </c>
      <c r="C1164" s="6">
        <v>350840.75</v>
      </c>
      <c r="D1164" s="6">
        <v>316879.625</v>
      </c>
      <c r="E1164" s="6">
        <v>203590.43</v>
      </c>
      <c r="F1164" s="6">
        <v>198279.495</v>
      </c>
      <c r="G1164" s="7" t="s">
        <v>20</v>
      </c>
      <c r="H1164" s="1">
        <f t="shared" si="18"/>
        <v>0.90320073993685168</v>
      </c>
    </row>
    <row r="1165" spans="1:8" x14ac:dyDescent="0.25">
      <c r="A1165" s="1" t="s">
        <v>12</v>
      </c>
      <c r="B1165" s="1" t="s">
        <v>15</v>
      </c>
      <c r="C1165" s="6">
        <v>151183.5</v>
      </c>
      <c r="D1165" s="6">
        <v>0</v>
      </c>
      <c r="E1165" s="6">
        <v>0</v>
      </c>
      <c r="F1165" s="6">
        <v>0</v>
      </c>
      <c r="G1165" s="7" t="s">
        <v>20</v>
      </c>
      <c r="H1165" s="1">
        <f t="shared" si="18"/>
        <v>0</v>
      </c>
    </row>
    <row r="1166" spans="1:8" x14ac:dyDescent="0.25">
      <c r="A1166" s="1" t="s">
        <v>12</v>
      </c>
      <c r="B1166" s="1" t="s">
        <v>15</v>
      </c>
      <c r="C1166" s="6">
        <v>27500</v>
      </c>
      <c r="D1166" s="6">
        <v>0</v>
      </c>
      <c r="E1166" s="6">
        <v>0</v>
      </c>
      <c r="F1166" s="6">
        <v>0</v>
      </c>
      <c r="G1166" s="7" t="s">
        <v>20</v>
      </c>
      <c r="H1166" s="1">
        <f t="shared" si="18"/>
        <v>0</v>
      </c>
    </row>
    <row r="1167" spans="1:8" x14ac:dyDescent="0.25">
      <c r="A1167" s="1" t="s">
        <v>12</v>
      </c>
      <c r="B1167" s="1" t="s">
        <v>15</v>
      </c>
      <c r="C1167" s="6">
        <v>57289011.25</v>
      </c>
      <c r="D1167" s="6">
        <v>41003735.8825</v>
      </c>
      <c r="E1167" s="6">
        <v>34121750.027500004</v>
      </c>
      <c r="F1167" s="6">
        <v>29595122.039999999</v>
      </c>
      <c r="G1167" s="7" t="s">
        <v>20</v>
      </c>
      <c r="H1167" s="1">
        <f t="shared" si="18"/>
        <v>0.71573474542205506</v>
      </c>
    </row>
    <row r="1168" spans="1:8" x14ac:dyDescent="0.25">
      <c r="A1168" s="1" t="s">
        <v>12</v>
      </c>
      <c r="B1168" s="1" t="s">
        <v>15</v>
      </c>
      <c r="C1168" s="6">
        <v>183757326</v>
      </c>
      <c r="D1168" s="6">
        <v>179445249.75749999</v>
      </c>
      <c r="E1168" s="6">
        <v>175242261.58000001</v>
      </c>
      <c r="F1168" s="6">
        <v>162065285.1925</v>
      </c>
      <c r="G1168" s="7" t="s">
        <v>20</v>
      </c>
      <c r="H1168" s="1">
        <f t="shared" si="18"/>
        <v>0.97653385398903769</v>
      </c>
    </row>
    <row r="1169" spans="1:8" x14ac:dyDescent="0.25">
      <c r="A1169" s="1" t="s">
        <v>12</v>
      </c>
      <c r="B1169" s="1" t="s">
        <v>15</v>
      </c>
      <c r="C1169" s="6">
        <v>12754961.75</v>
      </c>
      <c r="D1169" s="6">
        <v>13142794.1625</v>
      </c>
      <c r="E1169" s="6">
        <v>11726278.49</v>
      </c>
      <c r="F1169" s="6">
        <v>10846673.3125</v>
      </c>
      <c r="G1169" s="7" t="s">
        <v>20</v>
      </c>
      <c r="H1169" s="1">
        <f t="shared" si="18"/>
        <v>1.0304063955738636</v>
      </c>
    </row>
    <row r="1170" spans="1:8" x14ac:dyDescent="0.25">
      <c r="A1170" s="1" t="s">
        <v>12</v>
      </c>
      <c r="B1170" s="1" t="s">
        <v>15</v>
      </c>
      <c r="C1170" s="6">
        <v>56246970.5</v>
      </c>
      <c r="D1170" s="6">
        <v>58449456.317500003</v>
      </c>
      <c r="E1170" s="6">
        <v>55886675.597499996</v>
      </c>
      <c r="F1170" s="6">
        <v>51824254.094999999</v>
      </c>
      <c r="G1170" s="7" t="s">
        <v>20</v>
      </c>
      <c r="H1170" s="1">
        <f t="shared" si="18"/>
        <v>1.0391574123534351</v>
      </c>
    </row>
    <row r="1171" spans="1:8" x14ac:dyDescent="0.25">
      <c r="A1171" s="1" t="s">
        <v>12</v>
      </c>
      <c r="B1171" s="1" t="s">
        <v>15</v>
      </c>
      <c r="C1171" s="6">
        <v>418617</v>
      </c>
      <c r="D1171" s="6">
        <v>512020.46750000003</v>
      </c>
      <c r="E1171" s="6">
        <v>320827.96250000002</v>
      </c>
      <c r="F1171" s="6">
        <v>310341.61249999999</v>
      </c>
      <c r="G1171" s="7" t="s">
        <v>20</v>
      </c>
      <c r="H1171" s="1">
        <f t="shared" si="18"/>
        <v>1.2231239235387001</v>
      </c>
    </row>
    <row r="1172" spans="1:8" x14ac:dyDescent="0.25">
      <c r="A1172" s="1" t="s">
        <v>12</v>
      </c>
      <c r="B1172" s="1" t="s">
        <v>15</v>
      </c>
      <c r="C1172" s="6">
        <v>1179072</v>
      </c>
      <c r="D1172" s="6">
        <v>983509.45250000001</v>
      </c>
      <c r="E1172" s="6">
        <v>797049.04</v>
      </c>
      <c r="F1172" s="6">
        <v>671308.78749999998</v>
      </c>
      <c r="G1172" s="7" t="s">
        <v>20</v>
      </c>
      <c r="H1172" s="1">
        <f t="shared" si="18"/>
        <v>0.83413858738058411</v>
      </c>
    </row>
    <row r="1173" spans="1:8" x14ac:dyDescent="0.25">
      <c r="A1173" s="1" t="s">
        <v>12</v>
      </c>
      <c r="B1173" s="1" t="s">
        <v>15</v>
      </c>
      <c r="C1173" s="6">
        <v>8842453.25</v>
      </c>
      <c r="D1173" s="6">
        <v>9718155.5124999993</v>
      </c>
      <c r="E1173" s="6">
        <v>7045704.9974999996</v>
      </c>
      <c r="F1173" s="6">
        <v>5566828.6100000003</v>
      </c>
      <c r="G1173" s="7" t="s">
        <v>20</v>
      </c>
      <c r="H1173" s="1">
        <f t="shared" si="18"/>
        <v>1.0990338583356376</v>
      </c>
    </row>
    <row r="1174" spans="1:8" x14ac:dyDescent="0.25">
      <c r="A1174" s="1" t="s">
        <v>12</v>
      </c>
      <c r="B1174" s="1" t="s">
        <v>15</v>
      </c>
      <c r="C1174" s="6">
        <v>2535000</v>
      </c>
      <c r="D1174" s="6">
        <v>1808293.6675</v>
      </c>
      <c r="E1174" s="6">
        <v>1492127.5024999999</v>
      </c>
      <c r="F1174" s="6">
        <v>1466310.2775000001</v>
      </c>
      <c r="G1174" s="7" t="s">
        <v>20</v>
      </c>
      <c r="H1174" s="1">
        <f t="shared" si="18"/>
        <v>0.71333083530571995</v>
      </c>
    </row>
    <row r="1175" spans="1:8" x14ac:dyDescent="0.25">
      <c r="A1175" s="1" t="s">
        <v>12</v>
      </c>
      <c r="B1175" s="1" t="s">
        <v>15</v>
      </c>
      <c r="C1175" s="6">
        <v>3374396.25</v>
      </c>
      <c r="D1175" s="6">
        <v>1808981.6575</v>
      </c>
      <c r="E1175" s="6">
        <v>1551128.2925</v>
      </c>
      <c r="F1175" s="6">
        <v>1434705.6924999999</v>
      </c>
      <c r="G1175" s="7" t="s">
        <v>20</v>
      </c>
      <c r="H1175" s="1">
        <f t="shared" si="18"/>
        <v>0.53609046581295838</v>
      </c>
    </row>
    <row r="1176" spans="1:8" x14ac:dyDescent="0.25">
      <c r="A1176" s="1" t="s">
        <v>12</v>
      </c>
      <c r="B1176" s="1" t="s">
        <v>15</v>
      </c>
      <c r="C1176" s="6">
        <v>28750</v>
      </c>
      <c r="D1176" s="6">
        <v>0</v>
      </c>
      <c r="E1176" s="6">
        <v>0</v>
      </c>
      <c r="F1176" s="6">
        <v>0</v>
      </c>
      <c r="G1176" s="7" t="s">
        <v>20</v>
      </c>
      <c r="H1176" s="1">
        <f t="shared" si="18"/>
        <v>0</v>
      </c>
    </row>
    <row r="1177" spans="1:8" x14ac:dyDescent="0.25">
      <c r="A1177" s="1" t="s">
        <v>12</v>
      </c>
      <c r="B1177" s="1" t="s">
        <v>15</v>
      </c>
      <c r="C1177" s="6">
        <v>375000</v>
      </c>
      <c r="D1177" s="6">
        <v>0</v>
      </c>
      <c r="E1177" s="6">
        <v>0</v>
      </c>
      <c r="F1177" s="6">
        <v>0</v>
      </c>
      <c r="G1177" s="7" t="s">
        <v>20</v>
      </c>
      <c r="H1177" s="1">
        <f t="shared" si="18"/>
        <v>0</v>
      </c>
    </row>
    <row r="1178" spans="1:8" x14ac:dyDescent="0.25">
      <c r="A1178" s="1" t="s">
        <v>12</v>
      </c>
      <c r="B1178" s="1" t="s">
        <v>15</v>
      </c>
      <c r="C1178" s="6">
        <v>50000</v>
      </c>
      <c r="D1178" s="6">
        <v>0</v>
      </c>
      <c r="E1178" s="6">
        <v>0</v>
      </c>
      <c r="F1178" s="6">
        <v>0</v>
      </c>
      <c r="G1178" s="7" t="s">
        <v>20</v>
      </c>
      <c r="H1178" s="1">
        <f t="shared" si="18"/>
        <v>0</v>
      </c>
    </row>
    <row r="1179" spans="1:8" x14ac:dyDescent="0.25">
      <c r="A1179" s="1" t="s">
        <v>12</v>
      </c>
      <c r="B1179" s="1" t="s">
        <v>15</v>
      </c>
      <c r="C1179" s="6">
        <v>3581750</v>
      </c>
      <c r="D1179" s="6">
        <v>2683340.0499999998</v>
      </c>
      <c r="E1179" s="6">
        <v>2367658.5274999999</v>
      </c>
      <c r="F1179" s="6">
        <v>2091674.2925</v>
      </c>
      <c r="G1179" s="7" t="s">
        <v>20</v>
      </c>
      <c r="H1179" s="1">
        <f t="shared" si="18"/>
        <v>0.74917011237523556</v>
      </c>
    </row>
    <row r="1180" spans="1:8" x14ac:dyDescent="0.25">
      <c r="A1180" s="1" t="s">
        <v>12</v>
      </c>
      <c r="B1180" s="1" t="s">
        <v>15</v>
      </c>
      <c r="C1180" s="6">
        <v>94870000</v>
      </c>
      <c r="D1180" s="6">
        <v>118073986.015</v>
      </c>
      <c r="E1180" s="6">
        <v>96084035.879999995</v>
      </c>
      <c r="F1180" s="6">
        <v>93247048.019999996</v>
      </c>
      <c r="G1180" s="7" t="s">
        <v>20</v>
      </c>
      <c r="H1180" s="1">
        <f t="shared" si="18"/>
        <v>1.2445871826183199</v>
      </c>
    </row>
    <row r="1181" spans="1:8" x14ac:dyDescent="0.25">
      <c r="A1181" s="1" t="s">
        <v>12</v>
      </c>
      <c r="B1181" s="1" t="s">
        <v>15</v>
      </c>
      <c r="C1181" s="6">
        <v>127500</v>
      </c>
      <c r="D1181" s="6">
        <v>0</v>
      </c>
      <c r="E1181" s="6">
        <v>0</v>
      </c>
      <c r="F1181" s="6">
        <v>0</v>
      </c>
      <c r="G1181" s="7" t="s">
        <v>20</v>
      </c>
      <c r="H1181" s="1">
        <f t="shared" si="18"/>
        <v>0</v>
      </c>
    </row>
    <row r="1182" spans="1:8" x14ac:dyDescent="0.25">
      <c r="A1182" s="1" t="s">
        <v>12</v>
      </c>
      <c r="B1182" s="1" t="s">
        <v>15</v>
      </c>
      <c r="C1182" s="6">
        <v>6333935</v>
      </c>
      <c r="D1182" s="6">
        <v>6186899.5824999996</v>
      </c>
      <c r="E1182" s="6">
        <v>5510304.8375000004</v>
      </c>
      <c r="F1182" s="6">
        <v>3807328.82</v>
      </c>
      <c r="G1182" s="7" t="s">
        <v>20</v>
      </c>
      <c r="H1182" s="1">
        <f t="shared" si="18"/>
        <v>0.97678608676912526</v>
      </c>
    </row>
    <row r="1183" spans="1:8" x14ac:dyDescent="0.25">
      <c r="A1183" s="1" t="s">
        <v>12</v>
      </c>
      <c r="B1183" s="1" t="s">
        <v>15</v>
      </c>
      <c r="C1183" s="6">
        <v>28718241.25</v>
      </c>
      <c r="D1183" s="6">
        <v>21428149.997499999</v>
      </c>
      <c r="E1183" s="6">
        <v>17606824.642499998</v>
      </c>
      <c r="F1183" s="6">
        <v>15728795.545</v>
      </c>
      <c r="G1183" s="7" t="s">
        <v>20</v>
      </c>
      <c r="H1183" s="1">
        <f t="shared" si="18"/>
        <v>0.7461511939732729</v>
      </c>
    </row>
    <row r="1184" spans="1:8" x14ac:dyDescent="0.25">
      <c r="A1184" s="1" t="s">
        <v>12</v>
      </c>
      <c r="B1184" s="1" t="s">
        <v>15</v>
      </c>
      <c r="C1184" s="6">
        <v>2987000</v>
      </c>
      <c r="D1184" s="6">
        <v>2581658.0125000002</v>
      </c>
      <c r="E1184" s="6">
        <v>2130439.92</v>
      </c>
      <c r="F1184" s="6">
        <v>2130439.92</v>
      </c>
      <c r="G1184" s="7" t="s">
        <v>20</v>
      </c>
      <c r="H1184" s="1">
        <f t="shared" si="18"/>
        <v>0.86429796200200881</v>
      </c>
    </row>
    <row r="1185" spans="1:8" x14ac:dyDescent="0.25">
      <c r="A1185" s="1" t="s">
        <v>12</v>
      </c>
      <c r="B1185" s="1" t="s">
        <v>15</v>
      </c>
      <c r="C1185" s="6">
        <v>6016340</v>
      </c>
      <c r="D1185" s="6">
        <v>3727714.5825</v>
      </c>
      <c r="E1185" s="6">
        <v>3107521.5674999999</v>
      </c>
      <c r="F1185" s="6">
        <v>3107521.5674999999</v>
      </c>
      <c r="G1185" s="7" t="s">
        <v>20</v>
      </c>
      <c r="H1185" s="1">
        <f t="shared" si="18"/>
        <v>0.61959839079905721</v>
      </c>
    </row>
    <row r="1186" spans="1:8" x14ac:dyDescent="0.25">
      <c r="A1186" s="1" t="s">
        <v>12</v>
      </c>
      <c r="B1186" s="1" t="s">
        <v>15</v>
      </c>
      <c r="C1186" s="6">
        <v>303536250</v>
      </c>
      <c r="D1186" s="6">
        <v>359745454.34750003</v>
      </c>
      <c r="E1186" s="6">
        <v>286845114.41250002</v>
      </c>
      <c r="F1186" s="6">
        <v>277117656.81999999</v>
      </c>
      <c r="G1186" s="7" t="s">
        <v>20</v>
      </c>
      <c r="H1186" s="1">
        <f t="shared" si="18"/>
        <v>1.1851811912003922</v>
      </c>
    </row>
    <row r="1187" spans="1:8" x14ac:dyDescent="0.25">
      <c r="A1187" s="1" t="s">
        <v>12</v>
      </c>
      <c r="B1187" s="1" t="s">
        <v>15</v>
      </c>
      <c r="C1187" s="6">
        <v>7436250</v>
      </c>
      <c r="D1187" s="6">
        <v>2031940.4650000001</v>
      </c>
      <c r="E1187" s="6">
        <v>1811230.9775</v>
      </c>
      <c r="F1187" s="6">
        <v>1769712.5024999999</v>
      </c>
      <c r="G1187" s="7" t="s">
        <v>20</v>
      </c>
      <c r="H1187" s="1">
        <f t="shared" si="18"/>
        <v>0.27324800336190957</v>
      </c>
    </row>
    <row r="1188" spans="1:8" x14ac:dyDescent="0.25">
      <c r="A1188" s="1" t="s">
        <v>12</v>
      </c>
      <c r="B1188" s="1" t="s">
        <v>15</v>
      </c>
      <c r="C1188" s="6">
        <v>80808947.5</v>
      </c>
      <c r="D1188" s="6">
        <v>81934694.569999993</v>
      </c>
      <c r="E1188" s="6">
        <v>73541307.932500005</v>
      </c>
      <c r="F1188" s="6">
        <v>72915368.075000003</v>
      </c>
      <c r="G1188" s="7" t="s">
        <v>20</v>
      </c>
      <c r="H1188" s="1">
        <f t="shared" si="18"/>
        <v>1.013930970577237</v>
      </c>
    </row>
    <row r="1189" spans="1:8" x14ac:dyDescent="0.25">
      <c r="A1189" s="1" t="s">
        <v>12</v>
      </c>
      <c r="B1189" s="1" t="s">
        <v>15</v>
      </c>
      <c r="C1189" s="6">
        <v>17500</v>
      </c>
      <c r="D1189" s="6">
        <v>11129.62</v>
      </c>
      <c r="E1189" s="6">
        <v>10129.995000000001</v>
      </c>
      <c r="F1189" s="6">
        <v>10129.995000000001</v>
      </c>
      <c r="G1189" s="7" t="s">
        <v>20</v>
      </c>
      <c r="H1189" s="1">
        <f t="shared" si="18"/>
        <v>0.63597828571428572</v>
      </c>
    </row>
    <row r="1190" spans="1:8" x14ac:dyDescent="0.25">
      <c r="A1190" s="1" t="s">
        <v>12</v>
      </c>
      <c r="B1190" s="1" t="s">
        <v>15</v>
      </c>
      <c r="C1190" s="6">
        <v>43639397.5</v>
      </c>
      <c r="D1190" s="6">
        <v>25208923.6875</v>
      </c>
      <c r="E1190" s="6">
        <v>22534635.52</v>
      </c>
      <c r="F1190" s="6">
        <v>21716778.274999999</v>
      </c>
      <c r="G1190" s="7" t="s">
        <v>20</v>
      </c>
      <c r="H1190" s="1">
        <f t="shared" si="18"/>
        <v>0.57766433845701004</v>
      </c>
    </row>
    <row r="1191" spans="1:8" x14ac:dyDescent="0.25">
      <c r="A1191" s="1" t="s">
        <v>12</v>
      </c>
      <c r="B1191" s="1" t="s">
        <v>15</v>
      </c>
      <c r="C1191" s="6">
        <v>29047544.75</v>
      </c>
      <c r="D1191" s="6">
        <v>27634049.1325</v>
      </c>
      <c r="E1191" s="6">
        <v>25266908.835000001</v>
      </c>
      <c r="F1191" s="6">
        <v>25266908.835000001</v>
      </c>
      <c r="G1191" s="7" t="s">
        <v>20</v>
      </c>
      <c r="H1191" s="1">
        <f t="shared" si="18"/>
        <v>0.95133855099749864</v>
      </c>
    </row>
    <row r="1192" spans="1:8" x14ac:dyDescent="0.25">
      <c r="A1192" s="1" t="s">
        <v>12</v>
      </c>
      <c r="B1192" s="1" t="s">
        <v>15</v>
      </c>
      <c r="C1192" s="6">
        <v>8049219.25</v>
      </c>
      <c r="D1192" s="6">
        <v>7803409.7050000001</v>
      </c>
      <c r="E1192" s="6">
        <v>5444496.8274999997</v>
      </c>
      <c r="F1192" s="6">
        <v>5016751.8274999997</v>
      </c>
      <c r="G1192" s="7" t="s">
        <v>20</v>
      </c>
      <c r="H1192" s="1">
        <f t="shared" si="18"/>
        <v>0.96946169095841195</v>
      </c>
    </row>
    <row r="1193" spans="1:8" x14ac:dyDescent="0.25">
      <c r="A1193" s="1" t="s">
        <v>12</v>
      </c>
      <c r="B1193" s="1" t="s">
        <v>15</v>
      </c>
      <c r="C1193" s="6">
        <v>165632</v>
      </c>
      <c r="D1193" s="6">
        <v>42112.945</v>
      </c>
      <c r="E1193" s="6">
        <v>25434.677500000002</v>
      </c>
      <c r="F1193" s="6">
        <v>22955.9025</v>
      </c>
      <c r="G1193" s="7" t="s">
        <v>20</v>
      </c>
      <c r="H1193" s="1">
        <f t="shared" si="18"/>
        <v>0.25425609181800618</v>
      </c>
    </row>
    <row r="1194" spans="1:8" x14ac:dyDescent="0.25">
      <c r="A1194" s="1" t="s">
        <v>12</v>
      </c>
      <c r="B1194" s="1" t="s">
        <v>15</v>
      </c>
      <c r="C1194" s="6">
        <v>995386.25</v>
      </c>
      <c r="D1194" s="6">
        <v>625652.42500000005</v>
      </c>
      <c r="E1194" s="6">
        <v>523230.29249999998</v>
      </c>
      <c r="F1194" s="6">
        <v>471549.6925</v>
      </c>
      <c r="G1194" s="7" t="s">
        <v>20</v>
      </c>
      <c r="H1194" s="1">
        <f t="shared" si="18"/>
        <v>0.62855240867552675</v>
      </c>
    </row>
    <row r="1195" spans="1:8" x14ac:dyDescent="0.25">
      <c r="A1195" s="1" t="s">
        <v>12</v>
      </c>
      <c r="B1195" s="1" t="s">
        <v>15</v>
      </c>
      <c r="C1195" s="6">
        <v>5409916</v>
      </c>
      <c r="D1195" s="6">
        <v>3763553.38</v>
      </c>
      <c r="E1195" s="6">
        <v>3273341.3725000001</v>
      </c>
      <c r="F1195" s="6">
        <v>3098306.08</v>
      </c>
      <c r="G1195" s="7" t="s">
        <v>20</v>
      </c>
      <c r="H1195" s="1">
        <f t="shared" si="18"/>
        <v>0.69567686078674784</v>
      </c>
    </row>
    <row r="1196" spans="1:8" x14ac:dyDescent="0.25">
      <c r="A1196" s="1" t="s">
        <v>12</v>
      </c>
      <c r="B1196" s="1" t="s">
        <v>15</v>
      </c>
      <c r="C1196" s="6">
        <v>26730784</v>
      </c>
      <c r="D1196" s="6">
        <v>26818712.432500001</v>
      </c>
      <c r="E1196" s="6">
        <v>25576225.447500002</v>
      </c>
      <c r="F1196" s="6">
        <v>24067195.715</v>
      </c>
      <c r="G1196" s="7" t="s">
        <v>20</v>
      </c>
      <c r="H1196" s="1">
        <f t="shared" si="18"/>
        <v>1.0032894071681548</v>
      </c>
    </row>
    <row r="1197" spans="1:8" x14ac:dyDescent="0.25">
      <c r="A1197" s="1" t="s">
        <v>12</v>
      </c>
      <c r="B1197" s="1" t="s">
        <v>15</v>
      </c>
      <c r="C1197" s="6">
        <v>3054091.25</v>
      </c>
      <c r="D1197" s="6">
        <v>2079436.3825000001</v>
      </c>
      <c r="E1197" s="6">
        <v>1898938.71</v>
      </c>
      <c r="F1197" s="6">
        <v>1814190.48</v>
      </c>
      <c r="G1197" s="7" t="s">
        <v>20</v>
      </c>
      <c r="H1197" s="1">
        <f t="shared" si="18"/>
        <v>0.6808691071362063</v>
      </c>
    </row>
    <row r="1198" spans="1:8" x14ac:dyDescent="0.25">
      <c r="A1198" s="1" t="s">
        <v>12</v>
      </c>
      <c r="B1198" s="1" t="s">
        <v>15</v>
      </c>
      <c r="C1198" s="6">
        <v>883747.25</v>
      </c>
      <c r="D1198" s="6">
        <v>609009.77249999996</v>
      </c>
      <c r="E1198" s="6">
        <v>601214.68500000006</v>
      </c>
      <c r="F1198" s="6">
        <v>481633.42749999999</v>
      </c>
      <c r="G1198" s="7" t="s">
        <v>20</v>
      </c>
      <c r="H1198" s="1">
        <f t="shared" si="18"/>
        <v>0.68912211325127171</v>
      </c>
    </row>
    <row r="1199" spans="1:8" x14ac:dyDescent="0.25">
      <c r="A1199" s="1" t="s">
        <v>12</v>
      </c>
      <c r="B1199" s="1" t="s">
        <v>15</v>
      </c>
      <c r="C1199" s="6">
        <v>137500</v>
      </c>
      <c r="D1199" s="6">
        <v>10618578.1625</v>
      </c>
      <c r="E1199" s="6">
        <v>9165411.1349999998</v>
      </c>
      <c r="F1199" s="6">
        <v>9029763.3249999993</v>
      </c>
      <c r="G1199" s="7" t="s">
        <v>20</v>
      </c>
      <c r="H1199" s="1">
        <f t="shared" si="18"/>
        <v>77.226022999999998</v>
      </c>
    </row>
    <row r="1200" spans="1:8" x14ac:dyDescent="0.25">
      <c r="A1200" s="1" t="s">
        <v>7</v>
      </c>
      <c r="B1200" s="1" t="s">
        <v>8</v>
      </c>
      <c r="C1200" s="6">
        <v>1000000</v>
      </c>
      <c r="D1200" s="6">
        <v>504258.21</v>
      </c>
      <c r="E1200" s="6">
        <v>219043.61</v>
      </c>
      <c r="F1200" s="6">
        <v>219043.61</v>
      </c>
      <c r="G1200" s="7" t="s">
        <v>21</v>
      </c>
      <c r="H1200" s="1">
        <f t="shared" si="18"/>
        <v>0.50425821000000004</v>
      </c>
    </row>
    <row r="1201" spans="1:8" x14ac:dyDescent="0.25">
      <c r="A1201" s="1" t="s">
        <v>7</v>
      </c>
      <c r="B1201" s="1" t="s">
        <v>8</v>
      </c>
      <c r="C1201" s="6">
        <v>133000</v>
      </c>
      <c r="D1201" s="6">
        <v>0</v>
      </c>
      <c r="E1201" s="6">
        <v>0</v>
      </c>
      <c r="F1201" s="6">
        <v>0</v>
      </c>
      <c r="G1201" s="7" t="s">
        <v>21</v>
      </c>
      <c r="H1201" s="1">
        <f t="shared" si="18"/>
        <v>0</v>
      </c>
    </row>
    <row r="1202" spans="1:8" x14ac:dyDescent="0.25">
      <c r="A1202" s="1" t="s">
        <v>7</v>
      </c>
      <c r="B1202" s="1" t="s">
        <v>8</v>
      </c>
      <c r="C1202" s="6">
        <v>8750</v>
      </c>
      <c r="D1202" s="6">
        <v>0</v>
      </c>
      <c r="E1202" s="6">
        <v>0</v>
      </c>
      <c r="F1202" s="6">
        <v>0</v>
      </c>
      <c r="G1202" s="7" t="s">
        <v>21</v>
      </c>
      <c r="H1202" s="1">
        <f t="shared" si="18"/>
        <v>0</v>
      </c>
    </row>
    <row r="1203" spans="1:8" x14ac:dyDescent="0.25">
      <c r="A1203" s="1" t="s">
        <v>7</v>
      </c>
      <c r="B1203" s="1" t="s">
        <v>8</v>
      </c>
      <c r="C1203" s="6">
        <v>27000</v>
      </c>
      <c r="D1203" s="6">
        <v>434.07</v>
      </c>
      <c r="E1203" s="6">
        <v>434.07</v>
      </c>
      <c r="F1203" s="6">
        <v>434.07</v>
      </c>
      <c r="G1203" s="7" t="s">
        <v>21</v>
      </c>
      <c r="H1203" s="1">
        <f t="shared" si="18"/>
        <v>1.6076666666666666E-2</v>
      </c>
    </row>
    <row r="1204" spans="1:8" x14ac:dyDescent="0.25">
      <c r="A1204" s="1" t="s">
        <v>7</v>
      </c>
      <c r="B1204" s="1" t="s">
        <v>8</v>
      </c>
      <c r="C1204" s="6">
        <v>2500</v>
      </c>
      <c r="D1204" s="6">
        <v>0</v>
      </c>
      <c r="E1204" s="6">
        <v>0</v>
      </c>
      <c r="F1204" s="6">
        <v>0</v>
      </c>
      <c r="G1204" s="7" t="s">
        <v>21</v>
      </c>
      <c r="H1204" s="1">
        <f t="shared" si="18"/>
        <v>0</v>
      </c>
    </row>
    <row r="1205" spans="1:8" x14ac:dyDescent="0.25">
      <c r="A1205" s="1" t="s">
        <v>7</v>
      </c>
      <c r="B1205" s="1" t="s">
        <v>8</v>
      </c>
      <c r="C1205" s="6">
        <v>630470</v>
      </c>
      <c r="D1205" s="6">
        <v>476176.2525</v>
      </c>
      <c r="E1205" s="6">
        <v>476176.2525</v>
      </c>
      <c r="F1205" s="6">
        <v>438488.29</v>
      </c>
      <c r="G1205" s="7" t="s">
        <v>21</v>
      </c>
      <c r="H1205" s="1">
        <f t="shared" si="18"/>
        <v>0.75527186464066487</v>
      </c>
    </row>
    <row r="1206" spans="1:8" x14ac:dyDescent="0.25">
      <c r="A1206" s="1" t="s">
        <v>7</v>
      </c>
      <c r="B1206" s="1" t="s">
        <v>8</v>
      </c>
      <c r="C1206" s="6">
        <v>24075</v>
      </c>
      <c r="D1206" s="6">
        <v>0</v>
      </c>
      <c r="E1206" s="6">
        <v>0</v>
      </c>
      <c r="F1206" s="6">
        <v>0</v>
      </c>
      <c r="G1206" s="7" t="s">
        <v>21</v>
      </c>
      <c r="H1206" s="1">
        <f t="shared" si="18"/>
        <v>0</v>
      </c>
    </row>
    <row r="1207" spans="1:8" x14ac:dyDescent="0.25">
      <c r="A1207" s="1" t="s">
        <v>7</v>
      </c>
      <c r="B1207" s="1" t="s">
        <v>8</v>
      </c>
      <c r="C1207" s="6">
        <v>6446186</v>
      </c>
      <c r="D1207" s="6">
        <v>6345012.3250000002</v>
      </c>
      <c r="E1207" s="6">
        <v>5398331.5625</v>
      </c>
      <c r="F1207" s="6">
        <v>5318250.335</v>
      </c>
      <c r="G1207" s="7" t="s">
        <v>21</v>
      </c>
      <c r="H1207" s="1">
        <f t="shared" si="18"/>
        <v>0.98430487810931921</v>
      </c>
    </row>
    <row r="1208" spans="1:8" x14ac:dyDescent="0.25">
      <c r="A1208" s="1" t="s">
        <v>7</v>
      </c>
      <c r="B1208" s="1" t="s">
        <v>8</v>
      </c>
      <c r="C1208" s="6">
        <v>217521</v>
      </c>
      <c r="D1208" s="6">
        <v>7450</v>
      </c>
      <c r="E1208" s="6">
        <v>7450</v>
      </c>
      <c r="F1208" s="6">
        <v>7450</v>
      </c>
      <c r="G1208" s="7" t="s">
        <v>21</v>
      </c>
      <c r="H1208" s="1">
        <f t="shared" si="18"/>
        <v>3.4249566708501711E-2</v>
      </c>
    </row>
    <row r="1209" spans="1:8" x14ac:dyDescent="0.25">
      <c r="A1209" s="1" t="s">
        <v>7</v>
      </c>
      <c r="B1209" s="1" t="s">
        <v>8</v>
      </c>
      <c r="C1209" s="6">
        <v>6250</v>
      </c>
      <c r="D1209" s="6">
        <v>12494.13</v>
      </c>
      <c r="E1209" s="6">
        <v>0</v>
      </c>
      <c r="F1209" s="6">
        <v>0</v>
      </c>
      <c r="G1209" s="7" t="s">
        <v>21</v>
      </c>
      <c r="H1209" s="1">
        <f t="shared" si="18"/>
        <v>1.9990607999999999</v>
      </c>
    </row>
    <row r="1210" spans="1:8" x14ac:dyDescent="0.25">
      <c r="A1210" s="1" t="s">
        <v>7</v>
      </c>
      <c r="B1210" s="1" t="s">
        <v>8</v>
      </c>
      <c r="C1210" s="6">
        <v>159000</v>
      </c>
      <c r="D1210" s="6">
        <v>5700.3</v>
      </c>
      <c r="E1210" s="6">
        <v>3607</v>
      </c>
      <c r="F1210" s="6">
        <v>3607</v>
      </c>
      <c r="G1210" s="7" t="s">
        <v>21</v>
      </c>
      <c r="H1210" s="1">
        <f t="shared" si="18"/>
        <v>3.5850943396226416E-2</v>
      </c>
    </row>
    <row r="1211" spans="1:8" x14ac:dyDescent="0.25">
      <c r="A1211" s="1" t="s">
        <v>7</v>
      </c>
      <c r="B1211" s="1" t="s">
        <v>8</v>
      </c>
      <c r="C1211" s="6">
        <v>1806250</v>
      </c>
      <c r="D1211" s="6">
        <v>1313180.8274999999</v>
      </c>
      <c r="E1211" s="6">
        <v>1262368.3274999999</v>
      </c>
      <c r="F1211" s="6">
        <v>1170658.7475000001</v>
      </c>
      <c r="G1211" s="7" t="s">
        <v>21</v>
      </c>
      <c r="H1211" s="1">
        <f t="shared" si="18"/>
        <v>0.72702052733564004</v>
      </c>
    </row>
    <row r="1212" spans="1:8" x14ac:dyDescent="0.25">
      <c r="A1212" s="1" t="s">
        <v>7</v>
      </c>
      <c r="B1212" s="1" t="s">
        <v>8</v>
      </c>
      <c r="C1212" s="6">
        <v>12500</v>
      </c>
      <c r="D1212" s="6">
        <v>0</v>
      </c>
      <c r="E1212" s="6">
        <v>0</v>
      </c>
      <c r="F1212" s="6">
        <v>0</v>
      </c>
      <c r="G1212" s="7" t="s">
        <v>21</v>
      </c>
      <c r="H1212" s="1">
        <f t="shared" si="18"/>
        <v>0</v>
      </c>
    </row>
    <row r="1213" spans="1:8" x14ac:dyDescent="0.25">
      <c r="A1213" s="1" t="s">
        <v>7</v>
      </c>
      <c r="B1213" s="1" t="s">
        <v>8</v>
      </c>
      <c r="C1213" s="6">
        <v>17224</v>
      </c>
      <c r="D1213" s="6">
        <v>0</v>
      </c>
      <c r="E1213" s="6">
        <v>0</v>
      </c>
      <c r="F1213" s="6">
        <v>0</v>
      </c>
      <c r="G1213" s="7" t="s">
        <v>21</v>
      </c>
      <c r="H1213" s="1">
        <f t="shared" si="18"/>
        <v>0</v>
      </c>
    </row>
    <row r="1214" spans="1:8" x14ac:dyDescent="0.25">
      <c r="A1214" s="1" t="s">
        <v>7</v>
      </c>
      <c r="B1214" s="1" t="s">
        <v>8</v>
      </c>
      <c r="C1214" s="6">
        <v>372404</v>
      </c>
      <c r="D1214" s="6">
        <v>332422.0675</v>
      </c>
      <c r="E1214" s="6">
        <v>294783.48249999998</v>
      </c>
      <c r="F1214" s="6">
        <v>294783.48249999998</v>
      </c>
      <c r="G1214" s="7" t="s">
        <v>21</v>
      </c>
      <c r="H1214" s="1">
        <f t="shared" si="18"/>
        <v>0.8926382839604301</v>
      </c>
    </row>
    <row r="1215" spans="1:8" x14ac:dyDescent="0.25">
      <c r="A1215" s="1" t="s">
        <v>7</v>
      </c>
      <c r="B1215" s="1" t="s">
        <v>8</v>
      </c>
      <c r="C1215" s="6">
        <v>29250</v>
      </c>
      <c r="D1215" s="6">
        <v>6993.6025</v>
      </c>
      <c r="E1215" s="6">
        <v>0</v>
      </c>
      <c r="F1215" s="6">
        <v>0</v>
      </c>
      <c r="G1215" s="7" t="s">
        <v>21</v>
      </c>
      <c r="H1215" s="1">
        <f t="shared" si="18"/>
        <v>0.23909752136752135</v>
      </c>
    </row>
    <row r="1216" spans="1:8" x14ac:dyDescent="0.25">
      <c r="A1216" s="1" t="s">
        <v>7</v>
      </c>
      <c r="B1216" s="1" t="s">
        <v>8</v>
      </c>
      <c r="C1216" s="6">
        <v>25000</v>
      </c>
      <c r="D1216" s="6">
        <v>93750</v>
      </c>
      <c r="E1216" s="6">
        <v>93750</v>
      </c>
      <c r="F1216" s="6">
        <v>93750</v>
      </c>
      <c r="G1216" s="7" t="s">
        <v>21</v>
      </c>
      <c r="H1216" s="1">
        <f t="shared" si="18"/>
        <v>3.75</v>
      </c>
    </row>
    <row r="1217" spans="1:8" x14ac:dyDescent="0.25">
      <c r="A1217" s="1" t="s">
        <v>7</v>
      </c>
      <c r="B1217" s="1" t="s">
        <v>8</v>
      </c>
      <c r="C1217" s="6">
        <v>107500</v>
      </c>
      <c r="D1217" s="6">
        <v>0</v>
      </c>
      <c r="E1217" s="6">
        <v>0</v>
      </c>
      <c r="F1217" s="6">
        <v>0</v>
      </c>
      <c r="G1217" s="7" t="s">
        <v>21</v>
      </c>
      <c r="H1217" s="1">
        <f t="shared" si="18"/>
        <v>0</v>
      </c>
    </row>
    <row r="1218" spans="1:8" x14ac:dyDescent="0.25">
      <c r="A1218" s="1" t="s">
        <v>7</v>
      </c>
      <c r="B1218" s="1" t="s">
        <v>8</v>
      </c>
      <c r="C1218" s="6">
        <v>419670</v>
      </c>
      <c r="D1218" s="6">
        <v>64419.502500000002</v>
      </c>
      <c r="E1218" s="6">
        <v>64419.502500000002</v>
      </c>
      <c r="F1218" s="6">
        <v>64419.502500000002</v>
      </c>
      <c r="G1218" s="7" t="s">
        <v>21</v>
      </c>
      <c r="H1218" s="1">
        <f t="shared" ref="H1218:H1281" si="19">IF(OR(ISNA($D1218),ISNA($C1218),$C1218=0),0,$D1218/$C1218)</f>
        <v>0.15350037529487456</v>
      </c>
    </row>
    <row r="1219" spans="1:8" x14ac:dyDescent="0.25">
      <c r="A1219" s="1" t="s">
        <v>7</v>
      </c>
      <c r="B1219" s="1" t="s">
        <v>8</v>
      </c>
      <c r="C1219" s="6">
        <v>18750</v>
      </c>
      <c r="D1219" s="6">
        <v>0</v>
      </c>
      <c r="E1219" s="6">
        <v>0</v>
      </c>
      <c r="F1219" s="6">
        <v>0</v>
      </c>
      <c r="G1219" s="7" t="s">
        <v>21</v>
      </c>
      <c r="H1219" s="1">
        <f t="shared" si="19"/>
        <v>0</v>
      </c>
    </row>
    <row r="1220" spans="1:8" x14ac:dyDescent="0.25">
      <c r="A1220" s="1" t="s">
        <v>7</v>
      </c>
      <c r="B1220" s="1" t="s">
        <v>8</v>
      </c>
      <c r="C1220" s="6">
        <v>1335970</v>
      </c>
      <c r="D1220" s="6">
        <v>1467262.115</v>
      </c>
      <c r="E1220" s="6">
        <v>1451093.115</v>
      </c>
      <c r="F1220" s="6">
        <v>1330018.6950000001</v>
      </c>
      <c r="G1220" s="7" t="s">
        <v>21</v>
      </c>
      <c r="H1220" s="1">
        <f t="shared" si="19"/>
        <v>1.0982747479359567</v>
      </c>
    </row>
    <row r="1221" spans="1:8" x14ac:dyDescent="0.25">
      <c r="A1221" s="1" t="s">
        <v>7</v>
      </c>
      <c r="B1221" s="1" t="s">
        <v>8</v>
      </c>
      <c r="C1221" s="6">
        <v>20500</v>
      </c>
      <c r="D1221" s="6">
        <v>0</v>
      </c>
      <c r="E1221" s="6">
        <v>0</v>
      </c>
      <c r="F1221" s="6">
        <v>0</v>
      </c>
      <c r="G1221" s="7" t="s">
        <v>21</v>
      </c>
      <c r="H1221" s="1">
        <f t="shared" si="19"/>
        <v>0</v>
      </c>
    </row>
    <row r="1222" spans="1:8" x14ac:dyDescent="0.25">
      <c r="A1222" s="1" t="s">
        <v>7</v>
      </c>
      <c r="B1222" s="1" t="s">
        <v>8</v>
      </c>
      <c r="C1222" s="6">
        <v>8046199</v>
      </c>
      <c r="D1222" s="6">
        <v>0</v>
      </c>
      <c r="E1222" s="6">
        <v>0</v>
      </c>
      <c r="F1222" s="6">
        <v>0</v>
      </c>
      <c r="G1222" s="7" t="s">
        <v>21</v>
      </c>
      <c r="H1222" s="1">
        <f t="shared" si="19"/>
        <v>0</v>
      </c>
    </row>
    <row r="1223" spans="1:8" x14ac:dyDescent="0.25">
      <c r="A1223" s="1" t="s">
        <v>7</v>
      </c>
      <c r="B1223" s="1" t="s">
        <v>8</v>
      </c>
      <c r="C1223" s="6">
        <v>3852708</v>
      </c>
      <c r="D1223" s="6">
        <v>2614348.0474999999</v>
      </c>
      <c r="E1223" s="6">
        <v>2614348.0474999999</v>
      </c>
      <c r="F1223" s="6">
        <v>2614348.0474999999</v>
      </c>
      <c r="G1223" s="7" t="s">
        <v>21</v>
      </c>
      <c r="H1223" s="1">
        <f t="shared" si="19"/>
        <v>0.67857414771635949</v>
      </c>
    </row>
    <row r="1224" spans="1:8" x14ac:dyDescent="0.25">
      <c r="A1224" s="1" t="s">
        <v>7</v>
      </c>
      <c r="B1224" s="1" t="s">
        <v>8</v>
      </c>
      <c r="C1224" s="6">
        <v>2500120</v>
      </c>
      <c r="D1224" s="6">
        <v>1950255.3075000001</v>
      </c>
      <c r="E1224" s="6">
        <v>1884821.4724999999</v>
      </c>
      <c r="F1224" s="6">
        <v>1741377.3174999999</v>
      </c>
      <c r="G1224" s="7" t="s">
        <v>21</v>
      </c>
      <c r="H1224" s="1">
        <f t="shared" si="19"/>
        <v>0.7800646798953651</v>
      </c>
    </row>
    <row r="1225" spans="1:8" x14ac:dyDescent="0.25">
      <c r="A1225" s="1" t="s">
        <v>7</v>
      </c>
      <c r="B1225" s="1" t="s">
        <v>8</v>
      </c>
      <c r="C1225" s="6">
        <v>1250</v>
      </c>
      <c r="D1225" s="6">
        <v>144.5</v>
      </c>
      <c r="E1225" s="6">
        <v>0</v>
      </c>
      <c r="F1225" s="6">
        <v>0</v>
      </c>
      <c r="G1225" s="7" t="s">
        <v>21</v>
      </c>
      <c r="H1225" s="1">
        <f t="shared" si="19"/>
        <v>0.11559999999999999</v>
      </c>
    </row>
    <row r="1226" spans="1:8" x14ac:dyDescent="0.25">
      <c r="A1226" s="1" t="s">
        <v>7</v>
      </c>
      <c r="B1226" s="1" t="s">
        <v>8</v>
      </c>
      <c r="C1226" s="6">
        <v>97774</v>
      </c>
      <c r="D1226" s="6">
        <v>125125</v>
      </c>
      <c r="E1226" s="6">
        <v>125125</v>
      </c>
      <c r="F1226" s="6">
        <v>125125</v>
      </c>
      <c r="G1226" s="7" t="s">
        <v>21</v>
      </c>
      <c r="H1226" s="1">
        <f t="shared" si="19"/>
        <v>1.279736944381942</v>
      </c>
    </row>
    <row r="1227" spans="1:8" x14ac:dyDescent="0.25">
      <c r="A1227" s="1" t="s">
        <v>7</v>
      </c>
      <c r="B1227" s="1" t="s">
        <v>8</v>
      </c>
      <c r="C1227" s="6">
        <v>30000</v>
      </c>
      <c r="D1227" s="6">
        <v>0</v>
      </c>
      <c r="E1227" s="6">
        <v>0</v>
      </c>
      <c r="F1227" s="6">
        <v>0</v>
      </c>
      <c r="G1227" s="7" t="s">
        <v>21</v>
      </c>
      <c r="H1227" s="1">
        <f t="shared" si="19"/>
        <v>0</v>
      </c>
    </row>
    <row r="1228" spans="1:8" x14ac:dyDescent="0.25">
      <c r="A1228" s="1" t="s">
        <v>7</v>
      </c>
      <c r="B1228" s="1" t="s">
        <v>8</v>
      </c>
      <c r="C1228" s="6">
        <v>162500</v>
      </c>
      <c r="D1228" s="6">
        <v>3740.9450000000002</v>
      </c>
      <c r="E1228" s="6">
        <v>3740.9450000000002</v>
      </c>
      <c r="F1228" s="6">
        <v>3740.9450000000002</v>
      </c>
      <c r="G1228" s="7" t="s">
        <v>21</v>
      </c>
      <c r="H1228" s="1">
        <f t="shared" si="19"/>
        <v>2.3021200000000002E-2</v>
      </c>
    </row>
    <row r="1229" spans="1:8" x14ac:dyDescent="0.25">
      <c r="A1229" s="1" t="s">
        <v>7</v>
      </c>
      <c r="B1229" s="1" t="s">
        <v>8</v>
      </c>
      <c r="C1229" s="6">
        <v>500000</v>
      </c>
      <c r="D1229" s="6">
        <v>0</v>
      </c>
      <c r="E1229" s="6">
        <v>0</v>
      </c>
      <c r="F1229" s="6">
        <v>0</v>
      </c>
      <c r="G1229" s="7" t="s">
        <v>21</v>
      </c>
      <c r="H1229" s="1">
        <f t="shared" si="19"/>
        <v>0</v>
      </c>
    </row>
    <row r="1230" spans="1:8" x14ac:dyDescent="0.25">
      <c r="A1230" s="1" t="s">
        <v>7</v>
      </c>
      <c r="B1230" s="1" t="s">
        <v>8</v>
      </c>
      <c r="C1230" s="6">
        <v>737500</v>
      </c>
      <c r="D1230" s="6">
        <v>0</v>
      </c>
      <c r="E1230" s="6">
        <v>0</v>
      </c>
      <c r="F1230" s="6">
        <v>0</v>
      </c>
      <c r="G1230" s="7" t="s">
        <v>21</v>
      </c>
      <c r="H1230" s="1">
        <f t="shared" si="19"/>
        <v>0</v>
      </c>
    </row>
    <row r="1231" spans="1:8" x14ac:dyDescent="0.25">
      <c r="A1231" s="1" t="s">
        <v>7</v>
      </c>
      <c r="B1231" s="1" t="s">
        <v>8</v>
      </c>
      <c r="C1231" s="6">
        <v>35000</v>
      </c>
      <c r="D1231" s="6">
        <v>0</v>
      </c>
      <c r="E1231" s="6">
        <v>0</v>
      </c>
      <c r="F1231" s="6">
        <v>0</v>
      </c>
      <c r="G1231" s="7" t="s">
        <v>21</v>
      </c>
      <c r="H1231" s="1">
        <f t="shared" si="19"/>
        <v>0</v>
      </c>
    </row>
    <row r="1232" spans="1:8" x14ac:dyDescent="0.25">
      <c r="A1232" s="1" t="s">
        <v>7</v>
      </c>
      <c r="B1232" s="1" t="s">
        <v>8</v>
      </c>
      <c r="C1232" s="6">
        <v>15000</v>
      </c>
      <c r="D1232" s="6">
        <v>0</v>
      </c>
      <c r="E1232" s="6">
        <v>0</v>
      </c>
      <c r="F1232" s="6">
        <v>0</v>
      </c>
      <c r="G1232" s="7" t="s">
        <v>21</v>
      </c>
      <c r="H1232" s="1">
        <f t="shared" si="19"/>
        <v>0</v>
      </c>
    </row>
    <row r="1233" spans="1:8" x14ac:dyDescent="0.25">
      <c r="A1233" s="1" t="s">
        <v>7</v>
      </c>
      <c r="B1233" s="1" t="s">
        <v>8</v>
      </c>
      <c r="C1233" s="6">
        <v>13125</v>
      </c>
      <c r="D1233" s="6">
        <v>933.84</v>
      </c>
      <c r="E1233" s="6">
        <v>933.84</v>
      </c>
      <c r="F1233" s="6">
        <v>933.84</v>
      </c>
      <c r="G1233" s="7" t="s">
        <v>21</v>
      </c>
      <c r="H1233" s="1">
        <f t="shared" si="19"/>
        <v>7.1149714285714288E-2</v>
      </c>
    </row>
    <row r="1234" spans="1:8" x14ac:dyDescent="0.25">
      <c r="A1234" s="1" t="s">
        <v>7</v>
      </c>
      <c r="B1234" s="1" t="s">
        <v>8</v>
      </c>
      <c r="C1234" s="6">
        <v>131250</v>
      </c>
      <c r="D1234" s="6">
        <v>103141.88</v>
      </c>
      <c r="E1234" s="6">
        <v>81993.13</v>
      </c>
      <c r="F1234" s="6">
        <v>81993.13</v>
      </c>
      <c r="G1234" s="7" t="s">
        <v>21</v>
      </c>
      <c r="H1234" s="1">
        <f t="shared" si="19"/>
        <v>0.78584289523809525</v>
      </c>
    </row>
    <row r="1235" spans="1:8" x14ac:dyDescent="0.25">
      <c r="A1235" s="1" t="s">
        <v>7</v>
      </c>
      <c r="B1235" s="1" t="s">
        <v>8</v>
      </c>
      <c r="C1235" s="6">
        <v>1272761</v>
      </c>
      <c r="D1235" s="6">
        <v>804853.26500000001</v>
      </c>
      <c r="E1235" s="6">
        <v>279055.20500000002</v>
      </c>
      <c r="F1235" s="6">
        <v>279055.20500000002</v>
      </c>
      <c r="G1235" s="7" t="s">
        <v>21</v>
      </c>
      <c r="H1235" s="1">
        <f t="shared" si="19"/>
        <v>0.63236795046359839</v>
      </c>
    </row>
    <row r="1236" spans="1:8" x14ac:dyDescent="0.25">
      <c r="A1236" s="1" t="s">
        <v>7</v>
      </c>
      <c r="B1236" s="1" t="s">
        <v>8</v>
      </c>
      <c r="C1236" s="6">
        <v>85000</v>
      </c>
      <c r="D1236" s="6">
        <v>0</v>
      </c>
      <c r="E1236" s="6">
        <v>0</v>
      </c>
      <c r="F1236" s="6">
        <v>0</v>
      </c>
      <c r="G1236" s="7" t="s">
        <v>21</v>
      </c>
      <c r="H1236" s="1">
        <f t="shared" si="19"/>
        <v>0</v>
      </c>
    </row>
    <row r="1237" spans="1:8" x14ac:dyDescent="0.25">
      <c r="A1237" s="1" t="s">
        <v>7</v>
      </c>
      <c r="B1237" s="1" t="s">
        <v>10</v>
      </c>
      <c r="C1237" s="6">
        <v>2499819</v>
      </c>
      <c r="D1237" s="6">
        <v>626450.49250000005</v>
      </c>
      <c r="E1237" s="6">
        <v>334217.76250000001</v>
      </c>
      <c r="F1237" s="6">
        <v>276975.51750000002</v>
      </c>
      <c r="G1237" s="7" t="s">
        <v>21</v>
      </c>
      <c r="H1237" s="1">
        <f t="shared" si="19"/>
        <v>0.25059834031983919</v>
      </c>
    </row>
    <row r="1238" spans="1:8" x14ac:dyDescent="0.25">
      <c r="A1238" s="1" t="s">
        <v>7</v>
      </c>
      <c r="B1238" s="1" t="s">
        <v>10</v>
      </c>
      <c r="C1238" s="6">
        <v>75000</v>
      </c>
      <c r="D1238" s="6">
        <v>0</v>
      </c>
      <c r="E1238" s="6">
        <v>0</v>
      </c>
      <c r="F1238" s="6">
        <v>0</v>
      </c>
      <c r="G1238" s="7" t="s">
        <v>21</v>
      </c>
      <c r="H1238" s="1">
        <f t="shared" si="19"/>
        <v>0</v>
      </c>
    </row>
    <row r="1239" spans="1:8" x14ac:dyDescent="0.25">
      <c r="A1239" s="1" t="s">
        <v>7</v>
      </c>
      <c r="B1239" s="1" t="s">
        <v>10</v>
      </c>
      <c r="C1239" s="6">
        <v>4138262</v>
      </c>
      <c r="D1239" s="6">
        <v>3765646.3725000001</v>
      </c>
      <c r="E1239" s="6">
        <v>3707440.38</v>
      </c>
      <c r="F1239" s="6">
        <v>3437928.3849999998</v>
      </c>
      <c r="G1239" s="7" t="s">
        <v>21</v>
      </c>
      <c r="H1239" s="1">
        <f t="shared" si="19"/>
        <v>0.90995842517945946</v>
      </c>
    </row>
    <row r="1240" spans="1:8" x14ac:dyDescent="0.25">
      <c r="A1240" s="1" t="s">
        <v>7</v>
      </c>
      <c r="B1240" s="1" t="s">
        <v>10</v>
      </c>
      <c r="C1240" s="6">
        <v>80545</v>
      </c>
      <c r="D1240" s="6">
        <v>62500</v>
      </c>
      <c r="E1240" s="6">
        <v>62500</v>
      </c>
      <c r="F1240" s="6">
        <v>62500</v>
      </c>
      <c r="G1240" s="7" t="s">
        <v>21</v>
      </c>
      <c r="H1240" s="1">
        <f t="shared" si="19"/>
        <v>0.77596374697374138</v>
      </c>
    </row>
    <row r="1241" spans="1:8" x14ac:dyDescent="0.25">
      <c r="A1241" s="1" t="s">
        <v>7</v>
      </c>
      <c r="B1241" s="1" t="s">
        <v>10</v>
      </c>
      <c r="C1241" s="6">
        <v>1820930</v>
      </c>
      <c r="D1241" s="6">
        <v>43800</v>
      </c>
      <c r="E1241" s="6">
        <v>0</v>
      </c>
      <c r="F1241" s="6">
        <v>0</v>
      </c>
      <c r="G1241" s="7" t="s">
        <v>21</v>
      </c>
      <c r="H1241" s="1">
        <f t="shared" si="19"/>
        <v>2.4053642918728343E-2</v>
      </c>
    </row>
    <row r="1242" spans="1:8" x14ac:dyDescent="0.25">
      <c r="A1242" s="1" t="s">
        <v>7</v>
      </c>
      <c r="B1242" s="1" t="s">
        <v>10</v>
      </c>
      <c r="C1242" s="6">
        <v>75000</v>
      </c>
      <c r="D1242" s="6">
        <v>0</v>
      </c>
      <c r="E1242" s="6">
        <v>0</v>
      </c>
      <c r="F1242" s="6">
        <v>0</v>
      </c>
      <c r="G1242" s="7" t="s">
        <v>21</v>
      </c>
      <c r="H1242" s="1">
        <f t="shared" si="19"/>
        <v>0</v>
      </c>
    </row>
    <row r="1243" spans="1:8" x14ac:dyDescent="0.25">
      <c r="A1243" s="1" t="s">
        <v>7</v>
      </c>
      <c r="B1243" s="1" t="s">
        <v>10</v>
      </c>
      <c r="C1243" s="6">
        <v>1341290</v>
      </c>
      <c r="D1243" s="6">
        <v>978694.88749999995</v>
      </c>
      <c r="E1243" s="6">
        <v>841957.08750000002</v>
      </c>
      <c r="F1243" s="6">
        <v>840375.46750000003</v>
      </c>
      <c r="G1243" s="7" t="s">
        <v>21</v>
      </c>
      <c r="H1243" s="1">
        <f t="shared" si="19"/>
        <v>0.72966687852738776</v>
      </c>
    </row>
    <row r="1244" spans="1:8" x14ac:dyDescent="0.25">
      <c r="A1244" s="1" t="s">
        <v>7</v>
      </c>
      <c r="B1244" s="1" t="s">
        <v>10</v>
      </c>
      <c r="C1244" s="6">
        <v>1151541</v>
      </c>
      <c r="D1244" s="6">
        <v>59587</v>
      </c>
      <c r="E1244" s="6">
        <v>45624.5</v>
      </c>
      <c r="F1244" s="6">
        <v>45624.5</v>
      </c>
      <c r="G1244" s="7" t="s">
        <v>21</v>
      </c>
      <c r="H1244" s="1">
        <f t="shared" si="19"/>
        <v>5.1745443714118732E-2</v>
      </c>
    </row>
    <row r="1245" spans="1:8" x14ac:dyDescent="0.25">
      <c r="A1245" s="1" t="s">
        <v>7</v>
      </c>
      <c r="B1245" s="1" t="s">
        <v>10</v>
      </c>
      <c r="C1245" s="6">
        <v>287500</v>
      </c>
      <c r="D1245" s="6">
        <v>249358.91250000001</v>
      </c>
      <c r="E1245" s="6">
        <v>7455</v>
      </c>
      <c r="F1245" s="6">
        <v>7455</v>
      </c>
      <c r="G1245" s="7" t="s">
        <v>21</v>
      </c>
      <c r="H1245" s="1">
        <f t="shared" si="19"/>
        <v>0.86733534782608701</v>
      </c>
    </row>
    <row r="1246" spans="1:8" x14ac:dyDescent="0.25">
      <c r="A1246" s="1" t="s">
        <v>7</v>
      </c>
      <c r="B1246" s="1" t="s">
        <v>10</v>
      </c>
      <c r="C1246" s="6">
        <v>160617</v>
      </c>
      <c r="D1246" s="6">
        <v>5853.085</v>
      </c>
      <c r="E1246" s="6">
        <v>5853.085</v>
      </c>
      <c r="F1246" s="6">
        <v>5853.085</v>
      </c>
      <c r="G1246" s="7" t="s">
        <v>21</v>
      </c>
      <c r="H1246" s="1">
        <f t="shared" si="19"/>
        <v>3.6441254661710776E-2</v>
      </c>
    </row>
    <row r="1247" spans="1:8" x14ac:dyDescent="0.25">
      <c r="A1247" s="1" t="s">
        <v>7</v>
      </c>
      <c r="B1247" s="1" t="s">
        <v>10</v>
      </c>
      <c r="C1247" s="6">
        <v>1250</v>
      </c>
      <c r="D1247" s="6">
        <v>0</v>
      </c>
      <c r="E1247" s="6">
        <v>0</v>
      </c>
      <c r="F1247" s="6">
        <v>0</v>
      </c>
      <c r="G1247" s="7" t="s">
        <v>21</v>
      </c>
      <c r="H1247" s="1">
        <f t="shared" si="19"/>
        <v>0</v>
      </c>
    </row>
    <row r="1248" spans="1:8" x14ac:dyDescent="0.25">
      <c r="A1248" s="1" t="s">
        <v>7</v>
      </c>
      <c r="B1248" s="1" t="s">
        <v>10</v>
      </c>
      <c r="C1248" s="6">
        <v>717070</v>
      </c>
      <c r="D1248" s="6">
        <v>7473.835</v>
      </c>
      <c r="E1248" s="6">
        <v>7473.835</v>
      </c>
      <c r="F1248" s="6">
        <v>7473.835</v>
      </c>
      <c r="G1248" s="7" t="s">
        <v>21</v>
      </c>
      <c r="H1248" s="1">
        <f t="shared" si="19"/>
        <v>1.0422741154977896E-2</v>
      </c>
    </row>
    <row r="1249" spans="1:8" x14ac:dyDescent="0.25">
      <c r="A1249" s="1" t="s">
        <v>7</v>
      </c>
      <c r="B1249" s="1" t="s">
        <v>10</v>
      </c>
      <c r="C1249" s="6">
        <v>76750</v>
      </c>
      <c r="D1249" s="6">
        <v>7562.5</v>
      </c>
      <c r="E1249" s="6">
        <v>7550</v>
      </c>
      <c r="F1249" s="6">
        <v>7550</v>
      </c>
      <c r="G1249" s="7" t="s">
        <v>21</v>
      </c>
      <c r="H1249" s="1">
        <f t="shared" si="19"/>
        <v>9.8534201954397396E-2</v>
      </c>
    </row>
    <row r="1250" spans="1:8" x14ac:dyDescent="0.25">
      <c r="A1250" s="1" t="s">
        <v>7</v>
      </c>
      <c r="B1250" s="1" t="s">
        <v>10</v>
      </c>
      <c r="C1250" s="6">
        <v>581405</v>
      </c>
      <c r="D1250" s="6">
        <v>11650</v>
      </c>
      <c r="E1250" s="6">
        <v>11650</v>
      </c>
      <c r="F1250" s="6">
        <v>11650</v>
      </c>
      <c r="G1250" s="7" t="s">
        <v>21</v>
      </c>
      <c r="H1250" s="1">
        <f t="shared" si="19"/>
        <v>2.0037667374721579E-2</v>
      </c>
    </row>
    <row r="1251" spans="1:8" x14ac:dyDescent="0.25">
      <c r="A1251" s="1" t="s">
        <v>7</v>
      </c>
      <c r="B1251" s="1" t="s">
        <v>10</v>
      </c>
      <c r="C1251" s="6">
        <v>20000</v>
      </c>
      <c r="D1251" s="6">
        <v>29784.16</v>
      </c>
      <c r="E1251" s="6">
        <v>28757.119999999999</v>
      </c>
      <c r="F1251" s="6">
        <v>20540.8</v>
      </c>
      <c r="G1251" s="7" t="s">
        <v>21</v>
      </c>
      <c r="H1251" s="1">
        <f t="shared" si="19"/>
        <v>1.4892080000000001</v>
      </c>
    </row>
    <row r="1252" spans="1:8" x14ac:dyDescent="0.25">
      <c r="A1252" s="1" t="s">
        <v>7</v>
      </c>
      <c r="B1252" s="1" t="s">
        <v>10</v>
      </c>
      <c r="C1252" s="6">
        <v>3750</v>
      </c>
      <c r="D1252" s="6">
        <v>0</v>
      </c>
      <c r="E1252" s="6">
        <v>0</v>
      </c>
      <c r="F1252" s="6">
        <v>0</v>
      </c>
      <c r="G1252" s="7" t="s">
        <v>21</v>
      </c>
      <c r="H1252" s="1">
        <f t="shared" si="19"/>
        <v>0</v>
      </c>
    </row>
    <row r="1253" spans="1:8" x14ac:dyDescent="0.25">
      <c r="A1253" s="1" t="s">
        <v>7</v>
      </c>
      <c r="B1253" s="1" t="s">
        <v>10</v>
      </c>
      <c r="C1253" s="6">
        <v>7635</v>
      </c>
      <c r="D1253" s="6">
        <v>750.25</v>
      </c>
      <c r="E1253" s="6">
        <v>750.25</v>
      </c>
      <c r="F1253" s="6">
        <v>750.25</v>
      </c>
      <c r="G1253" s="7" t="s">
        <v>21</v>
      </c>
      <c r="H1253" s="1">
        <f t="shared" si="19"/>
        <v>9.8264571054354946E-2</v>
      </c>
    </row>
    <row r="1254" spans="1:8" x14ac:dyDescent="0.25">
      <c r="A1254" s="1" t="s">
        <v>7</v>
      </c>
      <c r="B1254" s="1" t="s">
        <v>10</v>
      </c>
      <c r="C1254" s="6">
        <v>165555</v>
      </c>
      <c r="D1254" s="6">
        <v>6610.4975000000004</v>
      </c>
      <c r="E1254" s="6">
        <v>6610.4975000000004</v>
      </c>
      <c r="F1254" s="6">
        <v>6610.4975000000004</v>
      </c>
      <c r="G1254" s="7" t="s">
        <v>21</v>
      </c>
      <c r="H1254" s="1">
        <f t="shared" si="19"/>
        <v>3.9929313521186317E-2</v>
      </c>
    </row>
    <row r="1255" spans="1:8" x14ac:dyDescent="0.25">
      <c r="A1255" s="1" t="s">
        <v>7</v>
      </c>
      <c r="B1255" s="1" t="s">
        <v>10</v>
      </c>
      <c r="C1255" s="6">
        <v>115000</v>
      </c>
      <c r="D1255" s="6">
        <v>10217.705</v>
      </c>
      <c r="E1255" s="6">
        <v>10217.705</v>
      </c>
      <c r="F1255" s="6">
        <v>10217.705</v>
      </c>
      <c r="G1255" s="7" t="s">
        <v>21</v>
      </c>
      <c r="H1255" s="1">
        <f t="shared" si="19"/>
        <v>8.8849608695652171E-2</v>
      </c>
    </row>
    <row r="1256" spans="1:8" x14ac:dyDescent="0.25">
      <c r="A1256" s="1" t="s">
        <v>7</v>
      </c>
      <c r="B1256" s="1" t="s">
        <v>11</v>
      </c>
      <c r="C1256" s="6">
        <v>652694</v>
      </c>
      <c r="D1256" s="6">
        <v>59189.235000000001</v>
      </c>
      <c r="E1256" s="6">
        <v>41343.61</v>
      </c>
      <c r="F1256" s="6">
        <v>41343.61</v>
      </c>
      <c r="G1256" s="7" t="s">
        <v>21</v>
      </c>
      <c r="H1256" s="1">
        <f t="shared" si="19"/>
        <v>9.0684509126788354E-2</v>
      </c>
    </row>
    <row r="1257" spans="1:8" x14ac:dyDescent="0.25">
      <c r="A1257" s="1" t="s">
        <v>7</v>
      </c>
      <c r="B1257" s="1" t="s">
        <v>11</v>
      </c>
      <c r="C1257" s="6">
        <v>182735</v>
      </c>
      <c r="D1257" s="6">
        <v>49128</v>
      </c>
      <c r="E1257" s="6">
        <v>49128</v>
      </c>
      <c r="F1257" s="6">
        <v>49128</v>
      </c>
      <c r="G1257" s="7" t="s">
        <v>21</v>
      </c>
      <c r="H1257" s="1">
        <f t="shared" si="19"/>
        <v>0.26884833228445565</v>
      </c>
    </row>
    <row r="1258" spans="1:8" x14ac:dyDescent="0.25">
      <c r="A1258" s="1" t="s">
        <v>7</v>
      </c>
      <c r="B1258" s="1" t="s">
        <v>11</v>
      </c>
      <c r="C1258" s="6">
        <v>19000</v>
      </c>
      <c r="D1258" s="6">
        <v>0</v>
      </c>
      <c r="E1258" s="6">
        <v>0</v>
      </c>
      <c r="F1258" s="6">
        <v>0</v>
      </c>
      <c r="G1258" s="7" t="s">
        <v>21</v>
      </c>
      <c r="H1258" s="1">
        <f t="shared" si="19"/>
        <v>0</v>
      </c>
    </row>
    <row r="1259" spans="1:8" x14ac:dyDescent="0.25">
      <c r="A1259" s="1" t="s">
        <v>7</v>
      </c>
      <c r="B1259" s="1" t="s">
        <v>11</v>
      </c>
      <c r="C1259" s="6">
        <v>20584800</v>
      </c>
      <c r="D1259" s="6">
        <v>3905019.08</v>
      </c>
      <c r="E1259" s="6">
        <v>3905019.08</v>
      </c>
      <c r="F1259" s="6">
        <v>3905019.08</v>
      </c>
      <c r="G1259" s="7" t="s">
        <v>21</v>
      </c>
      <c r="H1259" s="1">
        <f t="shared" si="19"/>
        <v>0.18970400878317983</v>
      </c>
    </row>
    <row r="1260" spans="1:8" x14ac:dyDescent="0.25">
      <c r="A1260" s="1" t="s">
        <v>7</v>
      </c>
      <c r="B1260" s="1" t="s">
        <v>11</v>
      </c>
      <c r="C1260" s="6">
        <v>9240400</v>
      </c>
      <c r="D1260" s="6">
        <v>1453282.14</v>
      </c>
      <c r="E1260" s="6">
        <v>1453282.14</v>
      </c>
      <c r="F1260" s="6">
        <v>1453282.14</v>
      </c>
      <c r="G1260" s="7" t="s">
        <v>21</v>
      </c>
      <c r="H1260" s="1">
        <f t="shared" si="19"/>
        <v>0.15727480844985064</v>
      </c>
    </row>
    <row r="1261" spans="1:8" x14ac:dyDescent="0.25">
      <c r="A1261" s="1" t="s">
        <v>7</v>
      </c>
      <c r="B1261" s="1" t="s">
        <v>11</v>
      </c>
      <c r="C1261" s="6">
        <v>99820</v>
      </c>
      <c r="D1261" s="6">
        <v>15625.38</v>
      </c>
      <c r="E1261" s="6">
        <v>15625.38</v>
      </c>
      <c r="F1261" s="6">
        <v>15625.38</v>
      </c>
      <c r="G1261" s="7" t="s">
        <v>21</v>
      </c>
      <c r="H1261" s="1">
        <f t="shared" si="19"/>
        <v>0.15653556401522739</v>
      </c>
    </row>
    <row r="1262" spans="1:8" x14ac:dyDescent="0.25">
      <c r="A1262" s="1" t="s">
        <v>7</v>
      </c>
      <c r="B1262" s="1" t="s">
        <v>11</v>
      </c>
      <c r="C1262" s="6">
        <v>245000</v>
      </c>
      <c r="D1262" s="6">
        <v>6133.9650000000001</v>
      </c>
      <c r="E1262" s="6">
        <v>6133.9650000000001</v>
      </c>
      <c r="F1262" s="6">
        <v>6133.9650000000001</v>
      </c>
      <c r="G1262" s="7" t="s">
        <v>21</v>
      </c>
      <c r="H1262" s="1">
        <f t="shared" si="19"/>
        <v>2.5036591836734696E-2</v>
      </c>
    </row>
    <row r="1263" spans="1:8" x14ac:dyDescent="0.25">
      <c r="A1263" s="1" t="s">
        <v>7</v>
      </c>
      <c r="B1263" s="1" t="s">
        <v>11</v>
      </c>
      <c r="C1263" s="6">
        <v>12001800</v>
      </c>
      <c r="D1263" s="6">
        <v>1406281.86</v>
      </c>
      <c r="E1263" s="6">
        <v>1406281.86</v>
      </c>
      <c r="F1263" s="6">
        <v>1406281.86</v>
      </c>
      <c r="G1263" s="7" t="s">
        <v>21</v>
      </c>
      <c r="H1263" s="1">
        <f t="shared" si="19"/>
        <v>0.11717257911313304</v>
      </c>
    </row>
    <row r="1264" spans="1:8" x14ac:dyDescent="0.25">
      <c r="A1264" s="1" t="s">
        <v>7</v>
      </c>
      <c r="B1264" s="1" t="s">
        <v>11</v>
      </c>
      <c r="C1264" s="6">
        <v>324621</v>
      </c>
      <c r="D1264" s="6">
        <v>288707.68</v>
      </c>
      <c r="E1264" s="6">
        <v>215200.75</v>
      </c>
      <c r="F1264" s="6">
        <v>209976.53</v>
      </c>
      <c r="G1264" s="7" t="s">
        <v>21</v>
      </c>
      <c r="H1264" s="1">
        <f t="shared" si="19"/>
        <v>0.88936846353131804</v>
      </c>
    </row>
    <row r="1265" spans="1:8" x14ac:dyDescent="0.25">
      <c r="A1265" s="1" t="s">
        <v>7</v>
      </c>
      <c r="B1265" s="1" t="s">
        <v>11</v>
      </c>
      <c r="C1265" s="6">
        <v>1200000</v>
      </c>
      <c r="D1265" s="6">
        <v>148620.42000000001</v>
      </c>
      <c r="E1265" s="6">
        <v>148620.42000000001</v>
      </c>
      <c r="F1265" s="6">
        <v>148620.42000000001</v>
      </c>
      <c r="G1265" s="7" t="s">
        <v>21</v>
      </c>
      <c r="H1265" s="1">
        <f t="shared" si="19"/>
        <v>0.12385035000000001</v>
      </c>
    </row>
    <row r="1266" spans="1:8" x14ac:dyDescent="0.25">
      <c r="A1266" s="1" t="s">
        <v>7</v>
      </c>
      <c r="B1266" s="1" t="s">
        <v>11</v>
      </c>
      <c r="C1266" s="6">
        <v>750</v>
      </c>
      <c r="D1266" s="6">
        <v>0</v>
      </c>
      <c r="E1266" s="6">
        <v>0</v>
      </c>
      <c r="F1266" s="6">
        <v>0</v>
      </c>
      <c r="G1266" s="7" t="s">
        <v>21</v>
      </c>
      <c r="H1266" s="1">
        <f t="shared" si="19"/>
        <v>0</v>
      </c>
    </row>
    <row r="1267" spans="1:8" x14ac:dyDescent="0.25">
      <c r="A1267" s="1" t="s">
        <v>7</v>
      </c>
      <c r="B1267" s="1" t="s">
        <v>11</v>
      </c>
      <c r="C1267" s="6">
        <v>23589</v>
      </c>
      <c r="D1267" s="6">
        <v>11370.195</v>
      </c>
      <c r="E1267" s="6">
        <v>10381.305</v>
      </c>
      <c r="F1267" s="6">
        <v>10381.305</v>
      </c>
      <c r="G1267" s="7" t="s">
        <v>21</v>
      </c>
      <c r="H1267" s="1">
        <f t="shared" si="19"/>
        <v>0.48201259061426938</v>
      </c>
    </row>
    <row r="1268" spans="1:8" x14ac:dyDescent="0.25">
      <c r="A1268" s="1" t="s">
        <v>7</v>
      </c>
      <c r="B1268" s="1" t="s">
        <v>11</v>
      </c>
      <c r="C1268" s="6">
        <v>5100</v>
      </c>
      <c r="D1268" s="6">
        <v>1109.692</v>
      </c>
      <c r="E1268" s="6">
        <v>1109.692</v>
      </c>
      <c r="F1268" s="6">
        <v>1109.692</v>
      </c>
      <c r="G1268" s="7" t="s">
        <v>21</v>
      </c>
      <c r="H1268" s="1">
        <f t="shared" si="19"/>
        <v>0.21758666666666668</v>
      </c>
    </row>
    <row r="1269" spans="1:8" x14ac:dyDescent="0.25">
      <c r="A1269" s="1" t="s">
        <v>7</v>
      </c>
      <c r="B1269" s="1" t="s">
        <v>11</v>
      </c>
      <c r="C1269" s="6">
        <v>95423652</v>
      </c>
      <c r="D1269" s="6">
        <v>62114165.310000002</v>
      </c>
      <c r="E1269" s="6">
        <v>58912345.25</v>
      </c>
      <c r="F1269" s="6">
        <v>54597061.75</v>
      </c>
      <c r="G1269" s="7" t="s">
        <v>21</v>
      </c>
      <c r="H1269" s="1">
        <f t="shared" si="19"/>
        <v>0.65093049792309354</v>
      </c>
    </row>
    <row r="1270" spans="1:8" x14ac:dyDescent="0.25">
      <c r="A1270" s="1" t="s">
        <v>7</v>
      </c>
      <c r="B1270" s="1" t="s">
        <v>11</v>
      </c>
      <c r="C1270" s="6">
        <v>328800</v>
      </c>
      <c r="D1270" s="6">
        <v>0</v>
      </c>
      <c r="E1270" s="6">
        <v>0</v>
      </c>
      <c r="F1270" s="6">
        <v>0</v>
      </c>
      <c r="G1270" s="7" t="s">
        <v>21</v>
      </c>
      <c r="H1270" s="1">
        <f t="shared" si="19"/>
        <v>0</v>
      </c>
    </row>
    <row r="1271" spans="1:8" x14ac:dyDescent="0.25">
      <c r="A1271" s="1" t="s">
        <v>7</v>
      </c>
      <c r="B1271" s="1" t="s">
        <v>11</v>
      </c>
      <c r="C1271" s="6">
        <v>1282638</v>
      </c>
      <c r="D1271" s="6">
        <v>211262.5</v>
      </c>
      <c r="E1271" s="6">
        <v>211262.5</v>
      </c>
      <c r="F1271" s="6">
        <v>211262.5</v>
      </c>
      <c r="G1271" s="7" t="s">
        <v>21</v>
      </c>
      <c r="H1271" s="1">
        <f t="shared" si="19"/>
        <v>0.16470937240281358</v>
      </c>
    </row>
    <row r="1272" spans="1:8" x14ac:dyDescent="0.25">
      <c r="A1272" s="1" t="s">
        <v>7</v>
      </c>
      <c r="B1272" s="1" t="s">
        <v>11</v>
      </c>
      <c r="C1272" s="6">
        <v>54063</v>
      </c>
      <c r="D1272" s="6">
        <v>0</v>
      </c>
      <c r="E1272" s="6">
        <v>0</v>
      </c>
      <c r="F1272" s="6">
        <v>0</v>
      </c>
      <c r="G1272" s="7" t="s">
        <v>21</v>
      </c>
      <c r="H1272" s="1">
        <f t="shared" si="19"/>
        <v>0</v>
      </c>
    </row>
    <row r="1273" spans="1:8" x14ac:dyDescent="0.25">
      <c r="A1273" s="1" t="s">
        <v>7</v>
      </c>
      <c r="B1273" s="1" t="s">
        <v>11</v>
      </c>
      <c r="C1273" s="6">
        <v>13000</v>
      </c>
      <c r="D1273" s="6">
        <v>0</v>
      </c>
      <c r="E1273" s="6">
        <v>0</v>
      </c>
      <c r="F1273" s="6">
        <v>0</v>
      </c>
      <c r="G1273" s="7" t="s">
        <v>21</v>
      </c>
      <c r="H1273" s="1">
        <f t="shared" si="19"/>
        <v>0</v>
      </c>
    </row>
    <row r="1274" spans="1:8" x14ac:dyDescent="0.25">
      <c r="A1274" s="1" t="s">
        <v>7</v>
      </c>
      <c r="B1274" s="1" t="s">
        <v>11</v>
      </c>
      <c r="C1274" s="6">
        <v>318400</v>
      </c>
      <c r="D1274" s="6">
        <v>0</v>
      </c>
      <c r="E1274" s="6">
        <v>0</v>
      </c>
      <c r="F1274" s="6">
        <v>0</v>
      </c>
      <c r="G1274" s="7" t="s">
        <v>21</v>
      </c>
      <c r="H1274" s="1">
        <f t="shared" si="19"/>
        <v>0</v>
      </c>
    </row>
    <row r="1275" spans="1:8" x14ac:dyDescent="0.25">
      <c r="A1275" s="1" t="s">
        <v>7</v>
      </c>
      <c r="B1275" s="1" t="s">
        <v>11</v>
      </c>
      <c r="C1275" s="6">
        <v>2048797</v>
      </c>
      <c r="D1275" s="6">
        <v>895160.06</v>
      </c>
      <c r="E1275" s="6">
        <v>687155.06</v>
      </c>
      <c r="F1275" s="6">
        <v>638542.16</v>
      </c>
      <c r="G1275" s="7" t="s">
        <v>21</v>
      </c>
      <c r="H1275" s="1">
        <f t="shared" si="19"/>
        <v>0.43691984125318423</v>
      </c>
    </row>
    <row r="1276" spans="1:8" x14ac:dyDescent="0.25">
      <c r="A1276" s="1" t="s">
        <v>7</v>
      </c>
      <c r="B1276" s="1" t="s">
        <v>11</v>
      </c>
      <c r="C1276" s="6">
        <v>19925000</v>
      </c>
      <c r="D1276" s="6">
        <v>16383851.16</v>
      </c>
      <c r="E1276" s="6">
        <v>16344680.33</v>
      </c>
      <c r="F1276" s="6">
        <v>15787494.279999999</v>
      </c>
      <c r="G1276" s="7" t="s">
        <v>21</v>
      </c>
      <c r="H1276" s="1">
        <f t="shared" si="19"/>
        <v>0.8222760933500628</v>
      </c>
    </row>
    <row r="1277" spans="1:8" x14ac:dyDescent="0.25">
      <c r="A1277" s="1" t="s">
        <v>7</v>
      </c>
      <c r="B1277" s="1" t="s">
        <v>11</v>
      </c>
      <c r="C1277" s="6">
        <v>28211</v>
      </c>
      <c r="D1277" s="6">
        <v>0</v>
      </c>
      <c r="E1277" s="6">
        <v>0</v>
      </c>
      <c r="F1277" s="6">
        <v>0</v>
      </c>
      <c r="G1277" s="7" t="s">
        <v>21</v>
      </c>
      <c r="H1277" s="1">
        <f t="shared" si="19"/>
        <v>0</v>
      </c>
    </row>
    <row r="1278" spans="1:8" x14ac:dyDescent="0.25">
      <c r="A1278" s="1" t="s">
        <v>7</v>
      </c>
      <c r="B1278" s="1" t="s">
        <v>11</v>
      </c>
      <c r="C1278" s="6">
        <v>4000</v>
      </c>
      <c r="D1278" s="6">
        <v>0</v>
      </c>
      <c r="E1278" s="6">
        <v>0</v>
      </c>
      <c r="F1278" s="6">
        <v>0</v>
      </c>
      <c r="G1278" s="7" t="s">
        <v>21</v>
      </c>
      <c r="H1278" s="1">
        <f t="shared" si="19"/>
        <v>0</v>
      </c>
    </row>
    <row r="1279" spans="1:8" x14ac:dyDescent="0.25">
      <c r="A1279" s="1" t="s">
        <v>7</v>
      </c>
      <c r="B1279" s="1" t="s">
        <v>11</v>
      </c>
      <c r="C1279" s="6">
        <v>50000</v>
      </c>
      <c r="D1279" s="6">
        <v>0</v>
      </c>
      <c r="E1279" s="6">
        <v>0</v>
      </c>
      <c r="F1279" s="6">
        <v>0</v>
      </c>
      <c r="G1279" s="7" t="s">
        <v>21</v>
      </c>
      <c r="H1279" s="1">
        <f t="shared" si="19"/>
        <v>0</v>
      </c>
    </row>
    <row r="1280" spans="1:8" x14ac:dyDescent="0.25">
      <c r="A1280" s="1" t="s">
        <v>7</v>
      </c>
      <c r="B1280" s="1" t="s">
        <v>11</v>
      </c>
      <c r="C1280" s="6">
        <v>3000</v>
      </c>
      <c r="D1280" s="6">
        <v>0</v>
      </c>
      <c r="E1280" s="6">
        <v>0</v>
      </c>
      <c r="F1280" s="6">
        <v>0</v>
      </c>
      <c r="G1280" s="7" t="s">
        <v>21</v>
      </c>
      <c r="H1280" s="1">
        <f t="shared" si="19"/>
        <v>0</v>
      </c>
    </row>
    <row r="1281" spans="1:8" x14ac:dyDescent="0.25">
      <c r="A1281" s="1" t="s">
        <v>7</v>
      </c>
      <c r="B1281" s="1" t="s">
        <v>11</v>
      </c>
      <c r="C1281" s="6">
        <v>50000</v>
      </c>
      <c r="D1281" s="6">
        <v>0</v>
      </c>
      <c r="E1281" s="6">
        <v>0</v>
      </c>
      <c r="F1281" s="6">
        <v>0</v>
      </c>
      <c r="G1281" s="7" t="s">
        <v>21</v>
      </c>
      <c r="H1281" s="1">
        <f t="shared" si="19"/>
        <v>0</v>
      </c>
    </row>
    <row r="1282" spans="1:8" x14ac:dyDescent="0.25">
      <c r="A1282" s="1" t="s">
        <v>7</v>
      </c>
      <c r="B1282" s="1" t="s">
        <v>11</v>
      </c>
      <c r="C1282" s="6">
        <v>1000000</v>
      </c>
      <c r="D1282" s="6">
        <v>0</v>
      </c>
      <c r="E1282" s="6">
        <v>0</v>
      </c>
      <c r="F1282" s="6">
        <v>0</v>
      </c>
      <c r="G1282" s="7" t="s">
        <v>21</v>
      </c>
      <c r="H1282" s="1">
        <f t="shared" ref="H1282:H1345" si="20">IF(OR(ISNA($D1282),ISNA($C1282),$C1282=0),0,$D1282/$C1282)</f>
        <v>0</v>
      </c>
    </row>
    <row r="1283" spans="1:8" x14ac:dyDescent="0.25">
      <c r="A1283" s="1" t="s">
        <v>7</v>
      </c>
      <c r="B1283" s="1" t="s">
        <v>11</v>
      </c>
      <c r="C1283" s="6">
        <v>151997</v>
      </c>
      <c r="D1283" s="6">
        <v>0</v>
      </c>
      <c r="E1283" s="6">
        <v>0</v>
      </c>
      <c r="F1283" s="6">
        <v>0</v>
      </c>
      <c r="G1283" s="7" t="s">
        <v>21</v>
      </c>
      <c r="H1283" s="1">
        <f t="shared" si="20"/>
        <v>0</v>
      </c>
    </row>
    <row r="1284" spans="1:8" x14ac:dyDescent="0.25">
      <c r="A1284" s="1" t="s">
        <v>7</v>
      </c>
      <c r="B1284" s="1" t="s">
        <v>11</v>
      </c>
      <c r="C1284" s="6">
        <v>1000</v>
      </c>
      <c r="D1284" s="6">
        <v>0</v>
      </c>
      <c r="E1284" s="6">
        <v>0</v>
      </c>
      <c r="F1284" s="6">
        <v>0</v>
      </c>
      <c r="G1284" s="7" t="s">
        <v>21</v>
      </c>
      <c r="H1284" s="1">
        <f t="shared" si="20"/>
        <v>0</v>
      </c>
    </row>
    <row r="1285" spans="1:8" x14ac:dyDescent="0.25">
      <c r="A1285" s="1" t="s">
        <v>7</v>
      </c>
      <c r="B1285" s="1" t="s">
        <v>11</v>
      </c>
      <c r="C1285" s="6">
        <v>1519540</v>
      </c>
      <c r="D1285" s="6">
        <v>0</v>
      </c>
      <c r="E1285" s="6">
        <v>0</v>
      </c>
      <c r="F1285" s="6">
        <v>0</v>
      </c>
      <c r="G1285" s="7" t="s">
        <v>21</v>
      </c>
      <c r="H1285" s="1">
        <f t="shared" si="20"/>
        <v>0</v>
      </c>
    </row>
    <row r="1286" spans="1:8" x14ac:dyDescent="0.25">
      <c r="A1286" s="1" t="s">
        <v>7</v>
      </c>
      <c r="B1286" s="1" t="s">
        <v>11</v>
      </c>
      <c r="C1286" s="6">
        <v>1081449</v>
      </c>
      <c r="D1286" s="6">
        <v>1059922.99</v>
      </c>
      <c r="E1286" s="6">
        <v>967995.34</v>
      </c>
      <c r="F1286" s="6">
        <v>967995.34</v>
      </c>
      <c r="G1286" s="7" t="s">
        <v>21</v>
      </c>
      <c r="H1286" s="1">
        <f t="shared" si="20"/>
        <v>0.98009521484600748</v>
      </c>
    </row>
    <row r="1287" spans="1:8" x14ac:dyDescent="0.25">
      <c r="A1287" s="1" t="s">
        <v>7</v>
      </c>
      <c r="B1287" s="1" t="s">
        <v>11</v>
      </c>
      <c r="C1287" s="6">
        <v>1000</v>
      </c>
      <c r="D1287" s="6">
        <v>0</v>
      </c>
      <c r="E1287" s="6">
        <v>0</v>
      </c>
      <c r="F1287" s="6">
        <v>0</v>
      </c>
      <c r="G1287" s="7" t="s">
        <v>21</v>
      </c>
      <c r="H1287" s="1">
        <f t="shared" si="20"/>
        <v>0</v>
      </c>
    </row>
    <row r="1288" spans="1:8" x14ac:dyDescent="0.25">
      <c r="A1288" s="1" t="s">
        <v>7</v>
      </c>
      <c r="B1288" s="1" t="s">
        <v>11</v>
      </c>
      <c r="C1288" s="6">
        <v>36154972</v>
      </c>
      <c r="D1288" s="6">
        <v>17337214.510000002</v>
      </c>
      <c r="E1288" s="6">
        <v>17333531.510000002</v>
      </c>
      <c r="F1288" s="6">
        <v>15400318.109999999</v>
      </c>
      <c r="G1288" s="7" t="s">
        <v>21</v>
      </c>
      <c r="H1288" s="1">
        <f t="shared" si="20"/>
        <v>0.47952504319461237</v>
      </c>
    </row>
    <row r="1289" spans="1:8" x14ac:dyDescent="0.25">
      <c r="A1289" s="1" t="s">
        <v>7</v>
      </c>
      <c r="B1289" s="1" t="s">
        <v>11</v>
      </c>
      <c r="C1289" s="6">
        <v>6380384</v>
      </c>
      <c r="D1289" s="6">
        <v>0</v>
      </c>
      <c r="E1289" s="6">
        <v>0</v>
      </c>
      <c r="F1289" s="6">
        <v>0</v>
      </c>
      <c r="G1289" s="7" t="s">
        <v>21</v>
      </c>
      <c r="H1289" s="1">
        <f t="shared" si="20"/>
        <v>0</v>
      </c>
    </row>
    <row r="1290" spans="1:8" x14ac:dyDescent="0.25">
      <c r="A1290" s="1" t="s">
        <v>7</v>
      </c>
      <c r="B1290" s="1" t="s">
        <v>11</v>
      </c>
      <c r="C1290" s="6">
        <v>7300000</v>
      </c>
      <c r="D1290" s="6">
        <v>82048790.859999999</v>
      </c>
      <c r="E1290" s="6">
        <v>82048790.859999999</v>
      </c>
      <c r="F1290" s="6">
        <v>72790829.030000001</v>
      </c>
      <c r="G1290" s="7" t="s">
        <v>21</v>
      </c>
      <c r="H1290" s="1">
        <f t="shared" si="20"/>
        <v>11.239560391780822</v>
      </c>
    </row>
    <row r="1291" spans="1:8" x14ac:dyDescent="0.25">
      <c r="A1291" s="1" t="s">
        <v>7</v>
      </c>
      <c r="B1291" s="1" t="s">
        <v>11</v>
      </c>
      <c r="C1291" s="6">
        <v>46532084</v>
      </c>
      <c r="D1291" s="6">
        <v>88503270.25</v>
      </c>
      <c r="E1291" s="6">
        <v>88503270.25</v>
      </c>
      <c r="F1291" s="6">
        <v>79031769.099999994</v>
      </c>
      <c r="G1291" s="7" t="s">
        <v>21</v>
      </c>
      <c r="H1291" s="1">
        <f t="shared" si="20"/>
        <v>1.901983806485005</v>
      </c>
    </row>
    <row r="1292" spans="1:8" x14ac:dyDescent="0.25">
      <c r="A1292" s="1" t="s">
        <v>7</v>
      </c>
      <c r="B1292" s="1" t="s">
        <v>11</v>
      </c>
      <c r="C1292" s="6">
        <v>4666513</v>
      </c>
      <c r="D1292" s="6">
        <v>2598450</v>
      </c>
      <c r="E1292" s="6">
        <v>2598450</v>
      </c>
      <c r="F1292" s="6">
        <v>1929658</v>
      </c>
      <c r="G1292" s="7" t="s">
        <v>21</v>
      </c>
      <c r="H1292" s="1">
        <f t="shared" si="20"/>
        <v>0.55682904987085646</v>
      </c>
    </row>
    <row r="1293" spans="1:8" x14ac:dyDescent="0.25">
      <c r="A1293" s="1" t="s">
        <v>7</v>
      </c>
      <c r="B1293" s="1" t="s">
        <v>11</v>
      </c>
      <c r="C1293" s="6">
        <v>1043108042</v>
      </c>
      <c r="D1293" s="6">
        <v>956991275.79999995</v>
      </c>
      <c r="E1293" s="6">
        <v>926931192.71000004</v>
      </c>
      <c r="F1293" s="6">
        <v>847944450.20000005</v>
      </c>
      <c r="G1293" s="7" t="s">
        <v>21</v>
      </c>
      <c r="H1293" s="1">
        <f t="shared" si="20"/>
        <v>0.91744214143447278</v>
      </c>
    </row>
    <row r="1294" spans="1:8" x14ac:dyDescent="0.25">
      <c r="A1294" s="1" t="s">
        <v>7</v>
      </c>
      <c r="B1294" s="1" t="s">
        <v>11</v>
      </c>
      <c r="C1294" s="6">
        <v>1000</v>
      </c>
      <c r="D1294" s="6">
        <v>0</v>
      </c>
      <c r="E1294" s="6">
        <v>0</v>
      </c>
      <c r="F1294" s="6">
        <v>0</v>
      </c>
      <c r="G1294" s="7" t="s">
        <v>21</v>
      </c>
      <c r="H1294" s="1">
        <f t="shared" si="20"/>
        <v>0</v>
      </c>
    </row>
    <row r="1295" spans="1:8" x14ac:dyDescent="0.25">
      <c r="A1295" s="1" t="s">
        <v>7</v>
      </c>
      <c r="B1295" s="1" t="s">
        <v>11</v>
      </c>
      <c r="C1295" s="6">
        <v>14819295</v>
      </c>
      <c r="D1295" s="6">
        <v>952898.22</v>
      </c>
      <c r="E1295" s="6">
        <v>952898.22</v>
      </c>
      <c r="F1295" s="6">
        <v>952898.22</v>
      </c>
      <c r="G1295" s="7" t="s">
        <v>21</v>
      </c>
      <c r="H1295" s="1">
        <f t="shared" si="20"/>
        <v>6.4301184368082284E-2</v>
      </c>
    </row>
    <row r="1296" spans="1:8" x14ac:dyDescent="0.25">
      <c r="A1296" s="1" t="s">
        <v>7</v>
      </c>
      <c r="B1296" s="1" t="s">
        <v>11</v>
      </c>
      <c r="C1296" s="6">
        <v>2580539</v>
      </c>
      <c r="D1296" s="6">
        <v>0</v>
      </c>
      <c r="E1296" s="6">
        <v>0</v>
      </c>
      <c r="F1296" s="6">
        <v>0</v>
      </c>
      <c r="G1296" s="7" t="s">
        <v>21</v>
      </c>
      <c r="H1296" s="1">
        <f t="shared" si="20"/>
        <v>0</v>
      </c>
    </row>
    <row r="1297" spans="1:8" x14ac:dyDescent="0.25">
      <c r="A1297" s="1" t="s">
        <v>7</v>
      </c>
      <c r="B1297" s="1" t="s">
        <v>11</v>
      </c>
      <c r="C1297" s="6">
        <v>440000</v>
      </c>
      <c r="D1297" s="6">
        <v>0</v>
      </c>
      <c r="E1297" s="6">
        <v>0</v>
      </c>
      <c r="F1297" s="6">
        <v>0</v>
      </c>
      <c r="G1297" s="7" t="s">
        <v>21</v>
      </c>
      <c r="H1297" s="1">
        <f t="shared" si="20"/>
        <v>0</v>
      </c>
    </row>
    <row r="1298" spans="1:8" x14ac:dyDescent="0.25">
      <c r="A1298" s="1" t="s">
        <v>7</v>
      </c>
      <c r="B1298" s="1" t="s">
        <v>11</v>
      </c>
      <c r="C1298" s="6">
        <v>2178453</v>
      </c>
      <c r="D1298" s="6">
        <v>0</v>
      </c>
      <c r="E1298" s="6">
        <v>0</v>
      </c>
      <c r="F1298" s="6">
        <v>0</v>
      </c>
      <c r="G1298" s="7" t="s">
        <v>21</v>
      </c>
      <c r="H1298" s="1">
        <f t="shared" si="20"/>
        <v>0</v>
      </c>
    </row>
    <row r="1299" spans="1:8" x14ac:dyDescent="0.25">
      <c r="A1299" s="1" t="s">
        <v>7</v>
      </c>
      <c r="B1299" s="1" t="s">
        <v>11</v>
      </c>
      <c r="C1299" s="6">
        <v>6602400</v>
      </c>
      <c r="D1299" s="6">
        <v>7416391.5</v>
      </c>
      <c r="E1299" s="6">
        <v>7416391.5</v>
      </c>
      <c r="F1299" s="6">
        <v>6788165</v>
      </c>
      <c r="G1299" s="7" t="s">
        <v>21</v>
      </c>
      <c r="H1299" s="1">
        <f t="shared" si="20"/>
        <v>1.1232872137404579</v>
      </c>
    </row>
    <row r="1300" spans="1:8" x14ac:dyDescent="0.25">
      <c r="A1300" s="1" t="s">
        <v>7</v>
      </c>
      <c r="B1300" s="1" t="s">
        <v>11</v>
      </c>
      <c r="C1300" s="6">
        <v>3136005</v>
      </c>
      <c r="D1300" s="6">
        <v>204531.9</v>
      </c>
      <c r="E1300" s="6">
        <v>204531.9</v>
      </c>
      <c r="F1300" s="6">
        <v>204531.9</v>
      </c>
      <c r="G1300" s="7" t="s">
        <v>21</v>
      </c>
      <c r="H1300" s="1">
        <f t="shared" si="20"/>
        <v>6.522052739074076E-2</v>
      </c>
    </row>
    <row r="1301" spans="1:8" x14ac:dyDescent="0.25">
      <c r="A1301" s="1" t="s">
        <v>7</v>
      </c>
      <c r="B1301" s="1" t="s">
        <v>11</v>
      </c>
      <c r="C1301" s="6">
        <v>3600000</v>
      </c>
      <c r="D1301" s="6">
        <v>2065064.01</v>
      </c>
      <c r="E1301" s="6">
        <v>1891971.7</v>
      </c>
      <c r="F1301" s="6">
        <v>1891971.7</v>
      </c>
      <c r="G1301" s="7" t="s">
        <v>21</v>
      </c>
      <c r="H1301" s="1">
        <f t="shared" si="20"/>
        <v>0.57362889166666664</v>
      </c>
    </row>
    <row r="1302" spans="1:8" x14ac:dyDescent="0.25">
      <c r="A1302" s="1" t="s">
        <v>7</v>
      </c>
      <c r="B1302" s="1" t="s">
        <v>11</v>
      </c>
      <c r="C1302" s="6">
        <v>599200</v>
      </c>
      <c r="D1302" s="6">
        <v>0</v>
      </c>
      <c r="E1302" s="6">
        <v>0</v>
      </c>
      <c r="F1302" s="6">
        <v>0</v>
      </c>
      <c r="G1302" s="7" t="s">
        <v>21</v>
      </c>
      <c r="H1302" s="1">
        <f t="shared" si="20"/>
        <v>0</v>
      </c>
    </row>
    <row r="1303" spans="1:8" x14ac:dyDescent="0.25">
      <c r="A1303" s="1" t="s">
        <v>7</v>
      </c>
      <c r="B1303" s="1" t="s">
        <v>11</v>
      </c>
      <c r="C1303" s="6">
        <v>5000</v>
      </c>
      <c r="D1303" s="6">
        <v>0</v>
      </c>
      <c r="E1303" s="6">
        <v>0</v>
      </c>
      <c r="F1303" s="6">
        <v>0</v>
      </c>
      <c r="G1303" s="7" t="s">
        <v>21</v>
      </c>
      <c r="H1303" s="1">
        <f t="shared" si="20"/>
        <v>0</v>
      </c>
    </row>
    <row r="1304" spans="1:8" x14ac:dyDescent="0.25">
      <c r="A1304" s="1" t="s">
        <v>7</v>
      </c>
      <c r="B1304" s="1" t="s">
        <v>11</v>
      </c>
      <c r="C1304" s="6">
        <v>3618000</v>
      </c>
      <c r="D1304" s="6">
        <v>0</v>
      </c>
      <c r="E1304" s="6">
        <v>0</v>
      </c>
      <c r="F1304" s="6">
        <v>0</v>
      </c>
      <c r="G1304" s="7" t="s">
        <v>21</v>
      </c>
      <c r="H1304" s="1">
        <f t="shared" si="20"/>
        <v>0</v>
      </c>
    </row>
    <row r="1305" spans="1:8" x14ac:dyDescent="0.25">
      <c r="A1305" s="1" t="s">
        <v>7</v>
      </c>
      <c r="B1305" s="1" t="s">
        <v>11</v>
      </c>
      <c r="C1305" s="6">
        <v>268960</v>
      </c>
      <c r="D1305" s="6">
        <v>0</v>
      </c>
      <c r="E1305" s="6">
        <v>0</v>
      </c>
      <c r="F1305" s="6">
        <v>0</v>
      </c>
      <c r="G1305" s="7" t="s">
        <v>21</v>
      </c>
      <c r="H1305" s="1">
        <f t="shared" si="20"/>
        <v>0</v>
      </c>
    </row>
    <row r="1306" spans="1:8" x14ac:dyDescent="0.25">
      <c r="A1306" s="1" t="s">
        <v>7</v>
      </c>
      <c r="B1306" s="1" t="s">
        <v>11</v>
      </c>
      <c r="C1306" s="6">
        <v>4072271</v>
      </c>
      <c r="D1306" s="6">
        <v>703574.12</v>
      </c>
      <c r="E1306" s="6">
        <v>672189.52</v>
      </c>
      <c r="F1306" s="6">
        <v>672189.52</v>
      </c>
      <c r="G1306" s="7" t="s">
        <v>21</v>
      </c>
      <c r="H1306" s="1">
        <f t="shared" si="20"/>
        <v>0.17277192996242147</v>
      </c>
    </row>
    <row r="1307" spans="1:8" x14ac:dyDescent="0.25">
      <c r="A1307" s="1" t="s">
        <v>7</v>
      </c>
      <c r="B1307" s="1" t="s">
        <v>11</v>
      </c>
      <c r="C1307" s="6">
        <v>466764</v>
      </c>
      <c r="D1307" s="6">
        <v>580134.57999999996</v>
      </c>
      <c r="E1307" s="6">
        <v>520134.58</v>
      </c>
      <c r="F1307" s="6">
        <v>520134.58</v>
      </c>
      <c r="G1307" s="7" t="s">
        <v>21</v>
      </c>
      <c r="H1307" s="1">
        <f t="shared" si="20"/>
        <v>1.2428862980007027</v>
      </c>
    </row>
    <row r="1308" spans="1:8" x14ac:dyDescent="0.25">
      <c r="A1308" s="1" t="s">
        <v>7</v>
      </c>
      <c r="B1308" s="1" t="s">
        <v>11</v>
      </c>
      <c r="C1308" s="6">
        <v>12835266</v>
      </c>
      <c r="D1308" s="6">
        <v>3932725.51</v>
      </c>
      <c r="E1308" s="6">
        <v>3917875.51</v>
      </c>
      <c r="F1308" s="6">
        <v>3916225.51</v>
      </c>
      <c r="G1308" s="7" t="s">
        <v>21</v>
      </c>
      <c r="H1308" s="1">
        <f t="shared" si="20"/>
        <v>0.30640000059211858</v>
      </c>
    </row>
    <row r="1309" spans="1:8" x14ac:dyDescent="0.25">
      <c r="A1309" s="1" t="s">
        <v>7</v>
      </c>
      <c r="B1309" s="1" t="s">
        <v>11</v>
      </c>
      <c r="C1309" s="6">
        <v>1939369</v>
      </c>
      <c r="D1309" s="6">
        <v>0</v>
      </c>
      <c r="E1309" s="6">
        <v>0</v>
      </c>
      <c r="F1309" s="6">
        <v>0</v>
      </c>
      <c r="G1309" s="7" t="s">
        <v>21</v>
      </c>
      <c r="H1309" s="1">
        <f t="shared" si="20"/>
        <v>0</v>
      </c>
    </row>
    <row r="1310" spans="1:8" x14ac:dyDescent="0.25">
      <c r="A1310" s="1" t="s">
        <v>7</v>
      </c>
      <c r="B1310" s="1" t="s">
        <v>11</v>
      </c>
      <c r="C1310" s="6">
        <v>4700000</v>
      </c>
      <c r="D1310" s="6">
        <v>22598710.949999999</v>
      </c>
      <c r="E1310" s="6">
        <v>22598710.949999999</v>
      </c>
      <c r="F1310" s="6">
        <v>18359554.640000001</v>
      </c>
      <c r="G1310" s="7" t="s">
        <v>21</v>
      </c>
      <c r="H1310" s="1">
        <f t="shared" si="20"/>
        <v>4.8082363723404251</v>
      </c>
    </row>
    <row r="1311" spans="1:8" x14ac:dyDescent="0.25">
      <c r="A1311" s="1" t="s">
        <v>7</v>
      </c>
      <c r="B1311" s="1" t="s">
        <v>11</v>
      </c>
      <c r="C1311" s="6">
        <v>9000</v>
      </c>
      <c r="D1311" s="6">
        <v>4486951.71</v>
      </c>
      <c r="E1311" s="6">
        <v>4486951.71</v>
      </c>
      <c r="F1311" s="6">
        <v>95643.45</v>
      </c>
      <c r="G1311" s="7" t="s">
        <v>21</v>
      </c>
      <c r="H1311" s="1">
        <f t="shared" si="20"/>
        <v>498.55018999999999</v>
      </c>
    </row>
    <row r="1312" spans="1:8" x14ac:dyDescent="0.25">
      <c r="A1312" s="1" t="s">
        <v>7</v>
      </c>
      <c r="B1312" s="1" t="s">
        <v>11</v>
      </c>
      <c r="C1312" s="6">
        <v>1301589</v>
      </c>
      <c r="D1312" s="6">
        <v>254081</v>
      </c>
      <c r="E1312" s="6">
        <v>247185</v>
      </c>
      <c r="F1312" s="6">
        <v>247185</v>
      </c>
      <c r="G1312" s="7" t="s">
        <v>21</v>
      </c>
      <c r="H1312" s="1">
        <f t="shared" si="20"/>
        <v>0.19520831844768202</v>
      </c>
    </row>
    <row r="1313" spans="1:8" x14ac:dyDescent="0.25">
      <c r="A1313" s="1" t="s">
        <v>7</v>
      </c>
      <c r="B1313" s="1" t="s">
        <v>11</v>
      </c>
      <c r="C1313" s="6">
        <v>549470002</v>
      </c>
      <c r="D1313" s="6">
        <v>529219558.06</v>
      </c>
      <c r="E1313" s="6">
        <v>509866457.01999998</v>
      </c>
      <c r="F1313" s="6">
        <v>466039709.22000003</v>
      </c>
      <c r="G1313" s="7" t="s">
        <v>21</v>
      </c>
      <c r="H1313" s="1">
        <f t="shared" si="20"/>
        <v>0.96314549681276318</v>
      </c>
    </row>
    <row r="1314" spans="1:8" x14ac:dyDescent="0.25">
      <c r="A1314" s="1" t="s">
        <v>7</v>
      </c>
      <c r="B1314" s="1" t="s">
        <v>11</v>
      </c>
      <c r="C1314" s="6">
        <v>9000</v>
      </c>
      <c r="D1314" s="6">
        <v>0</v>
      </c>
      <c r="E1314" s="6">
        <v>0</v>
      </c>
      <c r="F1314" s="6">
        <v>0</v>
      </c>
      <c r="G1314" s="7" t="s">
        <v>21</v>
      </c>
      <c r="H1314" s="1">
        <f t="shared" si="20"/>
        <v>0</v>
      </c>
    </row>
    <row r="1315" spans="1:8" x14ac:dyDescent="0.25">
      <c r="A1315" s="1" t="s">
        <v>7</v>
      </c>
      <c r="B1315" s="1" t="s">
        <v>11</v>
      </c>
      <c r="C1315" s="6">
        <v>228280231</v>
      </c>
      <c r="D1315" s="6">
        <v>234208556.59999999</v>
      </c>
      <c r="E1315" s="6">
        <v>233205407.65000001</v>
      </c>
      <c r="F1315" s="6">
        <v>225776355.88999999</v>
      </c>
      <c r="G1315" s="7" t="s">
        <v>21</v>
      </c>
      <c r="H1315" s="1">
        <f t="shared" si="20"/>
        <v>1.0259695093790229</v>
      </c>
    </row>
    <row r="1316" spans="1:8" x14ac:dyDescent="0.25">
      <c r="A1316" s="1" t="s">
        <v>7</v>
      </c>
      <c r="B1316" s="1" t="s">
        <v>11</v>
      </c>
      <c r="C1316" s="6">
        <v>5000</v>
      </c>
      <c r="D1316" s="6">
        <v>0</v>
      </c>
      <c r="E1316" s="6">
        <v>0</v>
      </c>
      <c r="F1316" s="6">
        <v>0</v>
      </c>
      <c r="G1316" s="7" t="s">
        <v>21</v>
      </c>
      <c r="H1316" s="1">
        <f t="shared" si="20"/>
        <v>0</v>
      </c>
    </row>
    <row r="1317" spans="1:8" x14ac:dyDescent="0.25">
      <c r="A1317" s="1" t="s">
        <v>7</v>
      </c>
      <c r="B1317" s="1" t="s">
        <v>11</v>
      </c>
      <c r="C1317" s="6">
        <v>750</v>
      </c>
      <c r="D1317" s="6">
        <v>0</v>
      </c>
      <c r="E1317" s="6">
        <v>0</v>
      </c>
      <c r="F1317" s="6">
        <v>0</v>
      </c>
      <c r="G1317" s="7" t="s">
        <v>21</v>
      </c>
      <c r="H1317" s="1">
        <f t="shared" si="20"/>
        <v>0</v>
      </c>
    </row>
    <row r="1318" spans="1:8" x14ac:dyDescent="0.25">
      <c r="A1318" s="1" t="s">
        <v>7</v>
      </c>
      <c r="B1318" s="1" t="s">
        <v>11</v>
      </c>
      <c r="C1318" s="6">
        <v>42385</v>
      </c>
      <c r="D1318" s="6">
        <v>14151.75</v>
      </c>
      <c r="E1318" s="6">
        <v>14151.75</v>
      </c>
      <c r="F1318" s="6">
        <v>11796.75</v>
      </c>
      <c r="G1318" s="7" t="s">
        <v>21</v>
      </c>
      <c r="H1318" s="1">
        <f t="shared" si="20"/>
        <v>0.33388580865872358</v>
      </c>
    </row>
    <row r="1319" spans="1:8" x14ac:dyDescent="0.25">
      <c r="A1319" s="1" t="s">
        <v>7</v>
      </c>
      <c r="B1319" s="1" t="s">
        <v>11</v>
      </c>
      <c r="C1319" s="6">
        <v>7480</v>
      </c>
      <c r="D1319" s="6">
        <v>0</v>
      </c>
      <c r="E1319" s="6">
        <v>0</v>
      </c>
      <c r="F1319" s="6">
        <v>0</v>
      </c>
      <c r="G1319" s="7" t="s">
        <v>21</v>
      </c>
      <c r="H1319" s="1">
        <f t="shared" si="20"/>
        <v>0</v>
      </c>
    </row>
    <row r="1320" spans="1:8" x14ac:dyDescent="0.25">
      <c r="A1320" s="1" t="s">
        <v>7</v>
      </c>
      <c r="B1320" s="1" t="s">
        <v>11</v>
      </c>
      <c r="C1320" s="6">
        <v>25000</v>
      </c>
      <c r="D1320" s="6">
        <v>275000</v>
      </c>
      <c r="E1320" s="6">
        <v>275000</v>
      </c>
      <c r="F1320" s="6">
        <v>25000</v>
      </c>
      <c r="G1320" s="7" t="s">
        <v>21</v>
      </c>
      <c r="H1320" s="1">
        <f t="shared" si="20"/>
        <v>11</v>
      </c>
    </row>
    <row r="1321" spans="1:8" x14ac:dyDescent="0.25">
      <c r="A1321" s="1" t="s">
        <v>7</v>
      </c>
      <c r="B1321" s="1" t="s">
        <v>11</v>
      </c>
      <c r="C1321" s="6">
        <v>8735</v>
      </c>
      <c r="D1321" s="6">
        <v>84718.372499999998</v>
      </c>
      <c r="E1321" s="6">
        <v>84718.372499999998</v>
      </c>
      <c r="F1321" s="6">
        <v>80856.862500000003</v>
      </c>
      <c r="G1321" s="7" t="s">
        <v>21</v>
      </c>
      <c r="H1321" s="1">
        <f t="shared" si="20"/>
        <v>9.698726101888953</v>
      </c>
    </row>
    <row r="1322" spans="1:8" x14ac:dyDescent="0.25">
      <c r="A1322" s="1" t="s">
        <v>7</v>
      </c>
      <c r="B1322" s="1" t="s">
        <v>11</v>
      </c>
      <c r="C1322" s="6">
        <v>6624</v>
      </c>
      <c r="D1322" s="6">
        <v>1276</v>
      </c>
      <c r="E1322" s="6">
        <v>1276</v>
      </c>
      <c r="F1322" s="6">
        <v>957</v>
      </c>
      <c r="G1322" s="7" t="s">
        <v>21</v>
      </c>
      <c r="H1322" s="1">
        <f t="shared" si="20"/>
        <v>0.19263285024154589</v>
      </c>
    </row>
    <row r="1323" spans="1:8" x14ac:dyDescent="0.25">
      <c r="A1323" s="1" t="s">
        <v>7</v>
      </c>
      <c r="B1323" s="1" t="s">
        <v>11</v>
      </c>
      <c r="C1323" s="6">
        <v>5599240</v>
      </c>
      <c r="D1323" s="6">
        <v>5168763.1074999999</v>
      </c>
      <c r="E1323" s="6">
        <v>5130319.6924999999</v>
      </c>
      <c r="F1323" s="6">
        <v>4569522.9474999998</v>
      </c>
      <c r="G1323" s="7" t="s">
        <v>21</v>
      </c>
      <c r="H1323" s="1">
        <f t="shared" si="20"/>
        <v>0.92311869244754641</v>
      </c>
    </row>
    <row r="1324" spans="1:8" x14ac:dyDescent="0.25">
      <c r="A1324" s="1" t="s">
        <v>7</v>
      </c>
      <c r="B1324" s="1" t="s">
        <v>11</v>
      </c>
      <c r="C1324" s="6">
        <v>266157</v>
      </c>
      <c r="D1324" s="6">
        <v>100185</v>
      </c>
      <c r="E1324" s="6">
        <v>100185</v>
      </c>
      <c r="F1324" s="6">
        <v>88975</v>
      </c>
      <c r="G1324" s="7" t="s">
        <v>21</v>
      </c>
      <c r="H1324" s="1">
        <f t="shared" si="20"/>
        <v>0.37641316967053279</v>
      </c>
    </row>
    <row r="1325" spans="1:8" x14ac:dyDescent="0.25">
      <c r="A1325" s="1" t="s">
        <v>7</v>
      </c>
      <c r="B1325" s="1" t="s">
        <v>11</v>
      </c>
      <c r="C1325" s="6">
        <v>46970</v>
      </c>
      <c r="D1325" s="6">
        <v>0</v>
      </c>
      <c r="E1325" s="6">
        <v>0</v>
      </c>
      <c r="F1325" s="6">
        <v>0</v>
      </c>
      <c r="G1325" s="7" t="s">
        <v>21</v>
      </c>
      <c r="H1325" s="1">
        <f t="shared" si="20"/>
        <v>0</v>
      </c>
    </row>
    <row r="1326" spans="1:8" x14ac:dyDescent="0.25">
      <c r="A1326" s="1" t="s">
        <v>7</v>
      </c>
      <c r="B1326" s="1" t="s">
        <v>11</v>
      </c>
      <c r="C1326" s="6">
        <v>300000</v>
      </c>
      <c r="D1326" s="6">
        <v>300000</v>
      </c>
      <c r="E1326" s="6">
        <v>300000</v>
      </c>
      <c r="F1326" s="6">
        <v>300000</v>
      </c>
      <c r="G1326" s="7" t="s">
        <v>21</v>
      </c>
      <c r="H1326" s="1">
        <f t="shared" si="20"/>
        <v>1</v>
      </c>
    </row>
    <row r="1327" spans="1:8" x14ac:dyDescent="0.25">
      <c r="A1327" s="1" t="s">
        <v>7</v>
      </c>
      <c r="B1327" s="1" t="s">
        <v>11</v>
      </c>
      <c r="C1327" s="6">
        <v>325205</v>
      </c>
      <c r="D1327" s="6">
        <v>524818.68999999994</v>
      </c>
      <c r="E1327" s="6">
        <v>524818.68999999994</v>
      </c>
      <c r="F1327" s="6">
        <v>387116.01</v>
      </c>
      <c r="G1327" s="7" t="s">
        <v>21</v>
      </c>
      <c r="H1327" s="1">
        <f t="shared" si="20"/>
        <v>1.6138087975277131</v>
      </c>
    </row>
    <row r="1328" spans="1:8" x14ac:dyDescent="0.25">
      <c r="A1328" s="1" t="s">
        <v>7</v>
      </c>
      <c r="B1328" s="1" t="s">
        <v>11</v>
      </c>
      <c r="C1328" s="6">
        <v>10480</v>
      </c>
      <c r="D1328" s="6">
        <v>6790</v>
      </c>
      <c r="E1328" s="6">
        <v>6790</v>
      </c>
      <c r="F1328" s="6">
        <v>4074</v>
      </c>
      <c r="G1328" s="7" t="s">
        <v>21</v>
      </c>
      <c r="H1328" s="1">
        <f t="shared" si="20"/>
        <v>0.64790076335877866</v>
      </c>
    </row>
    <row r="1329" spans="1:8" x14ac:dyDescent="0.25">
      <c r="A1329" s="1" t="s">
        <v>7</v>
      </c>
      <c r="B1329" s="1" t="s">
        <v>11</v>
      </c>
      <c r="C1329" s="6">
        <v>16399</v>
      </c>
      <c r="D1329" s="6">
        <v>0</v>
      </c>
      <c r="E1329" s="6">
        <v>0</v>
      </c>
      <c r="F1329" s="6">
        <v>0</v>
      </c>
      <c r="G1329" s="7" t="s">
        <v>21</v>
      </c>
      <c r="H1329" s="1">
        <f t="shared" si="20"/>
        <v>0</v>
      </c>
    </row>
    <row r="1330" spans="1:8" x14ac:dyDescent="0.25">
      <c r="A1330" s="1" t="s">
        <v>7</v>
      </c>
      <c r="B1330" s="1" t="s">
        <v>11</v>
      </c>
      <c r="C1330" s="6">
        <v>691416</v>
      </c>
      <c r="D1330" s="6">
        <v>13708.12</v>
      </c>
      <c r="E1330" s="6">
        <v>525</v>
      </c>
      <c r="F1330" s="6">
        <v>525</v>
      </c>
      <c r="G1330" s="7" t="s">
        <v>21</v>
      </c>
      <c r="H1330" s="1">
        <f t="shared" si="20"/>
        <v>1.9826153863954553E-2</v>
      </c>
    </row>
    <row r="1331" spans="1:8" x14ac:dyDescent="0.25">
      <c r="A1331" s="1" t="s">
        <v>7</v>
      </c>
      <c r="B1331" s="1" t="s">
        <v>11</v>
      </c>
      <c r="C1331" s="6">
        <v>4688734</v>
      </c>
      <c r="D1331" s="6">
        <v>1456370.08</v>
      </c>
      <c r="E1331" s="6">
        <v>1456370.08</v>
      </c>
      <c r="F1331" s="6">
        <v>1456370.08</v>
      </c>
      <c r="G1331" s="7" t="s">
        <v>21</v>
      </c>
      <c r="H1331" s="1">
        <f t="shared" si="20"/>
        <v>0.31061051448002808</v>
      </c>
    </row>
    <row r="1332" spans="1:8" x14ac:dyDescent="0.25">
      <c r="A1332" s="1" t="s">
        <v>7</v>
      </c>
      <c r="B1332" s="1" t="s">
        <v>11</v>
      </c>
      <c r="C1332" s="6">
        <v>360000</v>
      </c>
      <c r="D1332" s="6">
        <v>309000</v>
      </c>
      <c r="E1332" s="6">
        <v>279750</v>
      </c>
      <c r="F1332" s="6">
        <v>279750</v>
      </c>
      <c r="G1332" s="7" t="s">
        <v>21</v>
      </c>
      <c r="H1332" s="1">
        <f t="shared" si="20"/>
        <v>0.85833333333333328</v>
      </c>
    </row>
    <row r="1333" spans="1:8" x14ac:dyDescent="0.25">
      <c r="A1333" s="1" t="s">
        <v>7</v>
      </c>
      <c r="B1333" s="1" t="s">
        <v>11</v>
      </c>
      <c r="C1333" s="6">
        <v>3420000</v>
      </c>
      <c r="D1333" s="6">
        <v>2129196.35</v>
      </c>
      <c r="E1333" s="6">
        <v>1720683.48</v>
      </c>
      <c r="F1333" s="6">
        <v>1720683.48</v>
      </c>
      <c r="G1333" s="7" t="s">
        <v>21</v>
      </c>
      <c r="H1333" s="1">
        <f t="shared" si="20"/>
        <v>0.62257203216374268</v>
      </c>
    </row>
    <row r="1334" spans="1:8" x14ac:dyDescent="0.25">
      <c r="A1334" s="1" t="s">
        <v>7</v>
      </c>
      <c r="B1334" s="1" t="s">
        <v>11</v>
      </c>
      <c r="C1334" s="6">
        <v>1080000</v>
      </c>
      <c r="D1334" s="6">
        <v>0</v>
      </c>
      <c r="E1334" s="6">
        <v>0</v>
      </c>
      <c r="F1334" s="6">
        <v>0</v>
      </c>
      <c r="G1334" s="7" t="s">
        <v>21</v>
      </c>
      <c r="H1334" s="1">
        <f t="shared" si="20"/>
        <v>0</v>
      </c>
    </row>
    <row r="1335" spans="1:8" x14ac:dyDescent="0.25">
      <c r="A1335" s="1" t="s">
        <v>7</v>
      </c>
      <c r="B1335" s="1" t="s">
        <v>11</v>
      </c>
      <c r="C1335" s="6">
        <v>16022</v>
      </c>
      <c r="D1335" s="6">
        <v>256.505</v>
      </c>
      <c r="E1335" s="6">
        <v>256.505</v>
      </c>
      <c r="F1335" s="6">
        <v>256.505</v>
      </c>
      <c r="G1335" s="7" t="s">
        <v>21</v>
      </c>
      <c r="H1335" s="1">
        <f t="shared" si="20"/>
        <v>1.6009549369616776E-2</v>
      </c>
    </row>
    <row r="1336" spans="1:8" x14ac:dyDescent="0.25">
      <c r="A1336" s="1" t="s">
        <v>7</v>
      </c>
      <c r="B1336" s="1" t="s">
        <v>11</v>
      </c>
      <c r="C1336" s="6">
        <v>35601</v>
      </c>
      <c r="D1336" s="6">
        <v>124.5</v>
      </c>
      <c r="E1336" s="6">
        <v>124.5</v>
      </c>
      <c r="F1336" s="6">
        <v>124.5</v>
      </c>
      <c r="G1336" s="7" t="s">
        <v>21</v>
      </c>
      <c r="H1336" s="1">
        <f t="shared" si="20"/>
        <v>3.4970927782927447E-3</v>
      </c>
    </row>
    <row r="1337" spans="1:8" x14ac:dyDescent="0.25">
      <c r="A1337" s="1" t="s">
        <v>7</v>
      </c>
      <c r="B1337" s="1" t="s">
        <v>11</v>
      </c>
      <c r="C1337" s="6">
        <v>15744</v>
      </c>
      <c r="D1337" s="6">
        <v>2755.5075000000002</v>
      </c>
      <c r="E1337" s="6">
        <v>583.00750000000005</v>
      </c>
      <c r="F1337" s="6">
        <v>583.00750000000005</v>
      </c>
      <c r="G1337" s="7" t="s">
        <v>21</v>
      </c>
      <c r="H1337" s="1">
        <f t="shared" si="20"/>
        <v>0.17501953125</v>
      </c>
    </row>
    <row r="1338" spans="1:8" x14ac:dyDescent="0.25">
      <c r="A1338" s="1" t="s">
        <v>7</v>
      </c>
      <c r="B1338" s="1" t="s">
        <v>11</v>
      </c>
      <c r="C1338" s="6">
        <v>2826</v>
      </c>
      <c r="D1338" s="6">
        <v>0</v>
      </c>
      <c r="E1338" s="6">
        <v>0</v>
      </c>
      <c r="F1338" s="6">
        <v>0</v>
      </c>
      <c r="G1338" s="7" t="s">
        <v>21</v>
      </c>
      <c r="H1338" s="1">
        <f t="shared" si="20"/>
        <v>0</v>
      </c>
    </row>
    <row r="1339" spans="1:8" x14ac:dyDescent="0.25">
      <c r="A1339" s="1" t="s">
        <v>7</v>
      </c>
      <c r="B1339" s="1" t="s">
        <v>11</v>
      </c>
      <c r="C1339" s="6">
        <v>2500</v>
      </c>
      <c r="D1339" s="6">
        <v>0</v>
      </c>
      <c r="E1339" s="6">
        <v>0</v>
      </c>
      <c r="F1339" s="6">
        <v>0</v>
      </c>
      <c r="G1339" s="7" t="s">
        <v>21</v>
      </c>
      <c r="H1339" s="1">
        <f t="shared" si="20"/>
        <v>0</v>
      </c>
    </row>
    <row r="1340" spans="1:8" x14ac:dyDescent="0.25">
      <c r="A1340" s="1" t="s">
        <v>7</v>
      </c>
      <c r="B1340" s="1" t="s">
        <v>11</v>
      </c>
      <c r="C1340" s="6">
        <v>111517</v>
      </c>
      <c r="D1340" s="6">
        <v>34473.15</v>
      </c>
      <c r="E1340" s="6">
        <v>30020.375</v>
      </c>
      <c r="F1340" s="6">
        <v>24562.125</v>
      </c>
      <c r="G1340" s="7" t="s">
        <v>21</v>
      </c>
      <c r="H1340" s="1">
        <f t="shared" si="20"/>
        <v>0.30912910139261279</v>
      </c>
    </row>
    <row r="1341" spans="1:8" x14ac:dyDescent="0.25">
      <c r="A1341" s="1" t="s">
        <v>7</v>
      </c>
      <c r="B1341" s="1" t="s">
        <v>11</v>
      </c>
      <c r="C1341" s="6">
        <v>195106</v>
      </c>
      <c r="D1341" s="6">
        <v>190815.75200000001</v>
      </c>
      <c r="E1341" s="6">
        <v>168653.209</v>
      </c>
      <c r="F1341" s="6">
        <v>168653.209</v>
      </c>
      <c r="G1341" s="7" t="s">
        <v>21</v>
      </c>
      <c r="H1341" s="1">
        <f t="shared" si="20"/>
        <v>0.97801068137320235</v>
      </c>
    </row>
    <row r="1342" spans="1:8" x14ac:dyDescent="0.25">
      <c r="A1342" s="1" t="s">
        <v>7</v>
      </c>
      <c r="B1342" s="1" t="s">
        <v>11</v>
      </c>
      <c r="C1342" s="6">
        <v>850000</v>
      </c>
      <c r="D1342" s="6">
        <v>573393.85</v>
      </c>
      <c r="E1342" s="6">
        <v>515122.52500000002</v>
      </c>
      <c r="F1342" s="6">
        <v>515122.52500000002</v>
      </c>
      <c r="G1342" s="7" t="s">
        <v>21</v>
      </c>
      <c r="H1342" s="1">
        <f t="shared" si="20"/>
        <v>0.67458099999999999</v>
      </c>
    </row>
    <row r="1343" spans="1:8" x14ac:dyDescent="0.25">
      <c r="A1343" s="1" t="s">
        <v>7</v>
      </c>
      <c r="B1343" s="1" t="s">
        <v>11</v>
      </c>
      <c r="C1343" s="6">
        <v>297500</v>
      </c>
      <c r="D1343" s="6">
        <v>0</v>
      </c>
      <c r="E1343" s="6">
        <v>0</v>
      </c>
      <c r="F1343" s="6">
        <v>0</v>
      </c>
      <c r="G1343" s="7" t="s">
        <v>21</v>
      </c>
      <c r="H1343" s="1">
        <f t="shared" si="20"/>
        <v>0</v>
      </c>
    </row>
    <row r="1344" spans="1:8" x14ac:dyDescent="0.25">
      <c r="A1344" s="1" t="s">
        <v>16</v>
      </c>
      <c r="B1344" s="1" t="s">
        <v>17</v>
      </c>
      <c r="C1344" s="6">
        <v>272750</v>
      </c>
      <c r="D1344" s="6">
        <v>376507.3</v>
      </c>
      <c r="E1344" s="6">
        <v>376507.3</v>
      </c>
      <c r="F1344" s="6">
        <v>350459.28</v>
      </c>
      <c r="G1344" s="7" t="s">
        <v>21</v>
      </c>
      <c r="H1344" s="1">
        <f t="shared" si="20"/>
        <v>1.3804117323556371</v>
      </c>
    </row>
    <row r="1345" spans="1:8" x14ac:dyDescent="0.25">
      <c r="A1345" s="1" t="s">
        <v>16</v>
      </c>
      <c r="B1345" s="1" t="s">
        <v>17</v>
      </c>
      <c r="C1345" s="6">
        <v>8000</v>
      </c>
      <c r="D1345" s="6">
        <v>0</v>
      </c>
      <c r="E1345" s="6">
        <v>0</v>
      </c>
      <c r="F1345" s="6">
        <v>0</v>
      </c>
      <c r="G1345" s="7" t="s">
        <v>21</v>
      </c>
      <c r="H1345" s="1">
        <f t="shared" si="20"/>
        <v>0</v>
      </c>
    </row>
    <row r="1346" spans="1:8" x14ac:dyDescent="0.25">
      <c r="A1346" s="1" t="s">
        <v>16</v>
      </c>
      <c r="B1346" s="1" t="s">
        <v>17</v>
      </c>
      <c r="C1346" s="6">
        <v>7300</v>
      </c>
      <c r="D1346" s="6">
        <v>0</v>
      </c>
      <c r="E1346" s="6">
        <v>0</v>
      </c>
      <c r="F1346" s="6">
        <v>0</v>
      </c>
      <c r="G1346" s="7" t="s">
        <v>21</v>
      </c>
      <c r="H1346" s="1">
        <f t="shared" ref="H1346:H1409" si="21">IF(OR(ISNA($D1346),ISNA($C1346),$C1346=0),0,$D1346/$C1346)</f>
        <v>0</v>
      </c>
    </row>
    <row r="1347" spans="1:8" x14ac:dyDescent="0.25">
      <c r="A1347" s="1" t="s">
        <v>16</v>
      </c>
      <c r="B1347" s="1" t="s">
        <v>17</v>
      </c>
      <c r="C1347" s="6">
        <v>53175</v>
      </c>
      <c r="D1347" s="6">
        <v>0</v>
      </c>
      <c r="E1347" s="6">
        <v>0</v>
      </c>
      <c r="F1347" s="6">
        <v>0</v>
      </c>
      <c r="G1347" s="7" t="s">
        <v>21</v>
      </c>
      <c r="H1347" s="1">
        <f t="shared" si="21"/>
        <v>0</v>
      </c>
    </row>
    <row r="1348" spans="1:8" x14ac:dyDescent="0.25">
      <c r="A1348" s="1" t="s">
        <v>16</v>
      </c>
      <c r="B1348" s="1" t="s">
        <v>17</v>
      </c>
      <c r="C1348" s="6">
        <v>10707632</v>
      </c>
      <c r="D1348" s="6">
        <v>10627186.27</v>
      </c>
      <c r="E1348" s="6">
        <v>10461834.4125</v>
      </c>
      <c r="F1348" s="6">
        <v>9715252.7650000006</v>
      </c>
      <c r="G1348" s="7" t="s">
        <v>21</v>
      </c>
      <c r="H1348" s="1">
        <f t="shared" si="21"/>
        <v>0.9924870662346259</v>
      </c>
    </row>
    <row r="1349" spans="1:8" x14ac:dyDescent="0.25">
      <c r="A1349" s="1" t="s">
        <v>16</v>
      </c>
      <c r="B1349" s="1" t="s">
        <v>17</v>
      </c>
      <c r="C1349" s="6">
        <v>257422</v>
      </c>
      <c r="D1349" s="6">
        <v>365733.01500000001</v>
      </c>
      <c r="E1349" s="6">
        <v>365733.01500000001</v>
      </c>
      <c r="F1349" s="6">
        <v>365733.01500000001</v>
      </c>
      <c r="G1349" s="7" t="s">
        <v>21</v>
      </c>
      <c r="H1349" s="1">
        <f t="shared" si="21"/>
        <v>1.4207527522900141</v>
      </c>
    </row>
    <row r="1350" spans="1:8" x14ac:dyDescent="0.25">
      <c r="A1350" s="1" t="s">
        <v>16</v>
      </c>
      <c r="B1350" s="1" t="s">
        <v>17</v>
      </c>
      <c r="C1350" s="6">
        <v>534977</v>
      </c>
      <c r="D1350" s="6">
        <v>554977.28000000003</v>
      </c>
      <c r="E1350" s="6">
        <v>554977.28000000003</v>
      </c>
      <c r="F1350" s="6">
        <v>554977.28000000003</v>
      </c>
      <c r="G1350" s="7" t="s">
        <v>21</v>
      </c>
      <c r="H1350" s="1">
        <f t="shared" si="21"/>
        <v>1.0373853081534348</v>
      </c>
    </row>
    <row r="1351" spans="1:8" x14ac:dyDescent="0.25">
      <c r="A1351" s="1" t="s">
        <v>16</v>
      </c>
      <c r="B1351" s="1" t="s">
        <v>17</v>
      </c>
      <c r="C1351" s="6">
        <v>4004632</v>
      </c>
      <c r="D1351" s="6">
        <v>4003631.16</v>
      </c>
      <c r="E1351" s="6">
        <v>4003631.16</v>
      </c>
      <c r="F1351" s="6">
        <v>4003631.16</v>
      </c>
      <c r="G1351" s="7" t="s">
        <v>21</v>
      </c>
      <c r="H1351" s="1">
        <f t="shared" si="21"/>
        <v>0.9997500794080455</v>
      </c>
    </row>
    <row r="1352" spans="1:8" x14ac:dyDescent="0.25">
      <c r="A1352" s="1" t="s">
        <v>16</v>
      </c>
      <c r="B1352" s="1" t="s">
        <v>17</v>
      </c>
      <c r="C1352" s="6">
        <v>25812667</v>
      </c>
      <c r="D1352" s="6">
        <v>25150152.559999999</v>
      </c>
      <c r="E1352" s="6">
        <v>25078339.07</v>
      </c>
      <c r="F1352" s="6">
        <v>25077992.399999999</v>
      </c>
      <c r="G1352" s="7" t="s">
        <v>21</v>
      </c>
      <c r="H1352" s="1">
        <f t="shared" si="21"/>
        <v>0.97433374707076947</v>
      </c>
    </row>
    <row r="1353" spans="1:8" x14ac:dyDescent="0.25">
      <c r="A1353" s="1" t="s">
        <v>16</v>
      </c>
      <c r="B1353" s="1" t="s">
        <v>17</v>
      </c>
      <c r="C1353" s="6">
        <v>724303</v>
      </c>
      <c r="D1353" s="6">
        <v>892878.6</v>
      </c>
      <c r="E1353" s="6">
        <v>714302.88</v>
      </c>
      <c r="F1353" s="6">
        <v>654777.64</v>
      </c>
      <c r="G1353" s="7" t="s">
        <v>21</v>
      </c>
      <c r="H1353" s="1">
        <f t="shared" si="21"/>
        <v>1.2327418221379727</v>
      </c>
    </row>
    <row r="1354" spans="1:8" x14ac:dyDescent="0.25">
      <c r="A1354" s="1" t="s">
        <v>16</v>
      </c>
      <c r="B1354" s="1" t="s">
        <v>17</v>
      </c>
      <c r="C1354" s="6">
        <v>768177</v>
      </c>
      <c r="D1354" s="6">
        <v>680372.1</v>
      </c>
      <c r="E1354" s="6">
        <v>676391.7</v>
      </c>
      <c r="F1354" s="6">
        <v>624256.28</v>
      </c>
      <c r="G1354" s="7" t="s">
        <v>21</v>
      </c>
      <c r="H1354" s="1">
        <f t="shared" si="21"/>
        <v>0.88569704638384117</v>
      </c>
    </row>
    <row r="1355" spans="1:8" x14ac:dyDescent="0.25">
      <c r="A1355" s="1" t="s">
        <v>16</v>
      </c>
      <c r="B1355" s="1" t="s">
        <v>17</v>
      </c>
      <c r="C1355" s="6">
        <v>343200</v>
      </c>
      <c r="D1355" s="6">
        <v>303957</v>
      </c>
      <c r="E1355" s="6">
        <v>302912</v>
      </c>
      <c r="F1355" s="6">
        <v>302912</v>
      </c>
      <c r="G1355" s="7" t="s">
        <v>21</v>
      </c>
      <c r="H1355" s="1">
        <f t="shared" si="21"/>
        <v>0.88565559440559438</v>
      </c>
    </row>
    <row r="1356" spans="1:8" x14ac:dyDescent="0.25">
      <c r="A1356" s="1" t="s">
        <v>16</v>
      </c>
      <c r="B1356" s="1" t="s">
        <v>17</v>
      </c>
      <c r="C1356" s="6">
        <v>960960</v>
      </c>
      <c r="D1356" s="6">
        <v>408433</v>
      </c>
      <c r="E1356" s="6">
        <v>408433</v>
      </c>
      <c r="F1356" s="6">
        <v>408433</v>
      </c>
      <c r="G1356" s="7" t="s">
        <v>21</v>
      </c>
      <c r="H1356" s="1">
        <f t="shared" si="21"/>
        <v>0.42502601565101567</v>
      </c>
    </row>
    <row r="1357" spans="1:8" x14ac:dyDescent="0.25">
      <c r="A1357" s="1" t="s">
        <v>16</v>
      </c>
      <c r="B1357" s="1" t="s">
        <v>17</v>
      </c>
      <c r="C1357" s="6">
        <v>603979</v>
      </c>
      <c r="D1357" s="6">
        <v>49563.6</v>
      </c>
      <c r="E1357" s="6">
        <v>45433.3</v>
      </c>
      <c r="F1357" s="6">
        <v>45433.3</v>
      </c>
      <c r="G1357" s="7" t="s">
        <v>21</v>
      </c>
      <c r="H1357" s="1">
        <f t="shared" si="21"/>
        <v>8.2061793539179334E-2</v>
      </c>
    </row>
    <row r="1358" spans="1:8" x14ac:dyDescent="0.25">
      <c r="A1358" s="1" t="s">
        <v>16</v>
      </c>
      <c r="B1358" s="1" t="s">
        <v>17</v>
      </c>
      <c r="C1358" s="6">
        <v>9000</v>
      </c>
      <c r="D1358" s="6">
        <v>214.34</v>
      </c>
      <c r="E1358" s="6">
        <v>214.34</v>
      </c>
      <c r="F1358" s="6">
        <v>214.34</v>
      </c>
      <c r="G1358" s="7" t="s">
        <v>21</v>
      </c>
      <c r="H1358" s="1">
        <f t="shared" si="21"/>
        <v>2.3815555555555555E-2</v>
      </c>
    </row>
    <row r="1359" spans="1:8" x14ac:dyDescent="0.25">
      <c r="A1359" s="1" t="s">
        <v>16</v>
      </c>
      <c r="B1359" s="1" t="s">
        <v>17</v>
      </c>
      <c r="C1359" s="6">
        <v>788486</v>
      </c>
      <c r="D1359" s="6">
        <v>794120.06</v>
      </c>
      <c r="E1359" s="6">
        <v>789430.18</v>
      </c>
      <c r="F1359" s="6">
        <v>788358.62</v>
      </c>
      <c r="G1359" s="7" t="s">
        <v>21</v>
      </c>
      <c r="H1359" s="1">
        <f t="shared" si="21"/>
        <v>1.0071454153910153</v>
      </c>
    </row>
    <row r="1360" spans="1:8" x14ac:dyDescent="0.25">
      <c r="A1360" s="1" t="s">
        <v>16</v>
      </c>
      <c r="B1360" s="1" t="s">
        <v>17</v>
      </c>
      <c r="C1360" s="6">
        <v>10039636</v>
      </c>
      <c r="D1360" s="6">
        <v>5777478.6399999997</v>
      </c>
      <c r="E1360" s="6">
        <v>5325454.33</v>
      </c>
      <c r="F1360" s="6">
        <v>5057627.24</v>
      </c>
      <c r="G1360" s="7" t="s">
        <v>21</v>
      </c>
      <c r="H1360" s="1">
        <f t="shared" si="21"/>
        <v>0.57546694322383796</v>
      </c>
    </row>
    <row r="1361" spans="1:8" x14ac:dyDescent="0.25">
      <c r="A1361" s="1" t="s">
        <v>16</v>
      </c>
      <c r="B1361" s="1" t="s">
        <v>17</v>
      </c>
      <c r="C1361" s="6">
        <v>261635</v>
      </c>
      <c r="D1361" s="6">
        <v>204000</v>
      </c>
      <c r="E1361" s="6">
        <v>180000</v>
      </c>
      <c r="F1361" s="6">
        <v>180000</v>
      </c>
      <c r="G1361" s="7" t="s">
        <v>21</v>
      </c>
      <c r="H1361" s="1">
        <f t="shared" si="21"/>
        <v>0.77971219446939444</v>
      </c>
    </row>
    <row r="1362" spans="1:8" x14ac:dyDescent="0.25">
      <c r="A1362" s="1" t="s">
        <v>16</v>
      </c>
      <c r="B1362" s="1" t="s">
        <v>17</v>
      </c>
      <c r="C1362" s="6">
        <v>513502</v>
      </c>
      <c r="D1362" s="6">
        <v>461449.31</v>
      </c>
      <c r="E1362" s="6">
        <v>336349.31</v>
      </c>
      <c r="F1362" s="6">
        <v>336349.31</v>
      </c>
      <c r="G1362" s="7" t="s">
        <v>21</v>
      </c>
      <c r="H1362" s="1">
        <f t="shared" si="21"/>
        <v>0.89863196248505361</v>
      </c>
    </row>
    <row r="1363" spans="1:8" x14ac:dyDescent="0.25">
      <c r="A1363" s="1" t="s">
        <v>16</v>
      </c>
      <c r="B1363" s="1" t="s">
        <v>17</v>
      </c>
      <c r="C1363" s="6">
        <v>645427</v>
      </c>
      <c r="D1363" s="6">
        <v>226171.27</v>
      </c>
      <c r="E1363" s="6">
        <v>162371.4</v>
      </c>
      <c r="F1363" s="6">
        <v>162371.4</v>
      </c>
      <c r="G1363" s="7" t="s">
        <v>21</v>
      </c>
      <c r="H1363" s="1">
        <f t="shared" si="21"/>
        <v>0.35042114755038134</v>
      </c>
    </row>
    <row r="1364" spans="1:8" x14ac:dyDescent="0.25">
      <c r="A1364" s="1" t="s">
        <v>16</v>
      </c>
      <c r="B1364" s="1" t="s">
        <v>17</v>
      </c>
      <c r="C1364" s="6">
        <v>591421</v>
      </c>
      <c r="D1364" s="6">
        <v>105620.88</v>
      </c>
      <c r="E1364" s="6">
        <v>105620.88</v>
      </c>
      <c r="F1364" s="6">
        <v>105620.88</v>
      </c>
      <c r="G1364" s="7" t="s">
        <v>21</v>
      </c>
      <c r="H1364" s="1">
        <f t="shared" si="21"/>
        <v>0.1785883152610408</v>
      </c>
    </row>
    <row r="1365" spans="1:8" x14ac:dyDescent="0.25">
      <c r="A1365" s="1" t="s">
        <v>16</v>
      </c>
      <c r="B1365" s="1" t="s">
        <v>17</v>
      </c>
      <c r="C1365" s="6">
        <v>986257</v>
      </c>
      <c r="D1365" s="6">
        <v>5483</v>
      </c>
      <c r="E1365" s="6">
        <v>4983</v>
      </c>
      <c r="F1365" s="6">
        <v>4983</v>
      </c>
      <c r="G1365" s="7" t="s">
        <v>21</v>
      </c>
      <c r="H1365" s="1">
        <f t="shared" si="21"/>
        <v>5.5594028736931653E-3</v>
      </c>
    </row>
    <row r="1366" spans="1:8" x14ac:dyDescent="0.25">
      <c r="A1366" s="1" t="s">
        <v>16</v>
      </c>
      <c r="B1366" s="1" t="s">
        <v>17</v>
      </c>
      <c r="C1366" s="6">
        <v>190086</v>
      </c>
      <c r="D1366" s="6">
        <v>500</v>
      </c>
      <c r="E1366" s="6">
        <v>0</v>
      </c>
      <c r="F1366" s="6">
        <v>0</v>
      </c>
      <c r="G1366" s="7" t="s">
        <v>21</v>
      </c>
      <c r="H1366" s="1">
        <f t="shared" si="21"/>
        <v>2.6303883505360733E-3</v>
      </c>
    </row>
    <row r="1367" spans="1:8" x14ac:dyDescent="0.25">
      <c r="A1367" s="1" t="s">
        <v>16</v>
      </c>
      <c r="B1367" s="1" t="s">
        <v>17</v>
      </c>
      <c r="C1367" s="6">
        <v>167000</v>
      </c>
      <c r="D1367" s="6">
        <v>7230</v>
      </c>
      <c r="E1367" s="6">
        <v>7230</v>
      </c>
      <c r="F1367" s="6">
        <v>7230</v>
      </c>
      <c r="G1367" s="7" t="s">
        <v>21</v>
      </c>
      <c r="H1367" s="1">
        <f t="shared" si="21"/>
        <v>4.3293413173652692E-2</v>
      </c>
    </row>
    <row r="1368" spans="1:8" x14ac:dyDescent="0.25">
      <c r="A1368" s="1" t="s">
        <v>16</v>
      </c>
      <c r="B1368" s="1" t="s">
        <v>17</v>
      </c>
      <c r="C1368" s="6">
        <v>78800</v>
      </c>
      <c r="D1368" s="6">
        <v>9550</v>
      </c>
      <c r="E1368" s="6">
        <v>9550</v>
      </c>
      <c r="F1368" s="6">
        <v>9550</v>
      </c>
      <c r="G1368" s="7" t="s">
        <v>21</v>
      </c>
      <c r="H1368" s="1">
        <f t="shared" si="21"/>
        <v>0.12119289340101523</v>
      </c>
    </row>
    <row r="1369" spans="1:8" x14ac:dyDescent="0.25">
      <c r="A1369" s="1" t="s">
        <v>16</v>
      </c>
      <c r="B1369" s="1" t="s">
        <v>17</v>
      </c>
      <c r="C1369" s="6">
        <v>91600</v>
      </c>
      <c r="D1369" s="6">
        <v>0</v>
      </c>
      <c r="E1369" s="6">
        <v>0</v>
      </c>
      <c r="F1369" s="6">
        <v>0</v>
      </c>
      <c r="G1369" s="7" t="s">
        <v>21</v>
      </c>
      <c r="H1369" s="1">
        <f t="shared" si="21"/>
        <v>0</v>
      </c>
    </row>
    <row r="1370" spans="1:8" x14ac:dyDescent="0.25">
      <c r="A1370" s="1" t="s">
        <v>16</v>
      </c>
      <c r="B1370" s="1" t="s">
        <v>17</v>
      </c>
      <c r="C1370" s="6">
        <v>816346</v>
      </c>
      <c r="D1370" s="6">
        <v>0</v>
      </c>
      <c r="E1370" s="6">
        <v>0</v>
      </c>
      <c r="F1370" s="6">
        <v>0</v>
      </c>
      <c r="G1370" s="7" t="s">
        <v>21</v>
      </c>
      <c r="H1370" s="1">
        <f t="shared" si="21"/>
        <v>0</v>
      </c>
    </row>
    <row r="1371" spans="1:8" x14ac:dyDescent="0.25">
      <c r="A1371" s="1" t="s">
        <v>16</v>
      </c>
      <c r="B1371" s="1" t="s">
        <v>17</v>
      </c>
      <c r="C1371" s="6">
        <v>2310471</v>
      </c>
      <c r="D1371" s="6">
        <v>416019.16</v>
      </c>
      <c r="E1371" s="6">
        <v>249016.72</v>
      </c>
      <c r="F1371" s="6">
        <v>249016.72</v>
      </c>
      <c r="G1371" s="7" t="s">
        <v>21</v>
      </c>
      <c r="H1371" s="1">
        <f t="shared" si="21"/>
        <v>0.18005816130131042</v>
      </c>
    </row>
    <row r="1372" spans="1:8" x14ac:dyDescent="0.25">
      <c r="A1372" s="1" t="s">
        <v>16</v>
      </c>
      <c r="B1372" s="1" t="s">
        <v>17</v>
      </c>
      <c r="C1372" s="6">
        <v>8478914</v>
      </c>
      <c r="D1372" s="6">
        <v>7700846.2249999996</v>
      </c>
      <c r="E1372" s="6">
        <v>7373029.9900000002</v>
      </c>
      <c r="F1372" s="6">
        <v>6907326.9175000004</v>
      </c>
      <c r="G1372" s="7" t="s">
        <v>21</v>
      </c>
      <c r="H1372" s="1">
        <f t="shared" si="21"/>
        <v>0.90823497266277253</v>
      </c>
    </row>
    <row r="1373" spans="1:8" x14ac:dyDescent="0.25">
      <c r="A1373" s="1" t="s">
        <v>16</v>
      </c>
      <c r="B1373" s="1" t="s">
        <v>17</v>
      </c>
      <c r="C1373" s="6">
        <v>1544605</v>
      </c>
      <c r="D1373" s="6">
        <v>1706836.7150000001</v>
      </c>
      <c r="E1373" s="6">
        <v>1629924.71</v>
      </c>
      <c r="F1373" s="6">
        <v>1542484.1725000001</v>
      </c>
      <c r="G1373" s="7" t="s">
        <v>21</v>
      </c>
      <c r="H1373" s="1">
        <f t="shared" si="21"/>
        <v>1.1050311989149331</v>
      </c>
    </row>
    <row r="1374" spans="1:8" x14ac:dyDescent="0.25">
      <c r="A1374" s="1" t="s">
        <v>16</v>
      </c>
      <c r="B1374" s="1" t="s">
        <v>17</v>
      </c>
      <c r="C1374" s="6">
        <v>0</v>
      </c>
      <c r="D1374" s="6">
        <v>1787719.83</v>
      </c>
      <c r="E1374" s="6">
        <v>1787719.83</v>
      </c>
      <c r="F1374" s="6">
        <v>1663674.5674999999</v>
      </c>
      <c r="G1374" s="7" t="s">
        <v>21</v>
      </c>
      <c r="H1374" s="1">
        <f t="shared" si="21"/>
        <v>0</v>
      </c>
    </row>
    <row r="1375" spans="1:8" x14ac:dyDescent="0.25">
      <c r="A1375" s="1" t="s">
        <v>16</v>
      </c>
      <c r="B1375" s="1" t="s">
        <v>17</v>
      </c>
      <c r="C1375" s="6">
        <v>300000</v>
      </c>
      <c r="D1375" s="6">
        <v>0</v>
      </c>
      <c r="E1375" s="6">
        <v>0</v>
      </c>
      <c r="F1375" s="6">
        <v>0</v>
      </c>
      <c r="G1375" s="7" t="s">
        <v>21</v>
      </c>
      <c r="H1375" s="1">
        <f t="shared" si="21"/>
        <v>0</v>
      </c>
    </row>
    <row r="1376" spans="1:8" x14ac:dyDescent="0.25">
      <c r="A1376" s="1" t="s">
        <v>16</v>
      </c>
      <c r="B1376" s="1" t="s">
        <v>17</v>
      </c>
      <c r="C1376" s="6">
        <v>2250</v>
      </c>
      <c r="D1376" s="6">
        <v>0</v>
      </c>
      <c r="E1376" s="6">
        <v>0</v>
      </c>
      <c r="F1376" s="6">
        <v>0</v>
      </c>
      <c r="G1376" s="7" t="s">
        <v>21</v>
      </c>
      <c r="H1376" s="1">
        <f t="shared" si="21"/>
        <v>0</v>
      </c>
    </row>
    <row r="1377" spans="1:8" x14ac:dyDescent="0.25">
      <c r="A1377" s="1" t="s">
        <v>16</v>
      </c>
      <c r="B1377" s="1" t="s">
        <v>17</v>
      </c>
      <c r="C1377" s="6">
        <v>2324631</v>
      </c>
      <c r="D1377" s="6">
        <v>1603182.5375000001</v>
      </c>
      <c r="E1377" s="6">
        <v>1377463.41</v>
      </c>
      <c r="F1377" s="6">
        <v>1284921.2324999999</v>
      </c>
      <c r="G1377" s="7" t="s">
        <v>21</v>
      </c>
      <c r="H1377" s="1">
        <f t="shared" si="21"/>
        <v>0.68965033052557589</v>
      </c>
    </row>
    <row r="1378" spans="1:8" x14ac:dyDescent="0.25">
      <c r="A1378" s="1" t="s">
        <v>16</v>
      </c>
      <c r="B1378" s="1" t="s">
        <v>17</v>
      </c>
      <c r="C1378" s="6">
        <v>315000</v>
      </c>
      <c r="D1378" s="6">
        <v>27150</v>
      </c>
      <c r="E1378" s="6">
        <v>26250</v>
      </c>
      <c r="F1378" s="6">
        <v>25425</v>
      </c>
      <c r="G1378" s="7" t="s">
        <v>21</v>
      </c>
      <c r="H1378" s="1">
        <f t="shared" si="21"/>
        <v>8.6190476190476192E-2</v>
      </c>
    </row>
    <row r="1379" spans="1:8" x14ac:dyDescent="0.25">
      <c r="A1379" s="1" t="s">
        <v>16</v>
      </c>
      <c r="B1379" s="1" t="s">
        <v>17</v>
      </c>
      <c r="C1379" s="6">
        <v>203050</v>
      </c>
      <c r="D1379" s="6">
        <v>142882.19750000001</v>
      </c>
      <c r="E1379" s="6">
        <v>65188.127500000002</v>
      </c>
      <c r="F1379" s="6">
        <v>59467.025000000001</v>
      </c>
      <c r="G1379" s="7" t="s">
        <v>21</v>
      </c>
      <c r="H1379" s="1">
        <f t="shared" si="21"/>
        <v>0.70367986949027339</v>
      </c>
    </row>
    <row r="1380" spans="1:8" x14ac:dyDescent="0.25">
      <c r="A1380" s="1" t="s">
        <v>16</v>
      </c>
      <c r="B1380" s="1" t="s">
        <v>17</v>
      </c>
      <c r="C1380" s="6">
        <v>84150</v>
      </c>
      <c r="D1380" s="6">
        <v>0</v>
      </c>
      <c r="E1380" s="6">
        <v>0</v>
      </c>
      <c r="F1380" s="6">
        <v>0</v>
      </c>
      <c r="G1380" s="7" t="s">
        <v>21</v>
      </c>
      <c r="H1380" s="1">
        <f t="shared" si="21"/>
        <v>0</v>
      </c>
    </row>
    <row r="1381" spans="1:8" x14ac:dyDescent="0.25">
      <c r="A1381" s="1" t="s">
        <v>16</v>
      </c>
      <c r="B1381" s="1" t="s">
        <v>17</v>
      </c>
      <c r="C1381" s="6">
        <v>125</v>
      </c>
      <c r="D1381" s="6">
        <v>0</v>
      </c>
      <c r="E1381" s="6">
        <v>0</v>
      </c>
      <c r="F1381" s="6">
        <v>0</v>
      </c>
      <c r="G1381" s="7" t="s">
        <v>21</v>
      </c>
      <c r="H1381" s="1">
        <f t="shared" si="21"/>
        <v>0</v>
      </c>
    </row>
    <row r="1382" spans="1:8" x14ac:dyDescent="0.25">
      <c r="A1382" s="1" t="s">
        <v>16</v>
      </c>
      <c r="B1382" s="1" t="s">
        <v>17</v>
      </c>
      <c r="C1382" s="6">
        <v>1076010</v>
      </c>
      <c r="D1382" s="6">
        <v>2695194.87</v>
      </c>
      <c r="E1382" s="6">
        <v>2629457.6074999999</v>
      </c>
      <c r="F1382" s="6">
        <v>2627126.7825000002</v>
      </c>
      <c r="G1382" s="7" t="s">
        <v>21</v>
      </c>
      <c r="H1382" s="1">
        <f t="shared" si="21"/>
        <v>2.5048046672428694</v>
      </c>
    </row>
    <row r="1383" spans="1:8" x14ac:dyDescent="0.25">
      <c r="A1383" s="1" t="s">
        <v>16</v>
      </c>
      <c r="B1383" s="1" t="s">
        <v>17</v>
      </c>
      <c r="C1383" s="6">
        <v>1196519</v>
      </c>
      <c r="D1383" s="6">
        <v>1210019.1825000001</v>
      </c>
      <c r="E1383" s="6">
        <v>1173914.28</v>
      </c>
      <c r="F1383" s="6">
        <v>1173914.28</v>
      </c>
      <c r="G1383" s="7" t="s">
        <v>21</v>
      </c>
      <c r="H1383" s="1">
        <f t="shared" si="21"/>
        <v>1.0112828818430799</v>
      </c>
    </row>
    <row r="1384" spans="1:8" x14ac:dyDescent="0.25">
      <c r="A1384" s="1" t="s">
        <v>16</v>
      </c>
      <c r="B1384" s="1" t="s">
        <v>17</v>
      </c>
      <c r="C1384" s="6">
        <v>1350039</v>
      </c>
      <c r="D1384" s="6">
        <v>1349769.6125</v>
      </c>
      <c r="E1384" s="6">
        <v>1339611.1375</v>
      </c>
      <c r="F1384" s="6">
        <v>1338455.46</v>
      </c>
      <c r="G1384" s="7" t="s">
        <v>21</v>
      </c>
      <c r="H1384" s="1">
        <f t="shared" si="21"/>
        <v>0.99980045946820795</v>
      </c>
    </row>
    <row r="1385" spans="1:8" x14ac:dyDescent="0.25">
      <c r="A1385" s="1" t="s">
        <v>16</v>
      </c>
      <c r="B1385" s="1" t="s">
        <v>17</v>
      </c>
      <c r="C1385" s="6">
        <v>87507</v>
      </c>
      <c r="D1385" s="6">
        <v>92847.25</v>
      </c>
      <c r="E1385" s="6">
        <v>87507</v>
      </c>
      <c r="F1385" s="6">
        <v>87507</v>
      </c>
      <c r="G1385" s="7" t="s">
        <v>21</v>
      </c>
      <c r="H1385" s="1">
        <f t="shared" si="21"/>
        <v>1.0610265464477127</v>
      </c>
    </row>
    <row r="1386" spans="1:8" x14ac:dyDescent="0.25">
      <c r="A1386" s="1" t="s">
        <v>16</v>
      </c>
      <c r="B1386" s="1" t="s">
        <v>17</v>
      </c>
      <c r="C1386" s="6">
        <v>250</v>
      </c>
      <c r="D1386" s="6">
        <v>0</v>
      </c>
      <c r="E1386" s="6">
        <v>0</v>
      </c>
      <c r="F1386" s="6">
        <v>0</v>
      </c>
      <c r="G1386" s="7" t="s">
        <v>21</v>
      </c>
      <c r="H1386" s="1">
        <f t="shared" si="21"/>
        <v>0</v>
      </c>
    </row>
    <row r="1387" spans="1:8" x14ac:dyDescent="0.25">
      <c r="A1387" s="1" t="s">
        <v>16</v>
      </c>
      <c r="B1387" s="1" t="s">
        <v>17</v>
      </c>
      <c r="C1387" s="6">
        <v>1000</v>
      </c>
      <c r="D1387" s="6">
        <v>0</v>
      </c>
      <c r="E1387" s="6">
        <v>0</v>
      </c>
      <c r="F1387" s="6">
        <v>0</v>
      </c>
      <c r="G1387" s="7" t="s">
        <v>21</v>
      </c>
      <c r="H1387" s="1">
        <f t="shared" si="21"/>
        <v>0</v>
      </c>
    </row>
    <row r="1388" spans="1:8" x14ac:dyDescent="0.25">
      <c r="A1388" s="1" t="s">
        <v>16</v>
      </c>
      <c r="B1388" s="1" t="s">
        <v>17</v>
      </c>
      <c r="C1388" s="6">
        <v>6344168</v>
      </c>
      <c r="D1388" s="6">
        <v>5892625.5999999996</v>
      </c>
      <c r="E1388" s="6">
        <v>5795892.9625000004</v>
      </c>
      <c r="F1388" s="6">
        <v>5380682.8849999998</v>
      </c>
      <c r="G1388" s="7" t="s">
        <v>21</v>
      </c>
      <c r="H1388" s="1">
        <f t="shared" si="21"/>
        <v>0.92882559226048234</v>
      </c>
    </row>
    <row r="1389" spans="1:8" x14ac:dyDescent="0.25">
      <c r="A1389" s="1" t="s">
        <v>16</v>
      </c>
      <c r="B1389" s="1" t="s">
        <v>17</v>
      </c>
      <c r="C1389" s="6">
        <v>287112</v>
      </c>
      <c r="D1389" s="6">
        <v>324362.01</v>
      </c>
      <c r="E1389" s="6">
        <v>324362.01</v>
      </c>
      <c r="F1389" s="6">
        <v>324362.01</v>
      </c>
      <c r="G1389" s="7" t="s">
        <v>21</v>
      </c>
      <c r="H1389" s="1">
        <f t="shared" si="21"/>
        <v>1.1297403452311294</v>
      </c>
    </row>
    <row r="1390" spans="1:8" x14ac:dyDescent="0.25">
      <c r="A1390" s="1" t="s">
        <v>16</v>
      </c>
      <c r="B1390" s="1" t="s">
        <v>17</v>
      </c>
      <c r="C1390" s="6">
        <v>1636605</v>
      </c>
      <c r="D1390" s="6">
        <v>1227454.5900000001</v>
      </c>
      <c r="E1390" s="6">
        <v>1227454.5900000001</v>
      </c>
      <c r="F1390" s="6">
        <v>1227454.5900000001</v>
      </c>
      <c r="G1390" s="7" t="s">
        <v>21</v>
      </c>
      <c r="H1390" s="1">
        <f t="shared" si="21"/>
        <v>0.75000051325762784</v>
      </c>
    </row>
    <row r="1391" spans="1:8" x14ac:dyDescent="0.25">
      <c r="A1391" s="1" t="s">
        <v>16</v>
      </c>
      <c r="B1391" s="1" t="s">
        <v>17</v>
      </c>
      <c r="C1391" s="6">
        <v>1247040</v>
      </c>
      <c r="D1391" s="6">
        <v>935280</v>
      </c>
      <c r="E1391" s="6">
        <v>935280</v>
      </c>
      <c r="F1391" s="6">
        <v>935280</v>
      </c>
      <c r="G1391" s="7" t="s">
        <v>21</v>
      </c>
      <c r="H1391" s="1">
        <f t="shared" si="21"/>
        <v>0.75</v>
      </c>
    </row>
    <row r="1392" spans="1:8" x14ac:dyDescent="0.25">
      <c r="A1392" s="1" t="s">
        <v>16</v>
      </c>
      <c r="B1392" s="1" t="s">
        <v>17</v>
      </c>
      <c r="C1392" s="6">
        <v>1248411</v>
      </c>
      <c r="D1392" s="6">
        <v>1206736.8325</v>
      </c>
      <c r="E1392" s="6">
        <v>1206564.5900000001</v>
      </c>
      <c r="F1392" s="6">
        <v>1108424.1825000001</v>
      </c>
      <c r="G1392" s="7" t="s">
        <v>21</v>
      </c>
      <c r="H1392" s="1">
        <f t="shared" si="21"/>
        <v>0.96661823109536849</v>
      </c>
    </row>
    <row r="1393" spans="1:8" x14ac:dyDescent="0.25">
      <c r="A1393" s="1" t="s">
        <v>16</v>
      </c>
      <c r="B1393" s="1" t="s">
        <v>17</v>
      </c>
      <c r="C1393" s="6">
        <v>5418028</v>
      </c>
      <c r="D1393" s="6">
        <v>5148469.7725</v>
      </c>
      <c r="E1393" s="6">
        <v>5144843.05</v>
      </c>
      <c r="F1393" s="6">
        <v>4702021.3449999997</v>
      </c>
      <c r="G1393" s="7" t="s">
        <v>21</v>
      </c>
      <c r="H1393" s="1">
        <f t="shared" si="21"/>
        <v>0.95024790800269032</v>
      </c>
    </row>
    <row r="1394" spans="1:8" x14ac:dyDescent="0.25">
      <c r="A1394" s="1" t="s">
        <v>16</v>
      </c>
      <c r="B1394" s="1" t="s">
        <v>17</v>
      </c>
      <c r="C1394" s="6">
        <v>425652</v>
      </c>
      <c r="D1394" s="6">
        <v>86023.125</v>
      </c>
      <c r="E1394" s="6">
        <v>86023.125</v>
      </c>
      <c r="F1394" s="6">
        <v>86023.125</v>
      </c>
      <c r="G1394" s="7" t="s">
        <v>21</v>
      </c>
      <c r="H1394" s="1">
        <f t="shared" si="21"/>
        <v>0.20209731188858504</v>
      </c>
    </row>
    <row r="1395" spans="1:8" x14ac:dyDescent="0.25">
      <c r="A1395" s="1" t="s">
        <v>16</v>
      </c>
      <c r="B1395" s="1" t="s">
        <v>17</v>
      </c>
      <c r="C1395" s="6">
        <v>292128</v>
      </c>
      <c r="D1395" s="6">
        <v>215897.77</v>
      </c>
      <c r="E1395" s="6">
        <v>210179.19</v>
      </c>
      <c r="F1395" s="6">
        <v>198684.47</v>
      </c>
      <c r="G1395" s="7" t="s">
        <v>21</v>
      </c>
      <c r="H1395" s="1">
        <f t="shared" si="21"/>
        <v>0.73905195667652535</v>
      </c>
    </row>
    <row r="1396" spans="1:8" x14ac:dyDescent="0.25">
      <c r="A1396" s="1" t="s">
        <v>16</v>
      </c>
      <c r="B1396" s="1" t="s">
        <v>17</v>
      </c>
      <c r="C1396" s="6">
        <v>4925</v>
      </c>
      <c r="D1396" s="6">
        <v>0</v>
      </c>
      <c r="E1396" s="6">
        <v>0</v>
      </c>
      <c r="F1396" s="6">
        <v>0</v>
      </c>
      <c r="G1396" s="7" t="s">
        <v>21</v>
      </c>
      <c r="H1396" s="1">
        <f t="shared" si="21"/>
        <v>0</v>
      </c>
    </row>
    <row r="1397" spans="1:8" x14ac:dyDescent="0.25">
      <c r="A1397" s="1" t="s">
        <v>16</v>
      </c>
      <c r="B1397" s="1" t="s">
        <v>17</v>
      </c>
      <c r="C1397" s="6">
        <v>7775</v>
      </c>
      <c r="D1397" s="6">
        <v>0</v>
      </c>
      <c r="E1397" s="6">
        <v>0</v>
      </c>
      <c r="F1397" s="6">
        <v>0</v>
      </c>
      <c r="G1397" s="7" t="s">
        <v>21</v>
      </c>
      <c r="H1397" s="1">
        <f t="shared" si="21"/>
        <v>0</v>
      </c>
    </row>
    <row r="1398" spans="1:8" x14ac:dyDescent="0.25">
      <c r="A1398" s="1" t="s">
        <v>16</v>
      </c>
      <c r="B1398" s="1" t="s">
        <v>17</v>
      </c>
      <c r="C1398" s="6">
        <v>2500</v>
      </c>
      <c r="D1398" s="6">
        <v>0</v>
      </c>
      <c r="E1398" s="6">
        <v>0</v>
      </c>
      <c r="F1398" s="6">
        <v>0</v>
      </c>
      <c r="G1398" s="7" t="s">
        <v>21</v>
      </c>
      <c r="H1398" s="1">
        <f t="shared" si="21"/>
        <v>0</v>
      </c>
    </row>
    <row r="1399" spans="1:8" x14ac:dyDescent="0.25">
      <c r="A1399" s="1" t="s">
        <v>16</v>
      </c>
      <c r="B1399" s="1" t="s">
        <v>17</v>
      </c>
      <c r="C1399" s="6">
        <v>250</v>
      </c>
      <c r="D1399" s="6">
        <v>0</v>
      </c>
      <c r="E1399" s="6">
        <v>0</v>
      </c>
      <c r="F1399" s="6">
        <v>0</v>
      </c>
      <c r="G1399" s="7" t="s">
        <v>21</v>
      </c>
      <c r="H1399" s="1">
        <f t="shared" si="21"/>
        <v>0</v>
      </c>
    </row>
    <row r="1400" spans="1:8" x14ac:dyDescent="0.25">
      <c r="A1400" s="1" t="s">
        <v>16</v>
      </c>
      <c r="B1400" s="1" t="s">
        <v>17</v>
      </c>
      <c r="C1400" s="6">
        <v>178000</v>
      </c>
      <c r="D1400" s="6">
        <v>0</v>
      </c>
      <c r="E1400" s="6">
        <v>0</v>
      </c>
      <c r="F1400" s="6">
        <v>0</v>
      </c>
      <c r="G1400" s="7" t="s">
        <v>21</v>
      </c>
      <c r="H1400" s="1">
        <f t="shared" si="21"/>
        <v>0</v>
      </c>
    </row>
    <row r="1401" spans="1:8" x14ac:dyDescent="0.25">
      <c r="A1401" s="1" t="s">
        <v>16</v>
      </c>
      <c r="B1401" s="1" t="s">
        <v>17</v>
      </c>
      <c r="C1401" s="6">
        <v>26200</v>
      </c>
      <c r="D1401" s="6">
        <v>0</v>
      </c>
      <c r="E1401" s="6">
        <v>0</v>
      </c>
      <c r="F1401" s="6">
        <v>0</v>
      </c>
      <c r="G1401" s="7" t="s">
        <v>21</v>
      </c>
      <c r="H1401" s="1">
        <f t="shared" si="21"/>
        <v>0</v>
      </c>
    </row>
    <row r="1402" spans="1:8" x14ac:dyDescent="0.25">
      <c r="A1402" s="1" t="s">
        <v>16</v>
      </c>
      <c r="B1402" s="1" t="s">
        <v>17</v>
      </c>
      <c r="C1402" s="6">
        <v>39337</v>
      </c>
      <c r="D1402" s="6">
        <v>125</v>
      </c>
      <c r="E1402" s="6">
        <v>0</v>
      </c>
      <c r="F1402" s="6">
        <v>0</v>
      </c>
      <c r="G1402" s="7" t="s">
        <v>21</v>
      </c>
      <c r="H1402" s="1">
        <f t="shared" si="21"/>
        <v>3.1776698782316902E-3</v>
      </c>
    </row>
    <row r="1403" spans="1:8" x14ac:dyDescent="0.25">
      <c r="A1403" s="1" t="s">
        <v>16</v>
      </c>
      <c r="B1403" s="1" t="s">
        <v>17</v>
      </c>
      <c r="C1403" s="6">
        <v>7625</v>
      </c>
      <c r="D1403" s="6">
        <v>0</v>
      </c>
      <c r="E1403" s="6">
        <v>0</v>
      </c>
      <c r="F1403" s="6">
        <v>0</v>
      </c>
      <c r="G1403" s="7" t="s">
        <v>21</v>
      </c>
      <c r="H1403" s="1">
        <f t="shared" si="21"/>
        <v>0</v>
      </c>
    </row>
    <row r="1404" spans="1:8" x14ac:dyDescent="0.25">
      <c r="A1404" s="1" t="s">
        <v>16</v>
      </c>
      <c r="B1404" s="1" t="s">
        <v>17</v>
      </c>
      <c r="C1404" s="6">
        <v>9721</v>
      </c>
      <c r="D1404" s="6">
        <v>6423.9750000000004</v>
      </c>
      <c r="E1404" s="6">
        <v>6423.9750000000004</v>
      </c>
      <c r="F1404" s="6">
        <v>6423.9750000000004</v>
      </c>
      <c r="G1404" s="7" t="s">
        <v>21</v>
      </c>
      <c r="H1404" s="1">
        <f t="shared" si="21"/>
        <v>0.66083479065939721</v>
      </c>
    </row>
    <row r="1405" spans="1:8" x14ac:dyDescent="0.25">
      <c r="A1405" s="1" t="s">
        <v>16</v>
      </c>
      <c r="B1405" s="1" t="s">
        <v>17</v>
      </c>
      <c r="C1405" s="6">
        <v>675500</v>
      </c>
      <c r="D1405" s="6">
        <v>600000</v>
      </c>
      <c r="E1405" s="6">
        <v>78307.264999999999</v>
      </c>
      <c r="F1405" s="6">
        <v>65303.357499999998</v>
      </c>
      <c r="G1405" s="7" t="s">
        <v>21</v>
      </c>
      <c r="H1405" s="1">
        <f t="shared" si="21"/>
        <v>0.8882309400444115</v>
      </c>
    </row>
    <row r="1406" spans="1:8" x14ac:dyDescent="0.25">
      <c r="A1406" s="1" t="s">
        <v>16</v>
      </c>
      <c r="B1406" s="1" t="s">
        <v>17</v>
      </c>
      <c r="C1406" s="6">
        <v>3116626</v>
      </c>
      <c r="D1406" s="6">
        <v>3040299.4750000001</v>
      </c>
      <c r="E1406" s="6">
        <v>2338818.7050000001</v>
      </c>
      <c r="F1406" s="6">
        <v>2179596.3149999999</v>
      </c>
      <c r="G1406" s="7" t="s">
        <v>21</v>
      </c>
      <c r="H1406" s="1">
        <f t="shared" si="21"/>
        <v>0.9755098863322067</v>
      </c>
    </row>
    <row r="1407" spans="1:8" x14ac:dyDescent="0.25">
      <c r="A1407" s="1" t="s">
        <v>16</v>
      </c>
      <c r="B1407" s="1" t="s">
        <v>17</v>
      </c>
      <c r="C1407" s="6">
        <v>293761</v>
      </c>
      <c r="D1407" s="6">
        <v>50182.75</v>
      </c>
      <c r="E1407" s="6">
        <v>48824</v>
      </c>
      <c r="F1407" s="6">
        <v>42561.5</v>
      </c>
      <c r="G1407" s="7" t="s">
        <v>21</v>
      </c>
      <c r="H1407" s="1">
        <f t="shared" si="21"/>
        <v>0.17082849663501962</v>
      </c>
    </row>
    <row r="1408" spans="1:8" x14ac:dyDescent="0.25">
      <c r="A1408" s="1" t="s">
        <v>16</v>
      </c>
      <c r="B1408" s="1" t="s">
        <v>17</v>
      </c>
      <c r="C1408" s="6">
        <v>87240</v>
      </c>
      <c r="D1408" s="6">
        <v>7378.6274999999996</v>
      </c>
      <c r="E1408" s="6">
        <v>7378.6274999999996</v>
      </c>
      <c r="F1408" s="6">
        <v>7378.6274999999996</v>
      </c>
      <c r="G1408" s="7" t="s">
        <v>21</v>
      </c>
      <c r="H1408" s="1">
        <f t="shared" si="21"/>
        <v>8.4578490371389273E-2</v>
      </c>
    </row>
    <row r="1409" spans="1:8" x14ac:dyDescent="0.25">
      <c r="A1409" s="1" t="s">
        <v>16</v>
      </c>
      <c r="B1409" s="1" t="s">
        <v>17</v>
      </c>
      <c r="C1409" s="6">
        <v>2652000</v>
      </c>
      <c r="D1409" s="6">
        <v>2550000</v>
      </c>
      <c r="E1409" s="6">
        <v>2550000</v>
      </c>
      <c r="F1409" s="6">
        <v>2550000</v>
      </c>
      <c r="G1409" s="7" t="s">
        <v>21</v>
      </c>
      <c r="H1409" s="1">
        <f t="shared" si="21"/>
        <v>0.96153846153846156</v>
      </c>
    </row>
    <row r="1410" spans="1:8" x14ac:dyDescent="0.25">
      <c r="A1410" s="1" t="s">
        <v>16</v>
      </c>
      <c r="B1410" s="1" t="s">
        <v>17</v>
      </c>
      <c r="C1410" s="6">
        <v>94727</v>
      </c>
      <c r="D1410" s="6">
        <v>37056.535000000003</v>
      </c>
      <c r="E1410" s="6">
        <v>30730.61</v>
      </c>
      <c r="F1410" s="6">
        <v>30329.935000000001</v>
      </c>
      <c r="G1410" s="7" t="s">
        <v>21</v>
      </c>
      <c r="H1410" s="1">
        <f t="shared" ref="H1410:H1473" si="22">IF(OR(ISNA($D1410),ISNA($C1410),$C1410=0),0,$D1410/$C1410)</f>
        <v>0.39119295449027208</v>
      </c>
    </row>
    <row r="1411" spans="1:8" x14ac:dyDescent="0.25">
      <c r="A1411" s="1" t="s">
        <v>16</v>
      </c>
      <c r="B1411" s="1" t="s">
        <v>17</v>
      </c>
      <c r="C1411" s="6">
        <v>197297</v>
      </c>
      <c r="D1411" s="6">
        <v>93755.875</v>
      </c>
      <c r="E1411" s="6">
        <v>84152.457500000004</v>
      </c>
      <c r="F1411" s="6">
        <v>84017.06</v>
      </c>
      <c r="G1411" s="7" t="s">
        <v>21</v>
      </c>
      <c r="H1411" s="1">
        <f t="shared" si="22"/>
        <v>0.47520172633136842</v>
      </c>
    </row>
    <row r="1412" spans="1:8" x14ac:dyDescent="0.25">
      <c r="A1412" s="1" t="s">
        <v>16</v>
      </c>
      <c r="B1412" s="1" t="s">
        <v>17</v>
      </c>
      <c r="C1412" s="6">
        <v>22450</v>
      </c>
      <c r="D1412" s="6">
        <v>4485</v>
      </c>
      <c r="E1412" s="6">
        <v>3712.5574999999999</v>
      </c>
      <c r="F1412" s="6">
        <v>3571.5374999999999</v>
      </c>
      <c r="G1412" s="7" t="s">
        <v>21</v>
      </c>
      <c r="H1412" s="1">
        <f t="shared" si="22"/>
        <v>0.1997772828507795</v>
      </c>
    </row>
    <row r="1413" spans="1:8" x14ac:dyDescent="0.25">
      <c r="A1413" s="1" t="s">
        <v>16</v>
      </c>
      <c r="B1413" s="1" t="s">
        <v>17</v>
      </c>
      <c r="C1413" s="6">
        <v>42257</v>
      </c>
      <c r="D1413" s="6">
        <v>39452.977500000001</v>
      </c>
      <c r="E1413" s="6">
        <v>37000.445</v>
      </c>
      <c r="F1413" s="6">
        <v>36865.047500000001</v>
      </c>
      <c r="G1413" s="7" t="s">
        <v>21</v>
      </c>
      <c r="H1413" s="1">
        <f t="shared" si="22"/>
        <v>0.93364359751047166</v>
      </c>
    </row>
    <row r="1414" spans="1:8" x14ac:dyDescent="0.25">
      <c r="A1414" s="1" t="s">
        <v>16</v>
      </c>
      <c r="B1414" s="1" t="s">
        <v>17</v>
      </c>
      <c r="C1414" s="6">
        <v>155665</v>
      </c>
      <c r="D1414" s="6">
        <v>114432.19</v>
      </c>
      <c r="E1414" s="6">
        <v>103913.745</v>
      </c>
      <c r="F1414" s="6">
        <v>103465.41</v>
      </c>
      <c r="G1414" s="7" t="s">
        <v>21</v>
      </c>
      <c r="H1414" s="1">
        <f t="shared" si="22"/>
        <v>0.73511829891112324</v>
      </c>
    </row>
    <row r="1415" spans="1:8" x14ac:dyDescent="0.25">
      <c r="A1415" s="1" t="s">
        <v>16</v>
      </c>
      <c r="B1415" s="1" t="s">
        <v>17</v>
      </c>
      <c r="C1415" s="6">
        <v>97712</v>
      </c>
      <c r="D1415" s="6">
        <v>13028.752500000001</v>
      </c>
      <c r="E1415" s="6">
        <v>8219.9050000000007</v>
      </c>
      <c r="F1415" s="6">
        <v>6594.63</v>
      </c>
      <c r="G1415" s="7" t="s">
        <v>21</v>
      </c>
      <c r="H1415" s="1">
        <f t="shared" si="22"/>
        <v>0.13333830542819716</v>
      </c>
    </row>
    <row r="1416" spans="1:8" x14ac:dyDescent="0.25">
      <c r="A1416" s="1" t="s">
        <v>16</v>
      </c>
      <c r="B1416" s="1" t="s">
        <v>17</v>
      </c>
      <c r="C1416" s="6">
        <v>2370007</v>
      </c>
      <c r="D1416" s="6">
        <v>2354108.0049999999</v>
      </c>
      <c r="E1416" s="6">
        <v>2288898.3475000001</v>
      </c>
      <c r="F1416" s="6">
        <v>2170198.2349999999</v>
      </c>
      <c r="G1416" s="7" t="s">
        <v>21</v>
      </c>
      <c r="H1416" s="1">
        <f t="shared" si="22"/>
        <v>0.99329158310502874</v>
      </c>
    </row>
    <row r="1417" spans="1:8" x14ac:dyDescent="0.25">
      <c r="A1417" s="1" t="s">
        <v>16</v>
      </c>
      <c r="B1417" s="1" t="s">
        <v>17</v>
      </c>
      <c r="C1417" s="6">
        <v>8653550</v>
      </c>
      <c r="D1417" s="6">
        <v>8097145.4400000004</v>
      </c>
      <c r="E1417" s="6">
        <v>7785199.6150000002</v>
      </c>
      <c r="F1417" s="6">
        <v>7193298.9199999999</v>
      </c>
      <c r="G1417" s="7" t="s">
        <v>21</v>
      </c>
      <c r="H1417" s="1">
        <f t="shared" si="22"/>
        <v>0.93570216154063945</v>
      </c>
    </row>
    <row r="1418" spans="1:8" x14ac:dyDescent="0.25">
      <c r="A1418" s="1" t="s">
        <v>16</v>
      </c>
      <c r="B1418" s="1" t="s">
        <v>19</v>
      </c>
      <c r="C1418" s="6">
        <v>1325569</v>
      </c>
      <c r="D1418" s="6">
        <v>786710.08</v>
      </c>
      <c r="E1418" s="6">
        <v>721025.87</v>
      </c>
      <c r="F1418" s="6">
        <v>715920.71</v>
      </c>
      <c r="G1418" s="7" t="s">
        <v>21</v>
      </c>
      <c r="H1418" s="1">
        <f t="shared" si="22"/>
        <v>0.59348859244596086</v>
      </c>
    </row>
    <row r="1419" spans="1:8" x14ac:dyDescent="0.25">
      <c r="A1419" s="1" t="s">
        <v>16</v>
      </c>
      <c r="B1419" s="1" t="s">
        <v>19</v>
      </c>
      <c r="C1419" s="6">
        <v>86000</v>
      </c>
      <c r="D1419" s="6">
        <v>0</v>
      </c>
      <c r="E1419" s="6">
        <v>0</v>
      </c>
      <c r="F1419" s="6">
        <v>0</v>
      </c>
      <c r="G1419" s="7" t="s">
        <v>21</v>
      </c>
      <c r="H1419" s="1">
        <f t="shared" si="22"/>
        <v>0</v>
      </c>
    </row>
    <row r="1420" spans="1:8" x14ac:dyDescent="0.25">
      <c r="A1420" s="1" t="s">
        <v>16</v>
      </c>
      <c r="B1420" s="1" t="s">
        <v>19</v>
      </c>
      <c r="C1420" s="6">
        <v>2633</v>
      </c>
      <c r="D1420" s="6">
        <v>441</v>
      </c>
      <c r="E1420" s="6">
        <v>441</v>
      </c>
      <c r="F1420" s="6">
        <v>441</v>
      </c>
      <c r="G1420" s="7" t="s">
        <v>21</v>
      </c>
      <c r="H1420" s="1">
        <f t="shared" si="22"/>
        <v>0.16748955563995443</v>
      </c>
    </row>
    <row r="1421" spans="1:8" x14ac:dyDescent="0.25">
      <c r="A1421" s="1" t="s">
        <v>16</v>
      </c>
      <c r="B1421" s="1" t="s">
        <v>19</v>
      </c>
      <c r="C1421" s="6">
        <v>15821</v>
      </c>
      <c r="D1421" s="6">
        <v>3588.1125000000002</v>
      </c>
      <c r="E1421" s="6">
        <v>3587.97</v>
      </c>
      <c r="F1421" s="6">
        <v>3587.97</v>
      </c>
      <c r="G1421" s="7" t="s">
        <v>21</v>
      </c>
      <c r="H1421" s="1">
        <f t="shared" si="22"/>
        <v>0.22679429239618229</v>
      </c>
    </row>
    <row r="1422" spans="1:8" x14ac:dyDescent="0.25">
      <c r="A1422" s="1" t="s">
        <v>16</v>
      </c>
      <c r="B1422" s="1" t="s">
        <v>19</v>
      </c>
      <c r="C1422" s="6">
        <v>51625</v>
      </c>
      <c r="D1422" s="6">
        <v>9150</v>
      </c>
      <c r="E1422" s="6">
        <v>7165</v>
      </c>
      <c r="F1422" s="6">
        <v>7165</v>
      </c>
      <c r="G1422" s="7" t="s">
        <v>21</v>
      </c>
      <c r="H1422" s="1">
        <f t="shared" si="22"/>
        <v>0.17723970944309927</v>
      </c>
    </row>
    <row r="1423" spans="1:8" x14ac:dyDescent="0.25">
      <c r="A1423" s="1" t="s">
        <v>16</v>
      </c>
      <c r="B1423" s="1" t="s">
        <v>19</v>
      </c>
      <c r="C1423" s="6">
        <v>14250</v>
      </c>
      <c r="D1423" s="6">
        <v>0</v>
      </c>
      <c r="E1423" s="6">
        <v>0</v>
      </c>
      <c r="F1423" s="6">
        <v>0</v>
      </c>
      <c r="G1423" s="7" t="s">
        <v>21</v>
      </c>
      <c r="H1423" s="1">
        <f t="shared" si="22"/>
        <v>0</v>
      </c>
    </row>
    <row r="1424" spans="1:8" x14ac:dyDescent="0.25">
      <c r="A1424" s="1" t="s">
        <v>16</v>
      </c>
      <c r="B1424" s="1" t="s">
        <v>19</v>
      </c>
      <c r="C1424" s="6">
        <v>15500</v>
      </c>
      <c r="D1424" s="6">
        <v>0</v>
      </c>
      <c r="E1424" s="6">
        <v>0</v>
      </c>
      <c r="F1424" s="6">
        <v>0</v>
      </c>
      <c r="G1424" s="7" t="s">
        <v>21</v>
      </c>
      <c r="H1424" s="1">
        <f t="shared" si="22"/>
        <v>0</v>
      </c>
    </row>
    <row r="1425" spans="1:8" x14ac:dyDescent="0.25">
      <c r="A1425" s="1" t="s">
        <v>16</v>
      </c>
      <c r="B1425" s="1" t="s">
        <v>19</v>
      </c>
      <c r="C1425" s="6">
        <v>5661</v>
      </c>
      <c r="D1425" s="6">
        <v>821.26250000000005</v>
      </c>
      <c r="E1425" s="6">
        <v>220.71</v>
      </c>
      <c r="F1425" s="6">
        <v>0</v>
      </c>
      <c r="G1425" s="7" t="s">
        <v>21</v>
      </c>
      <c r="H1425" s="1">
        <f t="shared" si="22"/>
        <v>0.14507375022080904</v>
      </c>
    </row>
    <row r="1426" spans="1:8" x14ac:dyDescent="0.25">
      <c r="A1426" s="1" t="s">
        <v>16</v>
      </c>
      <c r="B1426" s="1" t="s">
        <v>19</v>
      </c>
      <c r="C1426" s="6">
        <v>209249</v>
      </c>
      <c r="D1426" s="6">
        <v>0</v>
      </c>
      <c r="E1426" s="6">
        <v>0</v>
      </c>
      <c r="F1426" s="6">
        <v>0</v>
      </c>
      <c r="G1426" s="7" t="s">
        <v>21</v>
      </c>
      <c r="H1426" s="1">
        <f t="shared" si="22"/>
        <v>0</v>
      </c>
    </row>
    <row r="1427" spans="1:8" x14ac:dyDescent="0.25">
      <c r="A1427" s="1" t="s">
        <v>16</v>
      </c>
      <c r="B1427" s="1" t="s">
        <v>19</v>
      </c>
      <c r="C1427" s="6">
        <v>31125</v>
      </c>
      <c r="D1427" s="6">
        <v>1604.0625</v>
      </c>
      <c r="E1427" s="6">
        <v>1603.9775</v>
      </c>
      <c r="F1427" s="6">
        <v>1603.9775</v>
      </c>
      <c r="G1427" s="7" t="s">
        <v>21</v>
      </c>
      <c r="H1427" s="1">
        <f t="shared" si="22"/>
        <v>5.153614457831325E-2</v>
      </c>
    </row>
    <row r="1428" spans="1:8" x14ac:dyDescent="0.25">
      <c r="A1428" s="1" t="s">
        <v>16</v>
      </c>
      <c r="B1428" s="1" t="s">
        <v>19</v>
      </c>
      <c r="C1428" s="6">
        <v>182120</v>
      </c>
      <c r="D1428" s="6">
        <v>2000</v>
      </c>
      <c r="E1428" s="6">
        <v>0</v>
      </c>
      <c r="F1428" s="6">
        <v>0</v>
      </c>
      <c r="G1428" s="7" t="s">
        <v>21</v>
      </c>
      <c r="H1428" s="1">
        <f t="shared" si="22"/>
        <v>1.0981770261366132E-2</v>
      </c>
    </row>
    <row r="1429" spans="1:8" x14ac:dyDescent="0.25">
      <c r="A1429" s="1" t="s">
        <v>16</v>
      </c>
      <c r="B1429" s="1" t="s">
        <v>19</v>
      </c>
      <c r="C1429" s="6">
        <v>1269085</v>
      </c>
      <c r="D1429" s="6">
        <v>737448.17</v>
      </c>
      <c r="E1429" s="6">
        <v>700797.95</v>
      </c>
      <c r="F1429" s="6">
        <v>659742.495</v>
      </c>
      <c r="G1429" s="7" t="s">
        <v>21</v>
      </c>
      <c r="H1429" s="1">
        <f t="shared" si="22"/>
        <v>0.58108650720794908</v>
      </c>
    </row>
    <row r="1430" spans="1:8" x14ac:dyDescent="0.25">
      <c r="A1430" s="1" t="s">
        <v>16</v>
      </c>
      <c r="B1430" s="1" t="s">
        <v>19</v>
      </c>
      <c r="C1430" s="6">
        <v>17000</v>
      </c>
      <c r="D1430" s="6">
        <v>3581.49</v>
      </c>
      <c r="E1430" s="6">
        <v>0</v>
      </c>
      <c r="F1430" s="6">
        <v>0</v>
      </c>
      <c r="G1430" s="7" t="s">
        <v>21</v>
      </c>
      <c r="H1430" s="1">
        <f t="shared" si="22"/>
        <v>0.21067588235294116</v>
      </c>
    </row>
    <row r="1431" spans="1:8" x14ac:dyDescent="0.25">
      <c r="A1431" s="1" t="s">
        <v>16</v>
      </c>
      <c r="B1431" s="1" t="s">
        <v>19</v>
      </c>
      <c r="C1431" s="6">
        <v>30000</v>
      </c>
      <c r="D1431" s="6">
        <v>0</v>
      </c>
      <c r="E1431" s="6">
        <v>0</v>
      </c>
      <c r="F1431" s="6">
        <v>0</v>
      </c>
      <c r="G1431" s="7" t="s">
        <v>21</v>
      </c>
      <c r="H1431" s="1">
        <f t="shared" si="22"/>
        <v>0</v>
      </c>
    </row>
    <row r="1432" spans="1:8" x14ac:dyDescent="0.25">
      <c r="A1432" s="1" t="s">
        <v>16</v>
      </c>
      <c r="B1432" s="1" t="s">
        <v>19</v>
      </c>
      <c r="C1432" s="6">
        <v>125000</v>
      </c>
      <c r="D1432" s="6">
        <v>0</v>
      </c>
      <c r="E1432" s="6">
        <v>0</v>
      </c>
      <c r="F1432" s="6">
        <v>0</v>
      </c>
      <c r="G1432" s="7" t="s">
        <v>21</v>
      </c>
      <c r="H1432" s="1">
        <f t="shared" si="22"/>
        <v>0</v>
      </c>
    </row>
    <row r="1433" spans="1:8" x14ac:dyDescent="0.25">
      <c r="A1433" s="1" t="s">
        <v>16</v>
      </c>
      <c r="B1433" s="1" t="s">
        <v>19</v>
      </c>
      <c r="C1433" s="6">
        <v>196593</v>
      </c>
      <c r="D1433" s="6">
        <v>140843.5</v>
      </c>
      <c r="E1433" s="6">
        <v>93895.664999999994</v>
      </c>
      <c r="F1433" s="6">
        <v>93895.664999999994</v>
      </c>
      <c r="G1433" s="7" t="s">
        <v>21</v>
      </c>
      <c r="H1433" s="1">
        <f t="shared" si="22"/>
        <v>0.71642174441612871</v>
      </c>
    </row>
    <row r="1434" spans="1:8" x14ac:dyDescent="0.25">
      <c r="A1434" s="1" t="s">
        <v>16</v>
      </c>
      <c r="B1434" s="1" t="s">
        <v>19</v>
      </c>
      <c r="C1434" s="6">
        <v>351094</v>
      </c>
      <c r="D1434" s="6">
        <v>333807.59749999997</v>
      </c>
      <c r="E1434" s="6">
        <v>328978.40999999997</v>
      </c>
      <c r="F1434" s="6">
        <v>308835.66249999998</v>
      </c>
      <c r="G1434" s="7" t="s">
        <v>21</v>
      </c>
      <c r="H1434" s="1">
        <f t="shared" si="22"/>
        <v>0.9507641756908406</v>
      </c>
    </row>
    <row r="1435" spans="1:8" x14ac:dyDescent="0.25">
      <c r="A1435" s="1" t="s">
        <v>16</v>
      </c>
      <c r="B1435" s="1" t="s">
        <v>19</v>
      </c>
      <c r="C1435" s="6">
        <v>56231</v>
      </c>
      <c r="D1435" s="6">
        <v>0</v>
      </c>
      <c r="E1435" s="6">
        <v>0</v>
      </c>
      <c r="F1435" s="6">
        <v>0</v>
      </c>
      <c r="G1435" s="7" t="s">
        <v>21</v>
      </c>
      <c r="H1435" s="1">
        <f t="shared" si="22"/>
        <v>0</v>
      </c>
    </row>
    <row r="1436" spans="1:8" x14ac:dyDescent="0.25">
      <c r="A1436" s="1" t="s">
        <v>16</v>
      </c>
      <c r="B1436" s="1" t="s">
        <v>19</v>
      </c>
      <c r="C1436" s="6">
        <v>1250000</v>
      </c>
      <c r="D1436" s="6">
        <v>0</v>
      </c>
      <c r="E1436" s="6">
        <v>0</v>
      </c>
      <c r="F1436" s="6">
        <v>0</v>
      </c>
      <c r="G1436" s="7" t="s">
        <v>21</v>
      </c>
      <c r="H1436" s="1">
        <f t="shared" si="22"/>
        <v>0</v>
      </c>
    </row>
    <row r="1437" spans="1:8" x14ac:dyDescent="0.25">
      <c r="A1437" s="1" t="s">
        <v>16</v>
      </c>
      <c r="B1437" s="1" t="s">
        <v>19</v>
      </c>
      <c r="C1437" s="6">
        <v>60250</v>
      </c>
      <c r="D1437" s="6">
        <v>0</v>
      </c>
      <c r="E1437" s="6">
        <v>0</v>
      </c>
      <c r="F1437" s="6">
        <v>0</v>
      </c>
      <c r="G1437" s="7" t="s">
        <v>21</v>
      </c>
      <c r="H1437" s="1">
        <f t="shared" si="22"/>
        <v>0</v>
      </c>
    </row>
    <row r="1438" spans="1:8" x14ac:dyDescent="0.25">
      <c r="A1438" s="1" t="s">
        <v>16</v>
      </c>
      <c r="B1438" s="1" t="s">
        <v>19</v>
      </c>
      <c r="C1438" s="6">
        <v>188752</v>
      </c>
      <c r="D1438" s="6">
        <v>204211.77</v>
      </c>
      <c r="E1438" s="6">
        <v>204211.77</v>
      </c>
      <c r="F1438" s="6">
        <v>182835.55249999999</v>
      </c>
      <c r="G1438" s="7" t="s">
        <v>21</v>
      </c>
      <c r="H1438" s="1">
        <f t="shared" si="22"/>
        <v>1.0819051983555141</v>
      </c>
    </row>
    <row r="1439" spans="1:8" x14ac:dyDescent="0.25">
      <c r="A1439" s="1" t="s">
        <v>12</v>
      </c>
      <c r="B1439" s="1" t="s">
        <v>13</v>
      </c>
      <c r="C1439" s="6">
        <v>418184</v>
      </c>
      <c r="D1439" s="6">
        <v>177062.5</v>
      </c>
      <c r="E1439" s="6">
        <v>142556.60250000001</v>
      </c>
      <c r="F1439" s="6">
        <v>128277.98</v>
      </c>
      <c r="G1439" s="7" t="s">
        <v>21</v>
      </c>
      <c r="H1439" s="1">
        <f t="shared" si="22"/>
        <v>0.42340811700112868</v>
      </c>
    </row>
    <row r="1440" spans="1:8" x14ac:dyDescent="0.25">
      <c r="A1440" s="1" t="s">
        <v>12</v>
      </c>
      <c r="B1440" s="1" t="s">
        <v>13</v>
      </c>
      <c r="C1440" s="6">
        <v>4938674</v>
      </c>
      <c r="D1440" s="6">
        <v>0</v>
      </c>
      <c r="E1440" s="6">
        <v>0</v>
      </c>
      <c r="F1440" s="6">
        <v>0</v>
      </c>
      <c r="G1440" s="7" t="s">
        <v>21</v>
      </c>
      <c r="H1440" s="1">
        <f t="shared" si="22"/>
        <v>0</v>
      </c>
    </row>
    <row r="1441" spans="1:8" x14ac:dyDescent="0.25">
      <c r="A1441" s="1" t="s">
        <v>12</v>
      </c>
      <c r="B1441" s="1" t="s">
        <v>13</v>
      </c>
      <c r="C1441" s="6">
        <v>112250</v>
      </c>
      <c r="D1441" s="6">
        <v>286761.79249999998</v>
      </c>
      <c r="E1441" s="6">
        <v>270261.79249999998</v>
      </c>
      <c r="F1441" s="6">
        <v>270261.79249999998</v>
      </c>
      <c r="G1441" s="7" t="s">
        <v>21</v>
      </c>
      <c r="H1441" s="1">
        <f t="shared" si="22"/>
        <v>2.5546707572383074</v>
      </c>
    </row>
    <row r="1442" spans="1:8" x14ac:dyDescent="0.25">
      <c r="A1442" s="1" t="s">
        <v>12</v>
      </c>
      <c r="B1442" s="1" t="s">
        <v>13</v>
      </c>
      <c r="C1442" s="6">
        <v>737250</v>
      </c>
      <c r="D1442" s="6">
        <v>8400</v>
      </c>
      <c r="E1442" s="6">
        <v>8400</v>
      </c>
      <c r="F1442" s="6">
        <v>8400</v>
      </c>
      <c r="G1442" s="7" t="s">
        <v>21</v>
      </c>
      <c r="H1442" s="1">
        <f t="shared" si="22"/>
        <v>1.1393692777212614E-2</v>
      </c>
    </row>
    <row r="1443" spans="1:8" x14ac:dyDescent="0.25">
      <c r="A1443" s="1" t="s">
        <v>12</v>
      </c>
      <c r="B1443" s="1" t="s">
        <v>13</v>
      </c>
      <c r="C1443" s="6">
        <v>112495</v>
      </c>
      <c r="D1443" s="6">
        <v>5478.77</v>
      </c>
      <c r="E1443" s="6">
        <v>5478.77</v>
      </c>
      <c r="F1443" s="6">
        <v>5478.77</v>
      </c>
      <c r="G1443" s="7" t="s">
        <v>21</v>
      </c>
      <c r="H1443" s="1">
        <f t="shared" si="22"/>
        <v>4.8702342326325615E-2</v>
      </c>
    </row>
    <row r="1444" spans="1:8" x14ac:dyDescent="0.25">
      <c r="A1444" s="1" t="s">
        <v>12</v>
      </c>
      <c r="B1444" s="1" t="s">
        <v>13</v>
      </c>
      <c r="C1444" s="6">
        <v>221097</v>
      </c>
      <c r="D1444" s="6">
        <v>209250</v>
      </c>
      <c r="E1444" s="6">
        <v>194848.3725</v>
      </c>
      <c r="F1444" s="6">
        <v>194848.3725</v>
      </c>
      <c r="G1444" s="7" t="s">
        <v>21</v>
      </c>
      <c r="H1444" s="1">
        <f t="shared" si="22"/>
        <v>0.94641718340818737</v>
      </c>
    </row>
    <row r="1445" spans="1:8" x14ac:dyDescent="0.25">
      <c r="A1445" s="1" t="s">
        <v>12</v>
      </c>
      <c r="B1445" s="1" t="s">
        <v>13</v>
      </c>
      <c r="C1445" s="6">
        <v>434624</v>
      </c>
      <c r="D1445" s="6">
        <v>365591.08250000002</v>
      </c>
      <c r="E1445" s="6">
        <v>326095.76750000002</v>
      </c>
      <c r="F1445" s="6">
        <v>325477.32500000001</v>
      </c>
      <c r="G1445" s="7" t="s">
        <v>21</v>
      </c>
      <c r="H1445" s="1">
        <f t="shared" si="22"/>
        <v>0.84116634723347083</v>
      </c>
    </row>
    <row r="1446" spans="1:8" x14ac:dyDescent="0.25">
      <c r="A1446" s="1" t="s">
        <v>12</v>
      </c>
      <c r="B1446" s="1" t="s">
        <v>13</v>
      </c>
      <c r="C1446" s="6">
        <v>63135</v>
      </c>
      <c r="D1446" s="6">
        <v>209783.57500000001</v>
      </c>
      <c r="E1446" s="6">
        <v>185787.1225</v>
      </c>
      <c r="F1446" s="6">
        <v>185787.1225</v>
      </c>
      <c r="G1446" s="7" t="s">
        <v>21</v>
      </c>
      <c r="H1446" s="1">
        <f t="shared" si="22"/>
        <v>3.3227777777777781</v>
      </c>
    </row>
    <row r="1447" spans="1:8" x14ac:dyDescent="0.25">
      <c r="A1447" s="1" t="s">
        <v>12</v>
      </c>
      <c r="B1447" s="1" t="s">
        <v>13</v>
      </c>
      <c r="C1447" s="6">
        <v>505856</v>
      </c>
      <c r="D1447" s="6">
        <v>0</v>
      </c>
      <c r="E1447" s="6">
        <v>0</v>
      </c>
      <c r="F1447" s="6">
        <v>0</v>
      </c>
      <c r="G1447" s="7" t="s">
        <v>21</v>
      </c>
      <c r="H1447" s="1">
        <f t="shared" si="22"/>
        <v>0</v>
      </c>
    </row>
    <row r="1448" spans="1:8" x14ac:dyDescent="0.25">
      <c r="A1448" s="1" t="s">
        <v>12</v>
      </c>
      <c r="B1448" s="1" t="s">
        <v>13</v>
      </c>
      <c r="C1448" s="6">
        <v>691750</v>
      </c>
      <c r="D1448" s="6">
        <v>598000</v>
      </c>
      <c r="E1448" s="6">
        <v>517010.13250000001</v>
      </c>
      <c r="F1448" s="6">
        <v>517010.13250000001</v>
      </c>
      <c r="G1448" s="7" t="s">
        <v>21</v>
      </c>
      <c r="H1448" s="1">
        <f t="shared" si="22"/>
        <v>0.86447415973979036</v>
      </c>
    </row>
    <row r="1449" spans="1:8" x14ac:dyDescent="0.25">
      <c r="A1449" s="1" t="s">
        <v>12</v>
      </c>
      <c r="B1449" s="1" t="s">
        <v>13</v>
      </c>
      <c r="C1449" s="6">
        <v>191000</v>
      </c>
      <c r="D1449" s="6">
        <v>748968.75</v>
      </c>
      <c r="E1449" s="6">
        <v>653625</v>
      </c>
      <c r="F1449" s="6">
        <v>653625</v>
      </c>
      <c r="G1449" s="7" t="s">
        <v>21</v>
      </c>
      <c r="H1449" s="1">
        <f t="shared" si="22"/>
        <v>3.9213023560209423</v>
      </c>
    </row>
    <row r="1450" spans="1:8" x14ac:dyDescent="0.25">
      <c r="A1450" s="1" t="s">
        <v>12</v>
      </c>
      <c r="B1450" s="1" t="s">
        <v>13</v>
      </c>
      <c r="C1450" s="6">
        <v>721000</v>
      </c>
      <c r="D1450" s="6">
        <v>26250</v>
      </c>
      <c r="E1450" s="6">
        <v>19537.5425</v>
      </c>
      <c r="F1450" s="6">
        <v>19537.5425</v>
      </c>
      <c r="G1450" s="7" t="s">
        <v>21</v>
      </c>
      <c r="H1450" s="1">
        <f t="shared" si="22"/>
        <v>3.640776699029126E-2</v>
      </c>
    </row>
    <row r="1451" spans="1:8" x14ac:dyDescent="0.25">
      <c r="A1451" s="1" t="s">
        <v>12</v>
      </c>
      <c r="B1451" s="1" t="s">
        <v>13</v>
      </c>
      <c r="C1451" s="6">
        <v>83500</v>
      </c>
      <c r="D1451" s="6">
        <v>5625</v>
      </c>
      <c r="E1451" s="6">
        <v>375</v>
      </c>
      <c r="F1451" s="6">
        <v>375</v>
      </c>
      <c r="G1451" s="7" t="s">
        <v>21</v>
      </c>
      <c r="H1451" s="1">
        <f t="shared" si="22"/>
        <v>6.7365269461077848E-2</v>
      </c>
    </row>
    <row r="1452" spans="1:8" x14ac:dyDescent="0.25">
      <c r="A1452" s="1" t="s">
        <v>12</v>
      </c>
      <c r="B1452" s="1" t="s">
        <v>13</v>
      </c>
      <c r="C1452" s="6">
        <v>3226000</v>
      </c>
      <c r="D1452" s="6">
        <v>1805269.9750000001</v>
      </c>
      <c r="E1452" s="6">
        <v>1805269.9750000001</v>
      </c>
      <c r="F1452" s="6">
        <v>1623452.87</v>
      </c>
      <c r="G1452" s="7" t="s">
        <v>21</v>
      </c>
      <c r="H1452" s="1">
        <f t="shared" si="22"/>
        <v>0.55960011624302541</v>
      </c>
    </row>
    <row r="1453" spans="1:8" x14ac:dyDescent="0.25">
      <c r="A1453" s="1" t="s">
        <v>12</v>
      </c>
      <c r="B1453" s="1" t="s">
        <v>13</v>
      </c>
      <c r="C1453" s="6">
        <v>750</v>
      </c>
      <c r="D1453" s="6">
        <v>0</v>
      </c>
      <c r="E1453" s="6">
        <v>0</v>
      </c>
      <c r="F1453" s="6">
        <v>0</v>
      </c>
      <c r="G1453" s="7" t="s">
        <v>21</v>
      </c>
      <c r="H1453" s="1">
        <f t="shared" si="22"/>
        <v>0</v>
      </c>
    </row>
    <row r="1454" spans="1:8" x14ac:dyDescent="0.25">
      <c r="A1454" s="1" t="s">
        <v>12</v>
      </c>
      <c r="B1454" s="1" t="s">
        <v>13</v>
      </c>
      <c r="C1454" s="6">
        <v>739999</v>
      </c>
      <c r="D1454" s="6">
        <v>207194.255</v>
      </c>
      <c r="E1454" s="6">
        <v>151813.26500000001</v>
      </c>
      <c r="F1454" s="6">
        <v>112629.27</v>
      </c>
      <c r="G1454" s="7" t="s">
        <v>21</v>
      </c>
      <c r="H1454" s="1">
        <f t="shared" si="22"/>
        <v>0.27999261485488497</v>
      </c>
    </row>
    <row r="1455" spans="1:8" x14ac:dyDescent="0.25">
      <c r="A1455" s="1" t="s">
        <v>12</v>
      </c>
      <c r="B1455" s="1" t="s">
        <v>13</v>
      </c>
      <c r="C1455" s="6">
        <v>552500</v>
      </c>
      <c r="D1455" s="6">
        <v>0</v>
      </c>
      <c r="E1455" s="6">
        <v>0</v>
      </c>
      <c r="F1455" s="6">
        <v>0</v>
      </c>
      <c r="G1455" s="7" t="s">
        <v>21</v>
      </c>
      <c r="H1455" s="1">
        <f t="shared" si="22"/>
        <v>0</v>
      </c>
    </row>
    <row r="1456" spans="1:8" x14ac:dyDescent="0.25">
      <c r="A1456" s="1" t="s">
        <v>12</v>
      </c>
      <c r="B1456" s="1" t="s">
        <v>13</v>
      </c>
      <c r="C1456" s="6">
        <v>38000</v>
      </c>
      <c r="D1456" s="6">
        <v>0</v>
      </c>
      <c r="E1456" s="6">
        <v>0</v>
      </c>
      <c r="F1456" s="6">
        <v>0</v>
      </c>
      <c r="G1456" s="7" t="s">
        <v>21</v>
      </c>
      <c r="H1456" s="1">
        <f t="shared" si="22"/>
        <v>0</v>
      </c>
    </row>
    <row r="1457" spans="1:8" x14ac:dyDescent="0.25">
      <c r="A1457" s="1" t="s">
        <v>12</v>
      </c>
      <c r="B1457" s="1" t="s">
        <v>13</v>
      </c>
      <c r="C1457" s="6">
        <v>55750</v>
      </c>
      <c r="D1457" s="6">
        <v>0</v>
      </c>
      <c r="E1457" s="6">
        <v>0</v>
      </c>
      <c r="F1457" s="6">
        <v>0</v>
      </c>
      <c r="G1457" s="7" t="s">
        <v>21</v>
      </c>
      <c r="H1457" s="1">
        <f t="shared" si="22"/>
        <v>0</v>
      </c>
    </row>
    <row r="1458" spans="1:8" x14ac:dyDescent="0.25">
      <c r="A1458" s="1" t="s">
        <v>12</v>
      </c>
      <c r="B1458" s="1" t="s">
        <v>13</v>
      </c>
      <c r="C1458" s="6">
        <v>6526123</v>
      </c>
      <c r="D1458" s="6">
        <v>967147.37749999994</v>
      </c>
      <c r="E1458" s="6">
        <v>758659.32</v>
      </c>
      <c r="F1458" s="6">
        <v>565270.64</v>
      </c>
      <c r="G1458" s="7" t="s">
        <v>21</v>
      </c>
      <c r="H1458" s="1">
        <f t="shared" si="22"/>
        <v>0.14819631464193977</v>
      </c>
    </row>
    <row r="1459" spans="1:8" x14ac:dyDescent="0.25">
      <c r="A1459" s="1" t="s">
        <v>12</v>
      </c>
      <c r="B1459" s="1" t="s">
        <v>13</v>
      </c>
      <c r="C1459" s="6">
        <v>1431547</v>
      </c>
      <c r="D1459" s="6">
        <v>2095595.7450000001</v>
      </c>
      <c r="E1459" s="6">
        <v>1746687.5275000001</v>
      </c>
      <c r="F1459" s="6">
        <v>1719045.1200000001</v>
      </c>
      <c r="G1459" s="7" t="s">
        <v>21</v>
      </c>
      <c r="H1459" s="1">
        <f t="shared" si="22"/>
        <v>1.4638679309865481</v>
      </c>
    </row>
    <row r="1460" spans="1:8" x14ac:dyDescent="0.25">
      <c r="A1460" s="1" t="s">
        <v>12</v>
      </c>
      <c r="B1460" s="1" t="s">
        <v>13</v>
      </c>
      <c r="C1460" s="6">
        <v>190750</v>
      </c>
      <c r="D1460" s="6">
        <v>10041.932500000001</v>
      </c>
      <c r="E1460" s="6">
        <v>10041.932500000001</v>
      </c>
      <c r="F1460" s="6">
        <v>10041.932500000001</v>
      </c>
      <c r="G1460" s="7" t="s">
        <v>21</v>
      </c>
      <c r="H1460" s="1">
        <f t="shared" si="22"/>
        <v>5.2644469200524249E-2</v>
      </c>
    </row>
    <row r="1461" spans="1:8" x14ac:dyDescent="0.25">
      <c r="A1461" s="1" t="s">
        <v>12</v>
      </c>
      <c r="B1461" s="1" t="s">
        <v>13</v>
      </c>
      <c r="C1461" s="6">
        <v>3000177</v>
      </c>
      <c r="D1461" s="6">
        <v>3480118.88</v>
      </c>
      <c r="E1461" s="6">
        <v>2659145.4550000001</v>
      </c>
      <c r="F1461" s="6">
        <v>2638303.0724999998</v>
      </c>
      <c r="G1461" s="7" t="s">
        <v>21</v>
      </c>
      <c r="H1461" s="1">
        <f t="shared" si="22"/>
        <v>1.1599711883665531</v>
      </c>
    </row>
    <row r="1462" spans="1:8" x14ac:dyDescent="0.25">
      <c r="A1462" s="1" t="s">
        <v>12</v>
      </c>
      <c r="B1462" s="1" t="s">
        <v>13</v>
      </c>
      <c r="C1462" s="6">
        <v>37316</v>
      </c>
      <c r="D1462" s="6">
        <v>0</v>
      </c>
      <c r="E1462" s="6">
        <v>0</v>
      </c>
      <c r="F1462" s="6">
        <v>0</v>
      </c>
      <c r="G1462" s="7" t="s">
        <v>21</v>
      </c>
      <c r="H1462" s="1">
        <f t="shared" si="22"/>
        <v>0</v>
      </c>
    </row>
    <row r="1463" spans="1:8" x14ac:dyDescent="0.25">
      <c r="A1463" s="1" t="s">
        <v>12</v>
      </c>
      <c r="B1463" s="1" t="s">
        <v>13</v>
      </c>
      <c r="C1463" s="6">
        <v>164344</v>
      </c>
      <c r="D1463" s="6">
        <v>186189.96</v>
      </c>
      <c r="E1463" s="6">
        <v>85939.96</v>
      </c>
      <c r="F1463" s="6">
        <v>85939.96</v>
      </c>
      <c r="G1463" s="7" t="s">
        <v>21</v>
      </c>
      <c r="H1463" s="1">
        <f t="shared" si="22"/>
        <v>1.1329282480650342</v>
      </c>
    </row>
    <row r="1464" spans="1:8" x14ac:dyDescent="0.25">
      <c r="A1464" s="1" t="s">
        <v>12</v>
      </c>
      <c r="B1464" s="1" t="s">
        <v>13</v>
      </c>
      <c r="C1464" s="6">
        <v>242891</v>
      </c>
      <c r="D1464" s="6">
        <v>85718.002500000002</v>
      </c>
      <c r="E1464" s="6">
        <v>11469.752500000001</v>
      </c>
      <c r="F1464" s="6">
        <v>6311.3549999999996</v>
      </c>
      <c r="G1464" s="7" t="s">
        <v>21</v>
      </c>
      <c r="H1464" s="1">
        <f t="shared" si="22"/>
        <v>0.35290728145546768</v>
      </c>
    </row>
    <row r="1465" spans="1:8" x14ac:dyDescent="0.25">
      <c r="A1465" s="1" t="s">
        <v>12</v>
      </c>
      <c r="B1465" s="1" t="s">
        <v>13</v>
      </c>
      <c r="C1465" s="6">
        <v>1435975</v>
      </c>
      <c r="D1465" s="6">
        <v>12622.897499999999</v>
      </c>
      <c r="E1465" s="6">
        <v>12622.897499999999</v>
      </c>
      <c r="F1465" s="6">
        <v>12622.897499999999</v>
      </c>
      <c r="G1465" s="7" t="s">
        <v>21</v>
      </c>
      <c r="H1465" s="1">
        <f t="shared" si="22"/>
        <v>8.7904716307735161E-3</v>
      </c>
    </row>
    <row r="1466" spans="1:8" x14ac:dyDescent="0.25">
      <c r="A1466" s="1" t="s">
        <v>12</v>
      </c>
      <c r="B1466" s="1" t="s">
        <v>13</v>
      </c>
      <c r="C1466" s="6">
        <v>5750</v>
      </c>
      <c r="D1466" s="6">
        <v>1500</v>
      </c>
      <c r="E1466" s="6">
        <v>1375</v>
      </c>
      <c r="F1466" s="6">
        <v>1375</v>
      </c>
      <c r="G1466" s="7" t="s">
        <v>21</v>
      </c>
      <c r="H1466" s="1">
        <f t="shared" si="22"/>
        <v>0.2608695652173913</v>
      </c>
    </row>
    <row r="1467" spans="1:8" x14ac:dyDescent="0.25">
      <c r="A1467" s="1" t="s">
        <v>12</v>
      </c>
      <c r="B1467" s="1" t="s">
        <v>13</v>
      </c>
      <c r="C1467" s="6">
        <v>483400</v>
      </c>
      <c r="D1467" s="6">
        <v>796482.8125</v>
      </c>
      <c r="E1467" s="6">
        <v>672400.96250000002</v>
      </c>
      <c r="F1467" s="6">
        <v>647617.15</v>
      </c>
      <c r="G1467" s="7" t="s">
        <v>21</v>
      </c>
      <c r="H1467" s="1">
        <f t="shared" si="22"/>
        <v>1.6476682095573025</v>
      </c>
    </row>
    <row r="1468" spans="1:8" x14ac:dyDescent="0.25">
      <c r="A1468" s="1" t="s">
        <v>12</v>
      </c>
      <c r="B1468" s="1" t="s">
        <v>13</v>
      </c>
      <c r="C1468" s="6">
        <v>4697051</v>
      </c>
      <c r="D1468" s="6">
        <v>3084900.6675</v>
      </c>
      <c r="E1468" s="6">
        <v>2562988.7349999999</v>
      </c>
      <c r="F1468" s="6">
        <v>2494487.8975</v>
      </c>
      <c r="G1468" s="7" t="s">
        <v>21</v>
      </c>
      <c r="H1468" s="1">
        <f t="shared" si="22"/>
        <v>0.65677393485827595</v>
      </c>
    </row>
    <row r="1469" spans="1:8" x14ac:dyDescent="0.25">
      <c r="A1469" s="1" t="s">
        <v>12</v>
      </c>
      <c r="B1469" s="1" t="s">
        <v>13</v>
      </c>
      <c r="C1469" s="6">
        <v>79293</v>
      </c>
      <c r="D1469" s="6">
        <v>33395.525000000001</v>
      </c>
      <c r="E1469" s="6">
        <v>7669.7974999999997</v>
      </c>
      <c r="F1469" s="6">
        <v>7669.7974999999997</v>
      </c>
      <c r="G1469" s="7" t="s">
        <v>21</v>
      </c>
      <c r="H1469" s="1">
        <f t="shared" si="22"/>
        <v>0.42116611806842974</v>
      </c>
    </row>
    <row r="1470" spans="1:8" x14ac:dyDescent="0.25">
      <c r="A1470" s="1" t="s">
        <v>12</v>
      </c>
      <c r="B1470" s="1" t="s">
        <v>13</v>
      </c>
      <c r="C1470" s="6">
        <v>3328341</v>
      </c>
      <c r="D1470" s="6">
        <v>4378124.8475000001</v>
      </c>
      <c r="E1470" s="6">
        <v>3740731.79</v>
      </c>
      <c r="F1470" s="6">
        <v>3546833.09</v>
      </c>
      <c r="G1470" s="7" t="s">
        <v>21</v>
      </c>
      <c r="H1470" s="1">
        <f t="shared" si="22"/>
        <v>1.315407540122842</v>
      </c>
    </row>
    <row r="1471" spans="1:8" x14ac:dyDescent="0.25">
      <c r="A1471" s="1" t="s">
        <v>12</v>
      </c>
      <c r="B1471" s="1" t="s">
        <v>13</v>
      </c>
      <c r="C1471" s="6">
        <v>627404</v>
      </c>
      <c r="D1471" s="6">
        <v>137500</v>
      </c>
      <c r="E1471" s="6">
        <v>82155.27</v>
      </c>
      <c r="F1471" s="6">
        <v>82155.27</v>
      </c>
      <c r="G1471" s="7" t="s">
        <v>21</v>
      </c>
      <c r="H1471" s="1">
        <f t="shared" si="22"/>
        <v>0.21915703438294942</v>
      </c>
    </row>
    <row r="1472" spans="1:8" x14ac:dyDescent="0.25">
      <c r="A1472" s="1" t="s">
        <v>12</v>
      </c>
      <c r="B1472" s="1" t="s">
        <v>13</v>
      </c>
      <c r="C1472" s="6">
        <v>6020929</v>
      </c>
      <c r="D1472" s="6">
        <v>2487016.7599999998</v>
      </c>
      <c r="E1472" s="6">
        <v>1851730.5825</v>
      </c>
      <c r="F1472" s="6">
        <v>1792721.19</v>
      </c>
      <c r="G1472" s="7" t="s">
        <v>21</v>
      </c>
      <c r="H1472" s="1">
        <f t="shared" si="22"/>
        <v>0.41306196435799192</v>
      </c>
    </row>
    <row r="1473" spans="1:8" x14ac:dyDescent="0.25">
      <c r="A1473" s="1" t="s">
        <v>12</v>
      </c>
      <c r="B1473" s="1" t="s">
        <v>13</v>
      </c>
      <c r="C1473" s="6">
        <v>800500</v>
      </c>
      <c r="D1473" s="6">
        <v>100000</v>
      </c>
      <c r="E1473" s="6">
        <v>20350.45</v>
      </c>
      <c r="F1473" s="6">
        <v>20350.45</v>
      </c>
      <c r="G1473" s="7" t="s">
        <v>21</v>
      </c>
      <c r="H1473" s="1">
        <f t="shared" si="22"/>
        <v>0.12492192379762648</v>
      </c>
    </row>
    <row r="1474" spans="1:8" x14ac:dyDescent="0.25">
      <c r="A1474" s="1" t="s">
        <v>12</v>
      </c>
      <c r="B1474" s="1" t="s">
        <v>13</v>
      </c>
      <c r="C1474" s="6">
        <v>2625961</v>
      </c>
      <c r="D1474" s="6">
        <v>1004171.05</v>
      </c>
      <c r="E1474" s="6">
        <v>976319.88500000001</v>
      </c>
      <c r="F1474" s="6">
        <v>959233.88249999995</v>
      </c>
      <c r="G1474" s="7" t="s">
        <v>21</v>
      </c>
      <c r="H1474" s="1">
        <f t="shared" ref="H1474:H1537" si="23">IF(OR(ISNA($D1474),ISNA($C1474),$C1474=0),0,$D1474/$C1474)</f>
        <v>0.38240135706508971</v>
      </c>
    </row>
    <row r="1475" spans="1:8" x14ac:dyDescent="0.25">
      <c r="A1475" s="1" t="s">
        <v>12</v>
      </c>
      <c r="B1475" s="1" t="s">
        <v>13</v>
      </c>
      <c r="C1475" s="6">
        <v>413220</v>
      </c>
      <c r="D1475" s="6">
        <v>31000</v>
      </c>
      <c r="E1475" s="6">
        <v>0</v>
      </c>
      <c r="F1475" s="6">
        <v>0</v>
      </c>
      <c r="G1475" s="7" t="s">
        <v>21</v>
      </c>
      <c r="H1475" s="1">
        <f t="shared" si="23"/>
        <v>7.5020570156333191E-2</v>
      </c>
    </row>
    <row r="1476" spans="1:8" x14ac:dyDescent="0.25">
      <c r="A1476" s="1" t="s">
        <v>12</v>
      </c>
      <c r="B1476" s="1" t="s">
        <v>13</v>
      </c>
      <c r="C1476" s="6">
        <v>500</v>
      </c>
      <c r="D1476" s="6">
        <v>0</v>
      </c>
      <c r="E1476" s="6">
        <v>0</v>
      </c>
      <c r="F1476" s="6">
        <v>0</v>
      </c>
      <c r="G1476" s="7" t="s">
        <v>21</v>
      </c>
      <c r="H1476" s="1">
        <f t="shared" si="23"/>
        <v>0</v>
      </c>
    </row>
    <row r="1477" spans="1:8" x14ac:dyDescent="0.25">
      <c r="A1477" s="1" t="s">
        <v>12</v>
      </c>
      <c r="B1477" s="1" t="s">
        <v>13</v>
      </c>
      <c r="C1477" s="6">
        <v>2862810</v>
      </c>
      <c r="D1477" s="6">
        <v>0</v>
      </c>
      <c r="E1477" s="6">
        <v>0</v>
      </c>
      <c r="F1477" s="6">
        <v>0</v>
      </c>
      <c r="G1477" s="7" t="s">
        <v>21</v>
      </c>
      <c r="H1477" s="1">
        <f t="shared" si="23"/>
        <v>0</v>
      </c>
    </row>
    <row r="1478" spans="1:8" x14ac:dyDescent="0.25">
      <c r="A1478" s="1" t="s">
        <v>12</v>
      </c>
      <c r="B1478" s="1" t="s">
        <v>13</v>
      </c>
      <c r="C1478" s="6">
        <v>306600</v>
      </c>
      <c r="D1478" s="6">
        <v>0</v>
      </c>
      <c r="E1478" s="6">
        <v>0</v>
      </c>
      <c r="F1478" s="6">
        <v>0</v>
      </c>
      <c r="G1478" s="7" t="s">
        <v>21</v>
      </c>
      <c r="H1478" s="1">
        <f t="shared" si="23"/>
        <v>0</v>
      </c>
    </row>
    <row r="1479" spans="1:8" x14ac:dyDescent="0.25">
      <c r="A1479" s="1" t="s">
        <v>12</v>
      </c>
      <c r="B1479" s="1" t="s">
        <v>13</v>
      </c>
      <c r="C1479" s="6">
        <v>2000</v>
      </c>
      <c r="D1479" s="6">
        <v>0</v>
      </c>
      <c r="E1479" s="6">
        <v>0</v>
      </c>
      <c r="F1479" s="6">
        <v>0</v>
      </c>
      <c r="G1479" s="7" t="s">
        <v>21</v>
      </c>
      <c r="H1479" s="1">
        <f t="shared" si="23"/>
        <v>0</v>
      </c>
    </row>
    <row r="1480" spans="1:8" x14ac:dyDescent="0.25">
      <c r="A1480" s="1" t="s">
        <v>12</v>
      </c>
      <c r="B1480" s="1" t="s">
        <v>13</v>
      </c>
      <c r="C1480" s="6">
        <v>1571250</v>
      </c>
      <c r="D1480" s="6">
        <v>52414.5</v>
      </c>
      <c r="E1480" s="6">
        <v>42432.5</v>
      </c>
      <c r="F1480" s="6">
        <v>42432.5</v>
      </c>
      <c r="G1480" s="7" t="s">
        <v>21</v>
      </c>
      <c r="H1480" s="1">
        <f t="shared" si="23"/>
        <v>3.3358472553699281E-2</v>
      </c>
    </row>
    <row r="1481" spans="1:8" x14ac:dyDescent="0.25">
      <c r="A1481" s="1" t="s">
        <v>12</v>
      </c>
      <c r="B1481" s="1" t="s">
        <v>13</v>
      </c>
      <c r="C1481" s="6">
        <v>30500</v>
      </c>
      <c r="D1481" s="6">
        <v>0</v>
      </c>
      <c r="E1481" s="6">
        <v>0</v>
      </c>
      <c r="F1481" s="6">
        <v>0</v>
      </c>
      <c r="G1481" s="7" t="s">
        <v>21</v>
      </c>
      <c r="H1481" s="1">
        <f t="shared" si="23"/>
        <v>0</v>
      </c>
    </row>
    <row r="1482" spans="1:8" x14ac:dyDescent="0.25">
      <c r="A1482" s="1" t="s">
        <v>12</v>
      </c>
      <c r="B1482" s="1" t="s">
        <v>13</v>
      </c>
      <c r="C1482" s="6">
        <v>292375</v>
      </c>
      <c r="D1482" s="6">
        <v>0</v>
      </c>
      <c r="E1482" s="6">
        <v>0</v>
      </c>
      <c r="F1482" s="6">
        <v>0</v>
      </c>
      <c r="G1482" s="7" t="s">
        <v>21</v>
      </c>
      <c r="H1482" s="1">
        <f t="shared" si="23"/>
        <v>0</v>
      </c>
    </row>
    <row r="1483" spans="1:8" x14ac:dyDescent="0.25">
      <c r="A1483" s="1" t="s">
        <v>12</v>
      </c>
      <c r="B1483" s="1" t="s">
        <v>13</v>
      </c>
      <c r="C1483" s="6">
        <v>3250</v>
      </c>
      <c r="D1483" s="6">
        <v>0</v>
      </c>
      <c r="E1483" s="6">
        <v>0</v>
      </c>
      <c r="F1483" s="6">
        <v>0</v>
      </c>
      <c r="G1483" s="7" t="s">
        <v>21</v>
      </c>
      <c r="H1483" s="1">
        <f t="shared" si="23"/>
        <v>0</v>
      </c>
    </row>
    <row r="1484" spans="1:8" x14ac:dyDescent="0.25">
      <c r="A1484" s="1" t="s">
        <v>12</v>
      </c>
      <c r="B1484" s="1" t="s">
        <v>13</v>
      </c>
      <c r="C1484" s="6">
        <v>82969</v>
      </c>
      <c r="D1484" s="6">
        <v>33887.5</v>
      </c>
      <c r="E1484" s="6">
        <v>0</v>
      </c>
      <c r="F1484" s="6">
        <v>0</v>
      </c>
      <c r="G1484" s="7" t="s">
        <v>21</v>
      </c>
      <c r="H1484" s="1">
        <f t="shared" si="23"/>
        <v>0.40843568079644205</v>
      </c>
    </row>
    <row r="1485" spans="1:8" x14ac:dyDescent="0.25">
      <c r="A1485" s="1" t="s">
        <v>12</v>
      </c>
      <c r="B1485" s="1" t="s">
        <v>13</v>
      </c>
      <c r="C1485" s="6">
        <v>664000</v>
      </c>
      <c r="D1485" s="6">
        <v>0</v>
      </c>
      <c r="E1485" s="6">
        <v>0</v>
      </c>
      <c r="F1485" s="6">
        <v>0</v>
      </c>
      <c r="G1485" s="7" t="s">
        <v>21</v>
      </c>
      <c r="H1485" s="1">
        <f t="shared" si="23"/>
        <v>0</v>
      </c>
    </row>
    <row r="1486" spans="1:8" x14ac:dyDescent="0.25">
      <c r="A1486" s="1" t="s">
        <v>12</v>
      </c>
      <c r="B1486" s="1" t="s">
        <v>14</v>
      </c>
      <c r="C1486" s="6">
        <v>12561890</v>
      </c>
      <c r="D1486" s="6">
        <v>12573520.845000001</v>
      </c>
      <c r="E1486" s="6">
        <v>11605249.752499999</v>
      </c>
      <c r="F1486" s="6">
        <v>11605249.752499999</v>
      </c>
      <c r="G1486" s="7" t="s">
        <v>21</v>
      </c>
      <c r="H1486" s="1">
        <f t="shared" si="23"/>
        <v>1.0009258833662769</v>
      </c>
    </row>
    <row r="1487" spans="1:8" x14ac:dyDescent="0.25">
      <c r="A1487" s="1" t="s">
        <v>12</v>
      </c>
      <c r="B1487" s="1" t="s">
        <v>14</v>
      </c>
      <c r="C1487" s="6">
        <v>0</v>
      </c>
      <c r="D1487" s="6">
        <v>12500</v>
      </c>
      <c r="E1487" s="6">
        <v>0</v>
      </c>
      <c r="F1487" s="6">
        <v>0</v>
      </c>
      <c r="G1487" s="7" t="s">
        <v>21</v>
      </c>
      <c r="H1487" s="1">
        <f t="shared" si="23"/>
        <v>0</v>
      </c>
    </row>
    <row r="1488" spans="1:8" x14ac:dyDescent="0.25">
      <c r="A1488" s="1" t="s">
        <v>12</v>
      </c>
      <c r="B1488" s="1" t="s">
        <v>14</v>
      </c>
      <c r="C1488" s="6">
        <v>25165958</v>
      </c>
      <c r="D1488" s="6">
        <v>25390840.699999999</v>
      </c>
      <c r="E1488" s="6">
        <v>22838110.129999999</v>
      </c>
      <c r="F1488" s="6">
        <v>22838110.129999999</v>
      </c>
      <c r="G1488" s="7" t="s">
        <v>21</v>
      </c>
      <c r="H1488" s="1">
        <f t="shared" si="23"/>
        <v>1.0089359880517961</v>
      </c>
    </row>
    <row r="1489" spans="1:8" x14ac:dyDescent="0.25">
      <c r="A1489" s="1" t="s">
        <v>12</v>
      </c>
      <c r="B1489" s="1" t="s">
        <v>14</v>
      </c>
      <c r="C1489" s="6">
        <v>1613313</v>
      </c>
      <c r="D1489" s="6">
        <v>1279855.4475</v>
      </c>
      <c r="E1489" s="6">
        <v>1116980.2649999999</v>
      </c>
      <c r="F1489" s="6">
        <v>1113637.81</v>
      </c>
      <c r="G1489" s="7" t="s">
        <v>21</v>
      </c>
      <c r="H1489" s="1">
        <f t="shared" si="23"/>
        <v>0.79330882940880043</v>
      </c>
    </row>
    <row r="1490" spans="1:8" x14ac:dyDescent="0.25">
      <c r="A1490" s="1" t="s">
        <v>12</v>
      </c>
      <c r="B1490" s="1" t="s">
        <v>14</v>
      </c>
      <c r="C1490" s="6">
        <v>10338772</v>
      </c>
      <c r="D1490" s="6">
        <v>8912903.3975000009</v>
      </c>
      <c r="E1490" s="6">
        <v>8121453.085</v>
      </c>
      <c r="F1490" s="6">
        <v>8121453.085</v>
      </c>
      <c r="G1490" s="7" t="s">
        <v>21</v>
      </c>
      <c r="H1490" s="1">
        <f t="shared" si="23"/>
        <v>0.86208530350606449</v>
      </c>
    </row>
    <row r="1491" spans="1:8" x14ac:dyDescent="0.25">
      <c r="A1491" s="1" t="s">
        <v>12</v>
      </c>
      <c r="B1491" s="1" t="s">
        <v>14</v>
      </c>
      <c r="C1491" s="6">
        <v>29545128</v>
      </c>
      <c r="D1491" s="6">
        <v>26401758.805</v>
      </c>
      <c r="E1491" s="6">
        <v>26001045.085000001</v>
      </c>
      <c r="F1491" s="6">
        <v>24203934.844999999</v>
      </c>
      <c r="G1491" s="7" t="s">
        <v>21</v>
      </c>
      <c r="H1491" s="1">
        <f t="shared" si="23"/>
        <v>0.89360786675217652</v>
      </c>
    </row>
    <row r="1492" spans="1:8" x14ac:dyDescent="0.25">
      <c r="A1492" s="1" t="s">
        <v>12</v>
      </c>
      <c r="B1492" s="1" t="s">
        <v>14</v>
      </c>
      <c r="C1492" s="6">
        <v>116845610</v>
      </c>
      <c r="D1492" s="6">
        <v>27512346.747499999</v>
      </c>
      <c r="E1492" s="6">
        <v>22070627.147500001</v>
      </c>
      <c r="F1492" s="6">
        <v>20436982.600000001</v>
      </c>
      <c r="G1492" s="7" t="s">
        <v>21</v>
      </c>
      <c r="H1492" s="1">
        <f t="shared" si="23"/>
        <v>0.23545896801343241</v>
      </c>
    </row>
    <row r="1493" spans="1:8" x14ac:dyDescent="0.25">
      <c r="A1493" s="1" t="s">
        <v>12</v>
      </c>
      <c r="B1493" s="1" t="s">
        <v>14</v>
      </c>
      <c r="C1493" s="6">
        <v>5349414</v>
      </c>
      <c r="D1493" s="6">
        <v>50046.375</v>
      </c>
      <c r="E1493" s="6">
        <v>27962.494999999999</v>
      </c>
      <c r="F1493" s="6">
        <v>27962.494999999999</v>
      </c>
      <c r="G1493" s="7" t="s">
        <v>21</v>
      </c>
      <c r="H1493" s="1">
        <f t="shared" si="23"/>
        <v>9.3554873487077268E-3</v>
      </c>
    </row>
    <row r="1494" spans="1:8" x14ac:dyDescent="0.25">
      <c r="A1494" s="1" t="s">
        <v>12</v>
      </c>
      <c r="B1494" s="1" t="s">
        <v>14</v>
      </c>
      <c r="C1494" s="6">
        <v>6995229</v>
      </c>
      <c r="D1494" s="6">
        <v>3688722.335</v>
      </c>
      <c r="E1494" s="6">
        <v>2814810.2450000001</v>
      </c>
      <c r="F1494" s="6">
        <v>2672346.2075</v>
      </c>
      <c r="G1494" s="7" t="s">
        <v>21</v>
      </c>
      <c r="H1494" s="1">
        <f t="shared" si="23"/>
        <v>0.5273197396396887</v>
      </c>
    </row>
    <row r="1495" spans="1:8" x14ac:dyDescent="0.25">
      <c r="A1495" s="1" t="s">
        <v>12</v>
      </c>
      <c r="B1495" s="1" t="s">
        <v>14</v>
      </c>
      <c r="C1495" s="6">
        <v>30064486</v>
      </c>
      <c r="D1495" s="6">
        <v>26960214.127500001</v>
      </c>
      <c r="E1495" s="6">
        <v>25007944.897500001</v>
      </c>
      <c r="F1495" s="6">
        <v>25007944.897500001</v>
      </c>
      <c r="G1495" s="7" t="s">
        <v>21</v>
      </c>
      <c r="H1495" s="1">
        <f t="shared" si="23"/>
        <v>0.89674621836209012</v>
      </c>
    </row>
    <row r="1496" spans="1:8" x14ac:dyDescent="0.25">
      <c r="A1496" s="1" t="s">
        <v>12</v>
      </c>
      <c r="B1496" s="1" t="s">
        <v>14</v>
      </c>
      <c r="C1496" s="6">
        <v>0</v>
      </c>
      <c r="D1496" s="6">
        <v>170272.48499999999</v>
      </c>
      <c r="E1496" s="6">
        <v>170272.48499999999</v>
      </c>
      <c r="F1496" s="6">
        <v>170272.48499999999</v>
      </c>
      <c r="G1496" s="7" t="s">
        <v>21</v>
      </c>
      <c r="H1496" s="1">
        <f t="shared" si="23"/>
        <v>0</v>
      </c>
    </row>
    <row r="1497" spans="1:8" x14ac:dyDescent="0.25">
      <c r="A1497" s="1" t="s">
        <v>12</v>
      </c>
      <c r="B1497" s="1" t="s">
        <v>14</v>
      </c>
      <c r="C1497" s="6">
        <v>820056</v>
      </c>
      <c r="D1497" s="6">
        <v>237228.6925</v>
      </c>
      <c r="E1497" s="6">
        <v>121041.63499999999</v>
      </c>
      <c r="F1497" s="6">
        <v>121041.63499999999</v>
      </c>
      <c r="G1497" s="7" t="s">
        <v>21</v>
      </c>
      <c r="H1497" s="1">
        <f t="shared" si="23"/>
        <v>0.28928352758835985</v>
      </c>
    </row>
    <row r="1498" spans="1:8" x14ac:dyDescent="0.25">
      <c r="A1498" s="1" t="s">
        <v>12</v>
      </c>
      <c r="B1498" s="1" t="s">
        <v>14</v>
      </c>
      <c r="C1498" s="6">
        <v>999699</v>
      </c>
      <c r="D1498" s="6">
        <v>467006.95500000002</v>
      </c>
      <c r="E1498" s="6">
        <v>451839.14500000002</v>
      </c>
      <c r="F1498" s="6">
        <v>451839.14500000002</v>
      </c>
      <c r="G1498" s="7" t="s">
        <v>21</v>
      </c>
      <c r="H1498" s="1">
        <f t="shared" si="23"/>
        <v>0.46714756641749167</v>
      </c>
    </row>
    <row r="1499" spans="1:8" x14ac:dyDescent="0.25">
      <c r="A1499" s="1" t="s">
        <v>12</v>
      </c>
      <c r="B1499" s="1" t="s">
        <v>15</v>
      </c>
      <c r="C1499" s="6">
        <v>0</v>
      </c>
      <c r="D1499" s="6">
        <v>13503089.885</v>
      </c>
      <c r="E1499" s="6">
        <v>11719635.914999999</v>
      </c>
      <c r="F1499" s="6">
        <v>11457983.547499999</v>
      </c>
      <c r="G1499" s="7" t="s">
        <v>21</v>
      </c>
      <c r="H1499" s="1">
        <f t="shared" si="23"/>
        <v>0</v>
      </c>
    </row>
    <row r="1500" spans="1:8" x14ac:dyDescent="0.25">
      <c r="A1500" s="1" t="s">
        <v>12</v>
      </c>
      <c r="B1500" s="1" t="s">
        <v>15</v>
      </c>
      <c r="C1500" s="6">
        <v>78500</v>
      </c>
      <c r="D1500" s="6">
        <v>0</v>
      </c>
      <c r="E1500" s="6">
        <v>0</v>
      </c>
      <c r="F1500" s="6">
        <v>0</v>
      </c>
      <c r="G1500" s="7" t="s">
        <v>21</v>
      </c>
      <c r="H1500" s="1">
        <f t="shared" si="23"/>
        <v>0</v>
      </c>
    </row>
    <row r="1501" spans="1:8" x14ac:dyDescent="0.25">
      <c r="A1501" s="1" t="s">
        <v>12</v>
      </c>
      <c r="B1501" s="1" t="s">
        <v>15</v>
      </c>
      <c r="C1501" s="6">
        <v>25000</v>
      </c>
      <c r="D1501" s="6">
        <v>0</v>
      </c>
      <c r="E1501" s="6">
        <v>0</v>
      </c>
      <c r="F1501" s="6">
        <v>0</v>
      </c>
      <c r="G1501" s="7" t="s">
        <v>21</v>
      </c>
      <c r="H1501" s="1">
        <f t="shared" si="23"/>
        <v>0</v>
      </c>
    </row>
    <row r="1502" spans="1:8" x14ac:dyDescent="0.25">
      <c r="A1502" s="1" t="s">
        <v>12</v>
      </c>
      <c r="B1502" s="1" t="s">
        <v>15</v>
      </c>
      <c r="C1502" s="6">
        <v>12750</v>
      </c>
      <c r="D1502" s="6">
        <v>0</v>
      </c>
      <c r="E1502" s="6">
        <v>0</v>
      </c>
      <c r="F1502" s="6">
        <v>0</v>
      </c>
      <c r="G1502" s="7" t="s">
        <v>21</v>
      </c>
      <c r="H1502" s="1">
        <f t="shared" si="23"/>
        <v>0</v>
      </c>
    </row>
    <row r="1503" spans="1:8" x14ac:dyDescent="0.25">
      <c r="A1503" s="1" t="s">
        <v>12</v>
      </c>
      <c r="B1503" s="1" t="s">
        <v>15</v>
      </c>
      <c r="C1503" s="6">
        <v>15039576</v>
      </c>
      <c r="D1503" s="6">
        <v>2933110.0704999999</v>
      </c>
      <c r="E1503" s="6">
        <v>2203871.0155000002</v>
      </c>
      <c r="F1503" s="6">
        <v>13617</v>
      </c>
      <c r="G1503" s="7" t="s">
        <v>21</v>
      </c>
      <c r="H1503" s="1">
        <f t="shared" si="23"/>
        <v>0.19502611446625889</v>
      </c>
    </row>
    <row r="1504" spans="1:8" x14ac:dyDescent="0.25">
      <c r="A1504" s="1" t="s">
        <v>12</v>
      </c>
      <c r="B1504" s="1" t="s">
        <v>15</v>
      </c>
      <c r="C1504" s="6">
        <v>618000</v>
      </c>
      <c r="D1504" s="6">
        <v>683005.48250000004</v>
      </c>
      <c r="E1504" s="6">
        <v>240898.88</v>
      </c>
      <c r="F1504" s="6">
        <v>240898.88</v>
      </c>
      <c r="G1504" s="7" t="s">
        <v>21</v>
      </c>
      <c r="H1504" s="1">
        <f t="shared" si="23"/>
        <v>1.1051868648867316</v>
      </c>
    </row>
    <row r="1505" spans="1:8" x14ac:dyDescent="0.25">
      <c r="A1505" s="1" t="s">
        <v>12</v>
      </c>
      <c r="B1505" s="1" t="s">
        <v>15</v>
      </c>
      <c r="C1505" s="6">
        <v>543500</v>
      </c>
      <c r="D1505" s="6">
        <v>597880.38249999995</v>
      </c>
      <c r="E1505" s="6">
        <v>332145.23249999998</v>
      </c>
      <c r="F1505" s="6">
        <v>305172.88500000001</v>
      </c>
      <c r="G1505" s="7" t="s">
        <v>21</v>
      </c>
      <c r="H1505" s="1">
        <f t="shared" si="23"/>
        <v>1.1000559015639373</v>
      </c>
    </row>
    <row r="1506" spans="1:8" x14ac:dyDescent="0.25">
      <c r="A1506" s="1" t="s">
        <v>12</v>
      </c>
      <c r="B1506" s="1" t="s">
        <v>15</v>
      </c>
      <c r="C1506" s="6">
        <v>623750</v>
      </c>
      <c r="D1506" s="6">
        <v>323398.27500000002</v>
      </c>
      <c r="E1506" s="6">
        <v>158023.20000000001</v>
      </c>
      <c r="F1506" s="6">
        <v>94512.755000000005</v>
      </c>
      <c r="G1506" s="7" t="s">
        <v>21</v>
      </c>
      <c r="H1506" s="1">
        <f t="shared" si="23"/>
        <v>0.51847418837675352</v>
      </c>
    </row>
    <row r="1507" spans="1:8" x14ac:dyDescent="0.25">
      <c r="A1507" s="1" t="s">
        <v>12</v>
      </c>
      <c r="B1507" s="1" t="s">
        <v>15</v>
      </c>
      <c r="C1507" s="6">
        <v>9000</v>
      </c>
      <c r="D1507" s="6">
        <v>0</v>
      </c>
      <c r="E1507" s="6">
        <v>0</v>
      </c>
      <c r="F1507" s="6">
        <v>0</v>
      </c>
      <c r="G1507" s="7" t="s">
        <v>21</v>
      </c>
      <c r="H1507" s="1">
        <f t="shared" si="23"/>
        <v>0</v>
      </c>
    </row>
    <row r="1508" spans="1:8" x14ac:dyDescent="0.25">
      <c r="A1508" s="1" t="s">
        <v>12</v>
      </c>
      <c r="B1508" s="1" t="s">
        <v>15</v>
      </c>
      <c r="C1508" s="6">
        <v>1500000</v>
      </c>
      <c r="D1508" s="6">
        <v>834586.31499999994</v>
      </c>
      <c r="E1508" s="6">
        <v>742604.84499999997</v>
      </c>
      <c r="F1508" s="6">
        <v>742604.84499999997</v>
      </c>
      <c r="G1508" s="7" t="s">
        <v>21</v>
      </c>
      <c r="H1508" s="1">
        <f t="shared" si="23"/>
        <v>0.55639087666666665</v>
      </c>
    </row>
    <row r="1509" spans="1:8" x14ac:dyDescent="0.25">
      <c r="A1509" s="1" t="s">
        <v>12</v>
      </c>
      <c r="B1509" s="1" t="s">
        <v>15</v>
      </c>
      <c r="C1509" s="6">
        <v>3348155</v>
      </c>
      <c r="D1509" s="6">
        <v>474076.83500000002</v>
      </c>
      <c r="E1509" s="6">
        <v>197220.4025</v>
      </c>
      <c r="F1509" s="6">
        <v>170050.4025</v>
      </c>
      <c r="G1509" s="7" t="s">
        <v>21</v>
      </c>
      <c r="H1509" s="1">
        <f t="shared" si="23"/>
        <v>0.14159345520144678</v>
      </c>
    </row>
    <row r="1510" spans="1:8" x14ac:dyDescent="0.25">
      <c r="A1510" s="1" t="s">
        <v>12</v>
      </c>
      <c r="B1510" s="1" t="s">
        <v>15</v>
      </c>
      <c r="C1510" s="6">
        <v>4998297</v>
      </c>
      <c r="D1510" s="6">
        <v>2876187.3725000001</v>
      </c>
      <c r="E1510" s="6">
        <v>341172.40749999997</v>
      </c>
      <c r="F1510" s="6">
        <v>341172.40749999997</v>
      </c>
      <c r="G1510" s="7" t="s">
        <v>21</v>
      </c>
      <c r="H1510" s="1">
        <f t="shared" si="23"/>
        <v>0.57543346713890753</v>
      </c>
    </row>
    <row r="1511" spans="1:8" x14ac:dyDescent="0.25">
      <c r="A1511" s="1" t="s">
        <v>12</v>
      </c>
      <c r="B1511" s="1" t="s">
        <v>15</v>
      </c>
      <c r="C1511" s="6">
        <v>788500</v>
      </c>
      <c r="D1511" s="6">
        <v>723141.02500000002</v>
      </c>
      <c r="E1511" s="6">
        <v>566085.88</v>
      </c>
      <c r="F1511" s="6">
        <v>566085.88</v>
      </c>
      <c r="G1511" s="7" t="s">
        <v>21</v>
      </c>
      <c r="H1511" s="1">
        <f t="shared" si="23"/>
        <v>0.91710973367152826</v>
      </c>
    </row>
    <row r="1512" spans="1:8" x14ac:dyDescent="0.25">
      <c r="A1512" s="1" t="s">
        <v>12</v>
      </c>
      <c r="B1512" s="1" t="s">
        <v>15</v>
      </c>
      <c r="C1512" s="6">
        <v>296375</v>
      </c>
      <c r="D1512" s="6">
        <v>0</v>
      </c>
      <c r="E1512" s="6">
        <v>0</v>
      </c>
      <c r="F1512" s="6">
        <v>0</v>
      </c>
      <c r="G1512" s="7" t="s">
        <v>21</v>
      </c>
      <c r="H1512" s="1">
        <f t="shared" si="23"/>
        <v>0</v>
      </c>
    </row>
    <row r="1513" spans="1:8" x14ac:dyDescent="0.25">
      <c r="A1513" s="1" t="s">
        <v>12</v>
      </c>
      <c r="B1513" s="1" t="s">
        <v>15</v>
      </c>
      <c r="C1513" s="6">
        <v>2000</v>
      </c>
      <c r="D1513" s="6">
        <v>2375.9250000000002</v>
      </c>
      <c r="E1513" s="6">
        <v>2375.9250000000002</v>
      </c>
      <c r="F1513" s="6">
        <v>2375.9250000000002</v>
      </c>
      <c r="G1513" s="7" t="s">
        <v>21</v>
      </c>
      <c r="H1513" s="1">
        <f t="shared" si="23"/>
        <v>1.1879625</v>
      </c>
    </row>
    <row r="1514" spans="1:8" x14ac:dyDescent="0.25">
      <c r="A1514" s="1" t="s">
        <v>12</v>
      </c>
      <c r="B1514" s="1" t="s">
        <v>15</v>
      </c>
      <c r="C1514" s="6">
        <v>2000</v>
      </c>
      <c r="D1514" s="6">
        <v>0</v>
      </c>
      <c r="E1514" s="6">
        <v>0</v>
      </c>
      <c r="F1514" s="6">
        <v>0</v>
      </c>
      <c r="G1514" s="7" t="s">
        <v>21</v>
      </c>
      <c r="H1514" s="1">
        <f t="shared" si="23"/>
        <v>0</v>
      </c>
    </row>
    <row r="1515" spans="1:8" x14ac:dyDescent="0.25">
      <c r="A1515" s="1" t="s">
        <v>12</v>
      </c>
      <c r="B1515" s="1" t="s">
        <v>15</v>
      </c>
      <c r="C1515" s="6">
        <v>2500</v>
      </c>
      <c r="D1515" s="6">
        <v>4246.4399999999996</v>
      </c>
      <c r="E1515" s="6">
        <v>2124.44</v>
      </c>
      <c r="F1515" s="6">
        <v>2124.44</v>
      </c>
      <c r="G1515" s="7" t="s">
        <v>21</v>
      </c>
      <c r="H1515" s="1">
        <f t="shared" si="23"/>
        <v>1.6985759999999999</v>
      </c>
    </row>
    <row r="1516" spans="1:8" x14ac:dyDescent="0.25">
      <c r="A1516" s="1" t="s">
        <v>12</v>
      </c>
      <c r="B1516" s="1" t="s">
        <v>15</v>
      </c>
      <c r="C1516" s="6">
        <v>5138000</v>
      </c>
      <c r="D1516" s="6">
        <v>715193.02749999997</v>
      </c>
      <c r="E1516" s="6">
        <v>554421.11</v>
      </c>
      <c r="F1516" s="6">
        <v>554421.11</v>
      </c>
      <c r="G1516" s="7" t="s">
        <v>21</v>
      </c>
      <c r="H1516" s="1">
        <f t="shared" si="23"/>
        <v>0.13919677452316076</v>
      </c>
    </row>
    <row r="1517" spans="1:8" x14ac:dyDescent="0.25">
      <c r="A1517" s="1" t="s">
        <v>12</v>
      </c>
      <c r="B1517" s="1" t="s">
        <v>15</v>
      </c>
      <c r="C1517" s="6">
        <v>10160809</v>
      </c>
      <c r="D1517" s="6">
        <v>1385863.4450000001</v>
      </c>
      <c r="E1517" s="6">
        <v>1342074.1975</v>
      </c>
      <c r="F1517" s="6">
        <v>1342074.1975</v>
      </c>
      <c r="G1517" s="7" t="s">
        <v>21</v>
      </c>
      <c r="H1517" s="1">
        <f t="shared" si="23"/>
        <v>0.13639302195327163</v>
      </c>
    </row>
    <row r="1518" spans="1:8" x14ac:dyDescent="0.25">
      <c r="A1518" s="1" t="s">
        <v>12</v>
      </c>
      <c r="B1518" s="1" t="s">
        <v>15</v>
      </c>
      <c r="C1518" s="6">
        <v>125000</v>
      </c>
      <c r="D1518" s="6">
        <v>0</v>
      </c>
      <c r="E1518" s="6">
        <v>0</v>
      </c>
      <c r="F1518" s="6">
        <v>0</v>
      </c>
      <c r="G1518" s="7" t="s">
        <v>21</v>
      </c>
      <c r="H1518" s="1">
        <f t="shared" si="23"/>
        <v>0</v>
      </c>
    </row>
    <row r="1519" spans="1:8" x14ac:dyDescent="0.25">
      <c r="A1519" s="1" t="s">
        <v>12</v>
      </c>
      <c r="B1519" s="1" t="s">
        <v>15</v>
      </c>
      <c r="C1519" s="6">
        <v>2091883</v>
      </c>
      <c r="D1519" s="6">
        <v>4265265.2324999999</v>
      </c>
      <c r="E1519" s="6">
        <v>4038711.8325</v>
      </c>
      <c r="F1519" s="6">
        <v>4038711.8325</v>
      </c>
      <c r="G1519" s="7" t="s">
        <v>21</v>
      </c>
      <c r="H1519" s="1">
        <f t="shared" si="23"/>
        <v>2.0389597470317411</v>
      </c>
    </row>
    <row r="1520" spans="1:8" x14ac:dyDescent="0.25">
      <c r="A1520" s="1" t="s">
        <v>12</v>
      </c>
      <c r="B1520" s="1" t="s">
        <v>15</v>
      </c>
      <c r="C1520" s="6">
        <v>874999</v>
      </c>
      <c r="D1520" s="6">
        <v>270168.32500000001</v>
      </c>
      <c r="E1520" s="6">
        <v>179838.9075</v>
      </c>
      <c r="F1520" s="6">
        <v>179838.9075</v>
      </c>
      <c r="G1520" s="7" t="s">
        <v>21</v>
      </c>
      <c r="H1520" s="1">
        <f t="shared" si="23"/>
        <v>0.3087641528733176</v>
      </c>
    </row>
    <row r="1521" spans="1:8" x14ac:dyDescent="0.25">
      <c r="A1521" s="1" t="s">
        <v>12</v>
      </c>
      <c r="B1521" s="1" t="s">
        <v>15</v>
      </c>
      <c r="C1521" s="6">
        <v>30556500</v>
      </c>
      <c r="D1521" s="6">
        <v>27805188.817499999</v>
      </c>
      <c r="E1521" s="6">
        <v>27695854.760000002</v>
      </c>
      <c r="F1521" s="6">
        <v>24699160.739999998</v>
      </c>
      <c r="G1521" s="7" t="s">
        <v>21</v>
      </c>
      <c r="H1521" s="1">
        <f t="shared" si="23"/>
        <v>0.90995987163124048</v>
      </c>
    </row>
    <row r="1522" spans="1:8" x14ac:dyDescent="0.25">
      <c r="A1522" s="1" t="s">
        <v>12</v>
      </c>
      <c r="B1522" s="1" t="s">
        <v>15</v>
      </c>
      <c r="C1522" s="6">
        <v>3123810</v>
      </c>
      <c r="D1522" s="6">
        <v>61253.5625</v>
      </c>
      <c r="E1522" s="6">
        <v>7048.4125000000004</v>
      </c>
      <c r="F1522" s="6">
        <v>7048.4125000000004</v>
      </c>
      <c r="G1522" s="7" t="s">
        <v>21</v>
      </c>
      <c r="H1522" s="1">
        <f t="shared" si="23"/>
        <v>1.9608606957529428E-2</v>
      </c>
    </row>
    <row r="1523" spans="1:8" x14ac:dyDescent="0.25">
      <c r="A1523" s="1" t="s">
        <v>12</v>
      </c>
      <c r="B1523" s="1" t="s">
        <v>15</v>
      </c>
      <c r="C1523" s="6">
        <v>8750</v>
      </c>
      <c r="D1523" s="6">
        <v>1335.8975</v>
      </c>
      <c r="E1523" s="6">
        <v>1335.8975</v>
      </c>
      <c r="F1523" s="6">
        <v>1335.8975</v>
      </c>
      <c r="G1523" s="7" t="s">
        <v>21</v>
      </c>
      <c r="H1523" s="1">
        <f t="shared" si="23"/>
        <v>0.152674</v>
      </c>
    </row>
    <row r="1524" spans="1:8" x14ac:dyDescent="0.25">
      <c r="A1524" s="1" t="s">
        <v>12</v>
      </c>
      <c r="B1524" s="1" t="s">
        <v>15</v>
      </c>
      <c r="C1524" s="6">
        <v>90322</v>
      </c>
      <c r="D1524" s="6">
        <v>247947.1825</v>
      </c>
      <c r="E1524" s="6">
        <v>189768.29749999999</v>
      </c>
      <c r="F1524" s="6">
        <v>173148.51749999999</v>
      </c>
      <c r="G1524" s="7" t="s">
        <v>21</v>
      </c>
      <c r="H1524" s="1">
        <f t="shared" si="23"/>
        <v>2.7451471679103649</v>
      </c>
    </row>
    <row r="1525" spans="1:8" x14ac:dyDescent="0.25">
      <c r="A1525" s="1" t="s">
        <v>12</v>
      </c>
      <c r="B1525" s="1" t="s">
        <v>15</v>
      </c>
      <c r="C1525" s="6">
        <v>12500</v>
      </c>
      <c r="D1525" s="6">
        <v>0</v>
      </c>
      <c r="E1525" s="6">
        <v>0</v>
      </c>
      <c r="F1525" s="6">
        <v>0</v>
      </c>
      <c r="G1525" s="7" t="s">
        <v>21</v>
      </c>
      <c r="H1525" s="1">
        <f t="shared" si="23"/>
        <v>0</v>
      </c>
    </row>
    <row r="1526" spans="1:8" x14ac:dyDescent="0.25">
      <c r="A1526" s="1" t="s">
        <v>12</v>
      </c>
      <c r="B1526" s="1" t="s">
        <v>15</v>
      </c>
      <c r="C1526" s="6">
        <v>56356694</v>
      </c>
      <c r="D1526" s="6">
        <v>38428018.734999999</v>
      </c>
      <c r="E1526" s="6">
        <v>31553155.387499999</v>
      </c>
      <c r="F1526" s="6">
        <v>28912932.574999999</v>
      </c>
      <c r="G1526" s="7" t="s">
        <v>21</v>
      </c>
      <c r="H1526" s="1">
        <f t="shared" si="23"/>
        <v>0.68187141593153067</v>
      </c>
    </row>
    <row r="1527" spans="1:8" x14ac:dyDescent="0.25">
      <c r="A1527" s="1" t="s">
        <v>12</v>
      </c>
      <c r="B1527" s="1" t="s">
        <v>15</v>
      </c>
      <c r="C1527" s="6">
        <v>180026949</v>
      </c>
      <c r="D1527" s="6">
        <v>168638285.80250001</v>
      </c>
      <c r="E1527" s="6">
        <v>168443606.58500001</v>
      </c>
      <c r="F1527" s="6">
        <v>156129928.46000001</v>
      </c>
      <c r="G1527" s="7" t="s">
        <v>21</v>
      </c>
      <c r="H1527" s="1">
        <f t="shared" si="23"/>
        <v>0.93673912011084526</v>
      </c>
    </row>
    <row r="1528" spans="1:8" x14ac:dyDescent="0.25">
      <c r="A1528" s="1" t="s">
        <v>12</v>
      </c>
      <c r="B1528" s="1" t="s">
        <v>15</v>
      </c>
      <c r="C1528" s="6">
        <v>7788999</v>
      </c>
      <c r="D1528" s="6">
        <v>769563.10750000004</v>
      </c>
      <c r="E1528" s="6">
        <v>626007.4375</v>
      </c>
      <c r="F1528" s="6">
        <v>587653.02</v>
      </c>
      <c r="G1528" s="7" t="s">
        <v>21</v>
      </c>
      <c r="H1528" s="1">
        <f t="shared" si="23"/>
        <v>9.8801284670854375E-2</v>
      </c>
    </row>
    <row r="1529" spans="1:8" x14ac:dyDescent="0.25">
      <c r="A1529" s="1" t="s">
        <v>12</v>
      </c>
      <c r="B1529" s="1" t="s">
        <v>15</v>
      </c>
      <c r="C1529" s="6">
        <v>11492525</v>
      </c>
      <c r="D1529" s="6">
        <v>12309977.18</v>
      </c>
      <c r="E1529" s="6">
        <v>10245751.51</v>
      </c>
      <c r="F1529" s="6">
        <v>9938483.9149999991</v>
      </c>
      <c r="G1529" s="7" t="s">
        <v>21</v>
      </c>
      <c r="H1529" s="1">
        <f t="shared" si="23"/>
        <v>1.0711290321317553</v>
      </c>
    </row>
    <row r="1530" spans="1:8" x14ac:dyDescent="0.25">
      <c r="A1530" s="1" t="s">
        <v>12</v>
      </c>
      <c r="B1530" s="1" t="s">
        <v>15</v>
      </c>
      <c r="C1530" s="6">
        <v>53113855</v>
      </c>
      <c r="D1530" s="6">
        <v>57469249.965000004</v>
      </c>
      <c r="E1530" s="6">
        <v>52056533.18</v>
      </c>
      <c r="F1530" s="6">
        <v>50740754.462499999</v>
      </c>
      <c r="G1530" s="7" t="s">
        <v>21</v>
      </c>
      <c r="H1530" s="1">
        <f t="shared" si="23"/>
        <v>1.0820011080912881</v>
      </c>
    </row>
    <row r="1531" spans="1:8" x14ac:dyDescent="0.25">
      <c r="A1531" s="1" t="s">
        <v>12</v>
      </c>
      <c r="B1531" s="1" t="s">
        <v>15</v>
      </c>
      <c r="C1531" s="6">
        <v>1751565</v>
      </c>
      <c r="D1531" s="6">
        <v>1293941.925</v>
      </c>
      <c r="E1531" s="6">
        <v>1007967.94</v>
      </c>
      <c r="F1531" s="6">
        <v>948613.09</v>
      </c>
      <c r="G1531" s="7" t="s">
        <v>21</v>
      </c>
      <c r="H1531" s="1">
        <f t="shared" si="23"/>
        <v>0.73873474578448417</v>
      </c>
    </row>
    <row r="1532" spans="1:8" x14ac:dyDescent="0.25">
      <c r="A1532" s="1" t="s">
        <v>12</v>
      </c>
      <c r="B1532" s="1" t="s">
        <v>15</v>
      </c>
      <c r="C1532" s="6">
        <v>323663</v>
      </c>
      <c r="D1532" s="6">
        <v>256816.91750000001</v>
      </c>
      <c r="E1532" s="6">
        <v>241670.58249999999</v>
      </c>
      <c r="F1532" s="6">
        <v>230185.36749999999</v>
      </c>
      <c r="G1532" s="7" t="s">
        <v>21</v>
      </c>
      <c r="H1532" s="1">
        <f t="shared" si="23"/>
        <v>0.79347011397657441</v>
      </c>
    </row>
    <row r="1533" spans="1:8" x14ac:dyDescent="0.25">
      <c r="A1533" s="1" t="s">
        <v>12</v>
      </c>
      <c r="B1533" s="1" t="s">
        <v>15</v>
      </c>
      <c r="C1533" s="6">
        <v>1024880</v>
      </c>
      <c r="D1533" s="6">
        <v>946955.1</v>
      </c>
      <c r="E1533" s="6">
        <v>790315.71499999997</v>
      </c>
      <c r="F1533" s="6">
        <v>745465.07499999995</v>
      </c>
      <c r="G1533" s="7" t="s">
        <v>21</v>
      </c>
      <c r="H1533" s="1">
        <f t="shared" si="23"/>
        <v>0.9239668058699555</v>
      </c>
    </row>
    <row r="1534" spans="1:8" x14ac:dyDescent="0.25">
      <c r="A1534" s="1" t="s">
        <v>12</v>
      </c>
      <c r="B1534" s="1" t="s">
        <v>15</v>
      </c>
      <c r="C1534" s="6">
        <v>10884972</v>
      </c>
      <c r="D1534" s="6">
        <v>5436417.0374999996</v>
      </c>
      <c r="E1534" s="6">
        <v>4579664.6224999996</v>
      </c>
      <c r="F1534" s="6">
        <v>4415125.0975000001</v>
      </c>
      <c r="G1534" s="7" t="s">
        <v>21</v>
      </c>
      <c r="H1534" s="1">
        <f t="shared" si="23"/>
        <v>0.49944244574078828</v>
      </c>
    </row>
    <row r="1535" spans="1:8" x14ac:dyDescent="0.25">
      <c r="A1535" s="1" t="s">
        <v>12</v>
      </c>
      <c r="B1535" s="1" t="s">
        <v>15</v>
      </c>
      <c r="C1535" s="6">
        <v>2525000</v>
      </c>
      <c r="D1535" s="6">
        <v>1894070.2175</v>
      </c>
      <c r="E1535" s="6">
        <v>1481338.92</v>
      </c>
      <c r="F1535" s="6">
        <v>1449555.7275</v>
      </c>
      <c r="G1535" s="7" t="s">
        <v>21</v>
      </c>
      <c r="H1535" s="1">
        <f t="shared" si="23"/>
        <v>0.75012681881188115</v>
      </c>
    </row>
    <row r="1536" spans="1:8" x14ac:dyDescent="0.25">
      <c r="A1536" s="1" t="s">
        <v>12</v>
      </c>
      <c r="B1536" s="1" t="s">
        <v>15</v>
      </c>
      <c r="C1536" s="6">
        <v>2744614</v>
      </c>
      <c r="D1536" s="6">
        <v>1816920.8</v>
      </c>
      <c r="E1536" s="6">
        <v>1396149.0625</v>
      </c>
      <c r="F1536" s="6">
        <v>1332432.19</v>
      </c>
      <c r="G1536" s="7" t="s">
        <v>21</v>
      </c>
      <c r="H1536" s="1">
        <f t="shared" si="23"/>
        <v>0.6619950200647523</v>
      </c>
    </row>
    <row r="1537" spans="1:8" x14ac:dyDescent="0.25">
      <c r="A1537" s="1" t="s">
        <v>12</v>
      </c>
      <c r="B1537" s="1" t="s">
        <v>15</v>
      </c>
      <c r="C1537" s="6">
        <v>28750</v>
      </c>
      <c r="D1537" s="6">
        <v>0</v>
      </c>
      <c r="E1537" s="6">
        <v>0</v>
      </c>
      <c r="F1537" s="6">
        <v>0</v>
      </c>
      <c r="G1537" s="7" t="s">
        <v>21</v>
      </c>
      <c r="H1537" s="1">
        <f t="shared" si="23"/>
        <v>0</v>
      </c>
    </row>
    <row r="1538" spans="1:8" x14ac:dyDescent="0.25">
      <c r="A1538" s="1" t="s">
        <v>12</v>
      </c>
      <c r="B1538" s="1" t="s">
        <v>15</v>
      </c>
      <c r="C1538" s="6">
        <v>50000</v>
      </c>
      <c r="D1538" s="6">
        <v>0</v>
      </c>
      <c r="E1538" s="6">
        <v>0</v>
      </c>
      <c r="F1538" s="6">
        <v>0</v>
      </c>
      <c r="G1538" s="7" t="s">
        <v>21</v>
      </c>
      <c r="H1538" s="1">
        <f t="shared" ref="H1538:H1601" si="24">IF(OR(ISNA($D1538),ISNA($C1538),$C1538=0),0,$D1538/$C1538)</f>
        <v>0</v>
      </c>
    </row>
    <row r="1539" spans="1:8" x14ac:dyDescent="0.25">
      <c r="A1539" s="1" t="s">
        <v>12</v>
      </c>
      <c r="B1539" s="1" t="s">
        <v>15</v>
      </c>
      <c r="C1539" s="6">
        <v>4059402</v>
      </c>
      <c r="D1539" s="6">
        <v>2354476.71</v>
      </c>
      <c r="E1539" s="6">
        <v>2140366.2999999998</v>
      </c>
      <c r="F1539" s="6">
        <v>2033231.51</v>
      </c>
      <c r="G1539" s="7" t="s">
        <v>21</v>
      </c>
      <c r="H1539" s="1">
        <f t="shared" si="24"/>
        <v>0.58000580134709501</v>
      </c>
    </row>
    <row r="1540" spans="1:8" x14ac:dyDescent="0.25">
      <c r="A1540" s="1" t="s">
        <v>12</v>
      </c>
      <c r="B1540" s="1" t="s">
        <v>15</v>
      </c>
      <c r="C1540" s="6">
        <v>98850000</v>
      </c>
      <c r="D1540" s="6">
        <v>91183092.482500002</v>
      </c>
      <c r="E1540" s="6">
        <v>78769527.232500002</v>
      </c>
      <c r="F1540" s="6">
        <v>76532797.372500002</v>
      </c>
      <c r="G1540" s="7" t="s">
        <v>21</v>
      </c>
      <c r="H1540" s="1">
        <f t="shared" si="24"/>
        <v>0.92243897301466871</v>
      </c>
    </row>
    <row r="1541" spans="1:8" x14ac:dyDescent="0.25">
      <c r="A1541" s="1" t="s">
        <v>12</v>
      </c>
      <c r="B1541" s="1" t="s">
        <v>15</v>
      </c>
      <c r="C1541" s="6">
        <v>127500</v>
      </c>
      <c r="D1541" s="6">
        <v>0</v>
      </c>
      <c r="E1541" s="6">
        <v>0</v>
      </c>
      <c r="F1541" s="6">
        <v>0</v>
      </c>
      <c r="G1541" s="7" t="s">
        <v>21</v>
      </c>
      <c r="H1541" s="1">
        <f t="shared" si="24"/>
        <v>0</v>
      </c>
    </row>
    <row r="1542" spans="1:8" x14ac:dyDescent="0.25">
      <c r="A1542" s="1" t="s">
        <v>12</v>
      </c>
      <c r="B1542" s="1" t="s">
        <v>15</v>
      </c>
      <c r="C1542" s="6">
        <v>6200405</v>
      </c>
      <c r="D1542" s="6">
        <v>5666371.2000000002</v>
      </c>
      <c r="E1542" s="6">
        <v>4717934.3925000001</v>
      </c>
      <c r="F1542" s="6">
        <v>3519836.9325000001</v>
      </c>
      <c r="G1542" s="7" t="s">
        <v>21</v>
      </c>
      <c r="H1542" s="1">
        <f t="shared" si="24"/>
        <v>0.91387114228828603</v>
      </c>
    </row>
    <row r="1543" spans="1:8" x14ac:dyDescent="0.25">
      <c r="A1543" s="1" t="s">
        <v>12</v>
      </c>
      <c r="B1543" s="1" t="s">
        <v>15</v>
      </c>
      <c r="C1543" s="6">
        <v>29746893</v>
      </c>
      <c r="D1543" s="6">
        <v>20921224.210000001</v>
      </c>
      <c r="E1543" s="6">
        <v>16865622.125</v>
      </c>
      <c r="F1543" s="6">
        <v>15399407.84</v>
      </c>
      <c r="G1543" s="7" t="s">
        <v>21</v>
      </c>
      <c r="H1543" s="1">
        <f t="shared" si="24"/>
        <v>0.70330787857407495</v>
      </c>
    </row>
    <row r="1544" spans="1:8" x14ac:dyDescent="0.25">
      <c r="A1544" s="1" t="s">
        <v>12</v>
      </c>
      <c r="B1544" s="1" t="s">
        <v>15</v>
      </c>
      <c r="C1544" s="6">
        <v>3207760</v>
      </c>
      <c r="D1544" s="6">
        <v>2921972.9824999999</v>
      </c>
      <c r="E1544" s="6">
        <v>2496263.2225000001</v>
      </c>
      <c r="F1544" s="6">
        <v>2496263.2225000001</v>
      </c>
      <c r="G1544" s="7" t="s">
        <v>21</v>
      </c>
      <c r="H1544" s="1">
        <f t="shared" si="24"/>
        <v>0.91090760608649024</v>
      </c>
    </row>
    <row r="1545" spans="1:8" x14ac:dyDescent="0.25">
      <c r="A1545" s="1" t="s">
        <v>12</v>
      </c>
      <c r="B1545" s="1" t="s">
        <v>15</v>
      </c>
      <c r="C1545" s="6">
        <v>852500</v>
      </c>
      <c r="D1545" s="6">
        <v>58800</v>
      </c>
      <c r="E1545" s="6">
        <v>58800</v>
      </c>
      <c r="F1545" s="6">
        <v>58800</v>
      </c>
      <c r="G1545" s="7" t="s">
        <v>21</v>
      </c>
      <c r="H1545" s="1">
        <f t="shared" si="24"/>
        <v>6.8973607038123164E-2</v>
      </c>
    </row>
    <row r="1546" spans="1:8" x14ac:dyDescent="0.25">
      <c r="A1546" s="1" t="s">
        <v>12</v>
      </c>
      <c r="B1546" s="1" t="s">
        <v>15</v>
      </c>
      <c r="C1546" s="6">
        <v>4790075</v>
      </c>
      <c r="D1546" s="6">
        <v>3804279.3174999999</v>
      </c>
      <c r="E1546" s="6">
        <v>3164953.0449999999</v>
      </c>
      <c r="F1546" s="6">
        <v>3164953.0449999999</v>
      </c>
      <c r="G1546" s="7" t="s">
        <v>21</v>
      </c>
      <c r="H1546" s="1">
        <f t="shared" si="24"/>
        <v>0.79420036586065978</v>
      </c>
    </row>
    <row r="1547" spans="1:8" x14ac:dyDescent="0.25">
      <c r="A1547" s="1" t="s">
        <v>12</v>
      </c>
      <c r="B1547" s="1" t="s">
        <v>15</v>
      </c>
      <c r="C1547" s="6">
        <v>275331843</v>
      </c>
      <c r="D1547" s="6">
        <v>258034857.56999999</v>
      </c>
      <c r="E1547" s="6">
        <v>218833717.93000001</v>
      </c>
      <c r="F1547" s="6">
        <v>217039145.23500001</v>
      </c>
      <c r="G1547" s="7" t="s">
        <v>21</v>
      </c>
      <c r="H1547" s="1">
        <f t="shared" si="24"/>
        <v>0.93717767897264248</v>
      </c>
    </row>
    <row r="1548" spans="1:8" x14ac:dyDescent="0.25">
      <c r="A1548" s="1" t="s">
        <v>12</v>
      </c>
      <c r="B1548" s="1" t="s">
        <v>15</v>
      </c>
      <c r="C1548" s="6">
        <v>8050500</v>
      </c>
      <c r="D1548" s="6">
        <v>5429207.6524999999</v>
      </c>
      <c r="E1548" s="6">
        <v>2952510.2825000002</v>
      </c>
      <c r="F1548" s="6">
        <v>2937920.3450000002</v>
      </c>
      <c r="G1548" s="7" t="s">
        <v>21</v>
      </c>
      <c r="H1548" s="1">
        <f t="shared" si="24"/>
        <v>0.67439384541332836</v>
      </c>
    </row>
    <row r="1549" spans="1:8" x14ac:dyDescent="0.25">
      <c r="A1549" s="1" t="s">
        <v>12</v>
      </c>
      <c r="B1549" s="1" t="s">
        <v>15</v>
      </c>
      <c r="C1549" s="6">
        <v>79888120</v>
      </c>
      <c r="D1549" s="6">
        <v>76425723.382499993</v>
      </c>
      <c r="E1549" s="6">
        <v>68505083.877499998</v>
      </c>
      <c r="F1549" s="6">
        <v>68505083.877499998</v>
      </c>
      <c r="G1549" s="7" t="s">
        <v>21</v>
      </c>
      <c r="H1549" s="1">
        <f t="shared" si="24"/>
        <v>0.95665943049479685</v>
      </c>
    </row>
    <row r="1550" spans="1:8" x14ac:dyDescent="0.25">
      <c r="A1550" s="1" t="s">
        <v>12</v>
      </c>
      <c r="B1550" s="1" t="s">
        <v>15</v>
      </c>
      <c r="C1550" s="6">
        <v>28340000</v>
      </c>
      <c r="D1550" s="6">
        <v>26359553.809999999</v>
      </c>
      <c r="E1550" s="6">
        <v>24119177.8125</v>
      </c>
      <c r="F1550" s="6">
        <v>24119177.8125</v>
      </c>
      <c r="G1550" s="7" t="s">
        <v>21</v>
      </c>
      <c r="H1550" s="1">
        <f t="shared" si="24"/>
        <v>0.93011834191954834</v>
      </c>
    </row>
    <row r="1551" spans="1:8" x14ac:dyDescent="0.25">
      <c r="A1551" s="1" t="s">
        <v>12</v>
      </c>
      <c r="B1551" s="1" t="s">
        <v>15</v>
      </c>
      <c r="C1551" s="6">
        <v>7735684</v>
      </c>
      <c r="D1551" s="6">
        <v>4735478.3574999999</v>
      </c>
      <c r="E1551" s="6">
        <v>4239629.2525000004</v>
      </c>
      <c r="F1551" s="6">
        <v>4186698.8275000001</v>
      </c>
      <c r="G1551" s="7" t="s">
        <v>21</v>
      </c>
      <c r="H1551" s="1">
        <f t="shared" si="24"/>
        <v>0.61216026372070009</v>
      </c>
    </row>
    <row r="1552" spans="1:8" x14ac:dyDescent="0.25">
      <c r="A1552" s="1" t="s">
        <v>12</v>
      </c>
      <c r="B1552" s="1" t="s">
        <v>15</v>
      </c>
      <c r="C1552" s="6">
        <v>158476</v>
      </c>
      <c r="D1552" s="6">
        <v>55980.894999999997</v>
      </c>
      <c r="E1552" s="6">
        <v>37962.665000000001</v>
      </c>
      <c r="F1552" s="6">
        <v>30453.58</v>
      </c>
      <c r="G1552" s="7" t="s">
        <v>21</v>
      </c>
      <c r="H1552" s="1">
        <f t="shared" si="24"/>
        <v>0.35324525480198893</v>
      </c>
    </row>
    <row r="1553" spans="1:8" x14ac:dyDescent="0.25">
      <c r="A1553" s="1" t="s">
        <v>12</v>
      </c>
      <c r="B1553" s="1" t="s">
        <v>15</v>
      </c>
      <c r="C1553" s="6">
        <v>983180</v>
      </c>
      <c r="D1553" s="6">
        <v>552123.20499999996</v>
      </c>
      <c r="E1553" s="6">
        <v>458233.20500000002</v>
      </c>
      <c r="F1553" s="6">
        <v>396335.14250000002</v>
      </c>
      <c r="G1553" s="7" t="s">
        <v>21</v>
      </c>
      <c r="H1553" s="1">
        <f t="shared" si="24"/>
        <v>0.56156879208283317</v>
      </c>
    </row>
    <row r="1554" spans="1:8" x14ac:dyDescent="0.25">
      <c r="A1554" s="1" t="s">
        <v>12</v>
      </c>
      <c r="B1554" s="1" t="s">
        <v>15</v>
      </c>
      <c r="C1554" s="6">
        <v>5367776</v>
      </c>
      <c r="D1554" s="6">
        <v>4025077.4725000001</v>
      </c>
      <c r="E1554" s="6">
        <v>3270272.15</v>
      </c>
      <c r="F1554" s="6">
        <v>3083947.4925000002</v>
      </c>
      <c r="G1554" s="7" t="s">
        <v>21</v>
      </c>
      <c r="H1554" s="1">
        <f t="shared" si="24"/>
        <v>0.74985943386981879</v>
      </c>
    </row>
    <row r="1555" spans="1:8" x14ac:dyDescent="0.25">
      <c r="A1555" s="1" t="s">
        <v>12</v>
      </c>
      <c r="B1555" s="1" t="s">
        <v>15</v>
      </c>
      <c r="C1555" s="6">
        <v>27011773</v>
      </c>
      <c r="D1555" s="6">
        <v>25106293.489999998</v>
      </c>
      <c r="E1555" s="6">
        <v>24955279.827500001</v>
      </c>
      <c r="F1555" s="6">
        <v>23212892.050000001</v>
      </c>
      <c r="G1555" s="7" t="s">
        <v>21</v>
      </c>
      <c r="H1555" s="1">
        <f t="shared" si="24"/>
        <v>0.92945744398192587</v>
      </c>
    </row>
    <row r="1556" spans="1:8" x14ac:dyDescent="0.25">
      <c r="A1556" s="1" t="s">
        <v>12</v>
      </c>
      <c r="B1556" s="1" t="s">
        <v>15</v>
      </c>
      <c r="C1556" s="6">
        <v>3038763</v>
      </c>
      <c r="D1556" s="6">
        <v>1761438.8925000001</v>
      </c>
      <c r="E1556" s="6">
        <v>1583137.075</v>
      </c>
      <c r="F1556" s="6">
        <v>1525708.9650000001</v>
      </c>
      <c r="G1556" s="7" t="s">
        <v>21</v>
      </c>
      <c r="H1556" s="1">
        <f t="shared" si="24"/>
        <v>0.57965655515089531</v>
      </c>
    </row>
    <row r="1557" spans="1:8" x14ac:dyDescent="0.25">
      <c r="A1557" s="1" t="s">
        <v>12</v>
      </c>
      <c r="B1557" s="1" t="s">
        <v>15</v>
      </c>
      <c r="C1557" s="6">
        <v>1040611</v>
      </c>
      <c r="D1557" s="6">
        <v>532078.625</v>
      </c>
      <c r="E1557" s="6">
        <v>489705.09749999997</v>
      </c>
      <c r="F1557" s="6">
        <v>449393.04</v>
      </c>
      <c r="G1557" s="7" t="s">
        <v>21</v>
      </c>
      <c r="H1557" s="1">
        <f t="shared" si="24"/>
        <v>0.5113136657213887</v>
      </c>
    </row>
    <row r="1558" spans="1:8" x14ac:dyDescent="0.25">
      <c r="A1558" s="1" t="s">
        <v>7</v>
      </c>
      <c r="B1558" s="1" t="s">
        <v>8</v>
      </c>
      <c r="C1558" s="6">
        <v>2000000</v>
      </c>
      <c r="D1558" s="6">
        <v>1242979.1499999999</v>
      </c>
      <c r="E1558" s="6">
        <v>393648.3</v>
      </c>
      <c r="F1558" s="6">
        <v>393648.3</v>
      </c>
      <c r="G1558" s="7" t="s">
        <v>22</v>
      </c>
      <c r="H1558" s="1">
        <f t="shared" si="24"/>
        <v>0.62148957499999991</v>
      </c>
    </row>
    <row r="1559" spans="1:8" x14ac:dyDescent="0.25">
      <c r="A1559" s="1" t="s">
        <v>7</v>
      </c>
      <c r="B1559" s="1" t="s">
        <v>8</v>
      </c>
      <c r="C1559" s="6">
        <v>2500</v>
      </c>
      <c r="D1559" s="6">
        <v>0</v>
      </c>
      <c r="E1559" s="6">
        <v>0</v>
      </c>
      <c r="F1559" s="6">
        <v>0</v>
      </c>
      <c r="G1559" s="7" t="s">
        <v>22</v>
      </c>
      <c r="H1559" s="1">
        <f t="shared" si="24"/>
        <v>0</v>
      </c>
    </row>
    <row r="1560" spans="1:8" x14ac:dyDescent="0.25">
      <c r="A1560" s="1" t="s">
        <v>7</v>
      </c>
      <c r="B1560" s="1" t="s">
        <v>8</v>
      </c>
      <c r="C1560" s="6">
        <v>10000</v>
      </c>
      <c r="D1560" s="6">
        <v>0</v>
      </c>
      <c r="E1560" s="6">
        <v>0</v>
      </c>
      <c r="F1560" s="6">
        <v>0</v>
      </c>
      <c r="G1560" s="7" t="s">
        <v>22</v>
      </c>
      <c r="H1560" s="1">
        <f t="shared" si="24"/>
        <v>0</v>
      </c>
    </row>
    <row r="1561" spans="1:8" x14ac:dyDescent="0.25">
      <c r="A1561" s="1" t="s">
        <v>7</v>
      </c>
      <c r="B1561" s="1" t="s">
        <v>8</v>
      </c>
      <c r="C1561" s="6">
        <v>2500</v>
      </c>
      <c r="D1561" s="6">
        <v>0</v>
      </c>
      <c r="E1561" s="6">
        <v>0</v>
      </c>
      <c r="F1561" s="6">
        <v>0</v>
      </c>
      <c r="G1561" s="7" t="s">
        <v>22</v>
      </c>
      <c r="H1561" s="1">
        <f t="shared" si="24"/>
        <v>0</v>
      </c>
    </row>
    <row r="1562" spans="1:8" x14ac:dyDescent="0.25">
      <c r="A1562" s="1" t="s">
        <v>7</v>
      </c>
      <c r="B1562" s="1" t="s">
        <v>8</v>
      </c>
      <c r="C1562" s="6">
        <v>17500</v>
      </c>
      <c r="D1562" s="6">
        <v>4715</v>
      </c>
      <c r="E1562" s="6">
        <v>4163.7875000000004</v>
      </c>
      <c r="F1562" s="6">
        <v>4081.5374999999999</v>
      </c>
      <c r="G1562" s="7" t="s">
        <v>22</v>
      </c>
      <c r="H1562" s="1">
        <f t="shared" si="24"/>
        <v>0.26942857142857141</v>
      </c>
    </row>
    <row r="1563" spans="1:8" x14ac:dyDescent="0.25">
      <c r="A1563" s="1" t="s">
        <v>7</v>
      </c>
      <c r="B1563" s="1" t="s">
        <v>8</v>
      </c>
      <c r="C1563" s="6">
        <v>743225</v>
      </c>
      <c r="D1563" s="6">
        <v>578545.35499999998</v>
      </c>
      <c r="E1563" s="6">
        <v>578545.35499999998</v>
      </c>
      <c r="F1563" s="6">
        <v>532290.75749999995</v>
      </c>
      <c r="G1563" s="7" t="s">
        <v>22</v>
      </c>
      <c r="H1563" s="1">
        <f t="shared" si="24"/>
        <v>0.77842558444616361</v>
      </c>
    </row>
    <row r="1564" spans="1:8" x14ac:dyDescent="0.25">
      <c r="A1564" s="1" t="s">
        <v>7</v>
      </c>
      <c r="B1564" s="1" t="s">
        <v>8</v>
      </c>
      <c r="C1564" s="6">
        <v>13000</v>
      </c>
      <c r="D1564" s="6">
        <v>0</v>
      </c>
      <c r="E1564" s="6">
        <v>0</v>
      </c>
      <c r="F1564" s="6">
        <v>0</v>
      </c>
      <c r="G1564" s="7" t="s">
        <v>22</v>
      </c>
      <c r="H1564" s="1">
        <f t="shared" si="24"/>
        <v>0</v>
      </c>
    </row>
    <row r="1565" spans="1:8" x14ac:dyDescent="0.25">
      <c r="A1565" s="1" t="s">
        <v>7</v>
      </c>
      <c r="B1565" s="1" t="s">
        <v>8</v>
      </c>
      <c r="C1565" s="6">
        <v>100000</v>
      </c>
      <c r="D1565" s="6">
        <v>100000</v>
      </c>
      <c r="E1565" s="6">
        <v>65121.442499999997</v>
      </c>
      <c r="F1565" s="6">
        <v>65121.442499999997</v>
      </c>
      <c r="G1565" s="7" t="s">
        <v>22</v>
      </c>
      <c r="H1565" s="1">
        <f t="shared" si="24"/>
        <v>1</v>
      </c>
    </row>
    <row r="1566" spans="1:8" x14ac:dyDescent="0.25">
      <c r="A1566" s="1" t="s">
        <v>7</v>
      </c>
      <c r="B1566" s="1" t="s">
        <v>8</v>
      </c>
      <c r="C1566" s="6">
        <v>7226341</v>
      </c>
      <c r="D1566" s="6">
        <v>6717921.1299999999</v>
      </c>
      <c r="E1566" s="6">
        <v>5930222.8975</v>
      </c>
      <c r="F1566" s="6">
        <v>5789352.2450000001</v>
      </c>
      <c r="G1566" s="7" t="s">
        <v>22</v>
      </c>
      <c r="H1566" s="1">
        <f t="shared" si="24"/>
        <v>0.92964352637109149</v>
      </c>
    </row>
    <row r="1567" spans="1:8" x14ac:dyDescent="0.25">
      <c r="A1567" s="1" t="s">
        <v>7</v>
      </c>
      <c r="B1567" s="1" t="s">
        <v>8</v>
      </c>
      <c r="C1567" s="6">
        <v>102308</v>
      </c>
      <c r="D1567" s="6">
        <v>17081.535</v>
      </c>
      <c r="E1567" s="6">
        <v>4795.0450000000001</v>
      </c>
      <c r="F1567" s="6">
        <v>4795.0450000000001</v>
      </c>
      <c r="G1567" s="7" t="s">
        <v>22</v>
      </c>
      <c r="H1567" s="1">
        <f t="shared" si="24"/>
        <v>0.16696187003948859</v>
      </c>
    </row>
    <row r="1568" spans="1:8" x14ac:dyDescent="0.25">
      <c r="A1568" s="1" t="s">
        <v>7</v>
      </c>
      <c r="B1568" s="1" t="s">
        <v>8</v>
      </c>
      <c r="C1568" s="6">
        <v>23050</v>
      </c>
      <c r="D1568" s="6">
        <v>3359.4</v>
      </c>
      <c r="E1568" s="6">
        <v>3359.4</v>
      </c>
      <c r="F1568" s="6">
        <v>3359.4</v>
      </c>
      <c r="G1568" s="7" t="s">
        <v>22</v>
      </c>
      <c r="H1568" s="1">
        <f t="shared" si="24"/>
        <v>0.14574403470715835</v>
      </c>
    </row>
    <row r="1569" spans="1:8" x14ac:dyDescent="0.25">
      <c r="A1569" s="1" t="s">
        <v>7</v>
      </c>
      <c r="B1569" s="1" t="s">
        <v>8</v>
      </c>
      <c r="C1569" s="6">
        <v>175375</v>
      </c>
      <c r="D1569" s="6">
        <v>7741.4949999999999</v>
      </c>
      <c r="E1569" s="6">
        <v>4987.5</v>
      </c>
      <c r="F1569" s="6">
        <v>4987.5</v>
      </c>
      <c r="G1569" s="7" t="s">
        <v>22</v>
      </c>
      <c r="H1569" s="1">
        <f t="shared" si="24"/>
        <v>4.4142523164647181E-2</v>
      </c>
    </row>
    <row r="1570" spans="1:8" x14ac:dyDescent="0.25">
      <c r="A1570" s="1" t="s">
        <v>7</v>
      </c>
      <c r="B1570" s="1" t="s">
        <v>8</v>
      </c>
      <c r="C1570" s="6">
        <v>1011000</v>
      </c>
      <c r="D1570" s="6">
        <v>1273291.8400000001</v>
      </c>
      <c r="E1570" s="6">
        <v>1206956.2324999999</v>
      </c>
      <c r="F1570" s="6">
        <v>1123247.8875</v>
      </c>
      <c r="G1570" s="7" t="s">
        <v>22</v>
      </c>
      <c r="H1570" s="1">
        <f t="shared" si="24"/>
        <v>1.2594380217606331</v>
      </c>
    </row>
    <row r="1571" spans="1:8" x14ac:dyDescent="0.25">
      <c r="A1571" s="1" t="s">
        <v>7</v>
      </c>
      <c r="B1571" s="1" t="s">
        <v>8</v>
      </c>
      <c r="C1571" s="6">
        <v>206375</v>
      </c>
      <c r="D1571" s="6">
        <v>146972.22500000001</v>
      </c>
      <c r="E1571" s="6">
        <v>138861.91750000001</v>
      </c>
      <c r="F1571" s="6">
        <v>118551.15</v>
      </c>
      <c r="G1571" s="7" t="s">
        <v>22</v>
      </c>
      <c r="H1571" s="1">
        <f t="shared" si="24"/>
        <v>0.71216099333737137</v>
      </c>
    </row>
    <row r="1572" spans="1:8" x14ac:dyDescent="0.25">
      <c r="A1572" s="1" t="s">
        <v>7</v>
      </c>
      <c r="B1572" s="1" t="s">
        <v>8</v>
      </c>
      <c r="C1572" s="6">
        <v>83202</v>
      </c>
      <c r="D1572" s="6">
        <v>97738.692500000005</v>
      </c>
      <c r="E1572" s="6">
        <v>95938.692500000005</v>
      </c>
      <c r="F1572" s="6">
        <v>93973.3</v>
      </c>
      <c r="G1572" s="7" t="s">
        <v>22</v>
      </c>
      <c r="H1572" s="1">
        <f t="shared" si="24"/>
        <v>1.1747156618831278</v>
      </c>
    </row>
    <row r="1573" spans="1:8" x14ac:dyDescent="0.25">
      <c r="A1573" s="1" t="s">
        <v>7</v>
      </c>
      <c r="B1573" s="1" t="s">
        <v>8</v>
      </c>
      <c r="C1573" s="6">
        <v>51250</v>
      </c>
      <c r="D1573" s="6">
        <v>0</v>
      </c>
      <c r="E1573" s="6">
        <v>0</v>
      </c>
      <c r="F1573" s="6">
        <v>0</v>
      </c>
      <c r="G1573" s="7" t="s">
        <v>22</v>
      </c>
      <c r="H1573" s="1">
        <f t="shared" si="24"/>
        <v>0</v>
      </c>
    </row>
    <row r="1574" spans="1:8" x14ac:dyDescent="0.25">
      <c r="A1574" s="1" t="s">
        <v>7</v>
      </c>
      <c r="B1574" s="1" t="s">
        <v>8</v>
      </c>
      <c r="C1574" s="6">
        <v>116250</v>
      </c>
      <c r="D1574" s="6">
        <v>11250</v>
      </c>
      <c r="E1574" s="6">
        <v>11250</v>
      </c>
      <c r="F1574" s="6">
        <v>11250</v>
      </c>
      <c r="G1574" s="7" t="s">
        <v>22</v>
      </c>
      <c r="H1574" s="1">
        <f t="shared" si="24"/>
        <v>9.6774193548387094E-2</v>
      </c>
    </row>
    <row r="1575" spans="1:8" x14ac:dyDescent="0.25">
      <c r="A1575" s="1" t="s">
        <v>7</v>
      </c>
      <c r="B1575" s="1" t="s">
        <v>8</v>
      </c>
      <c r="C1575" s="6">
        <v>518495</v>
      </c>
      <c r="D1575" s="6">
        <v>387441.40749999997</v>
      </c>
      <c r="E1575" s="6">
        <v>387441.40749999997</v>
      </c>
      <c r="F1575" s="6">
        <v>356684.85249999998</v>
      </c>
      <c r="G1575" s="7" t="s">
        <v>22</v>
      </c>
      <c r="H1575" s="1">
        <f t="shared" si="24"/>
        <v>0.74724232152672632</v>
      </c>
    </row>
    <row r="1576" spans="1:8" x14ac:dyDescent="0.25">
      <c r="A1576" s="1" t="s">
        <v>7</v>
      </c>
      <c r="B1576" s="1" t="s">
        <v>8</v>
      </c>
      <c r="C1576" s="6">
        <v>37500</v>
      </c>
      <c r="D1576" s="6">
        <v>39932.137499999997</v>
      </c>
      <c r="E1576" s="6">
        <v>39932.137499999997</v>
      </c>
      <c r="F1576" s="6">
        <v>39932.137499999997</v>
      </c>
      <c r="G1576" s="7" t="s">
        <v>22</v>
      </c>
      <c r="H1576" s="1">
        <f t="shared" si="24"/>
        <v>1.0648569999999999</v>
      </c>
    </row>
    <row r="1577" spans="1:8" x14ac:dyDescent="0.25">
      <c r="A1577" s="1" t="s">
        <v>7</v>
      </c>
      <c r="B1577" s="1" t="s">
        <v>8</v>
      </c>
      <c r="C1577" s="6">
        <v>1313429</v>
      </c>
      <c r="D1577" s="6">
        <v>1122652.1675</v>
      </c>
      <c r="E1577" s="6">
        <v>1097276.6325000001</v>
      </c>
      <c r="F1577" s="6">
        <v>1014009.2825</v>
      </c>
      <c r="G1577" s="7" t="s">
        <v>22</v>
      </c>
      <c r="H1577" s="1">
        <f t="shared" si="24"/>
        <v>0.85474903287501647</v>
      </c>
    </row>
    <row r="1578" spans="1:8" x14ac:dyDescent="0.25">
      <c r="A1578" s="1" t="s">
        <v>7</v>
      </c>
      <c r="B1578" s="1" t="s">
        <v>8</v>
      </c>
      <c r="C1578" s="6">
        <v>1045</v>
      </c>
      <c r="D1578" s="6">
        <v>0</v>
      </c>
      <c r="E1578" s="6">
        <v>0</v>
      </c>
      <c r="F1578" s="6">
        <v>0</v>
      </c>
      <c r="G1578" s="7" t="s">
        <v>22</v>
      </c>
      <c r="H1578" s="1">
        <f t="shared" si="24"/>
        <v>0</v>
      </c>
    </row>
    <row r="1579" spans="1:8" x14ac:dyDescent="0.25">
      <c r="A1579" s="1" t="s">
        <v>7</v>
      </c>
      <c r="B1579" s="1" t="s">
        <v>8</v>
      </c>
      <c r="C1579" s="6">
        <v>20000</v>
      </c>
      <c r="D1579" s="6">
        <v>0</v>
      </c>
      <c r="E1579" s="6">
        <v>0</v>
      </c>
      <c r="F1579" s="6">
        <v>0</v>
      </c>
      <c r="G1579" s="7" t="s">
        <v>22</v>
      </c>
      <c r="H1579" s="1">
        <f t="shared" si="24"/>
        <v>0</v>
      </c>
    </row>
    <row r="1580" spans="1:8" x14ac:dyDescent="0.25">
      <c r="A1580" s="1" t="s">
        <v>7</v>
      </c>
      <c r="B1580" s="1" t="s">
        <v>8</v>
      </c>
      <c r="C1580" s="6">
        <v>25500</v>
      </c>
      <c r="D1580" s="6">
        <v>0</v>
      </c>
      <c r="E1580" s="6">
        <v>0</v>
      </c>
      <c r="F1580" s="6">
        <v>0</v>
      </c>
      <c r="G1580" s="7" t="s">
        <v>22</v>
      </c>
      <c r="H1580" s="1">
        <f t="shared" si="24"/>
        <v>0</v>
      </c>
    </row>
    <row r="1581" spans="1:8" x14ac:dyDescent="0.25">
      <c r="A1581" s="1" t="s">
        <v>7</v>
      </c>
      <c r="B1581" s="1" t="s">
        <v>8</v>
      </c>
      <c r="C1581" s="6">
        <v>4795304</v>
      </c>
      <c r="D1581" s="6">
        <v>1554.9124999999999</v>
      </c>
      <c r="E1581" s="6">
        <v>1477.165</v>
      </c>
      <c r="F1581" s="6">
        <v>1477.165</v>
      </c>
      <c r="G1581" s="7" t="s">
        <v>22</v>
      </c>
      <c r="H1581" s="1">
        <f t="shared" si="24"/>
        <v>3.2425733592698187E-4</v>
      </c>
    </row>
    <row r="1582" spans="1:8" x14ac:dyDescent="0.25">
      <c r="A1582" s="1" t="s">
        <v>7</v>
      </c>
      <c r="B1582" s="1" t="s">
        <v>8</v>
      </c>
      <c r="C1582" s="6">
        <v>2957911</v>
      </c>
      <c r="D1582" s="6">
        <v>2498313.3525</v>
      </c>
      <c r="E1582" s="6">
        <v>2498313.3525</v>
      </c>
      <c r="F1582" s="6">
        <v>2498313.3525</v>
      </c>
      <c r="G1582" s="7" t="s">
        <v>22</v>
      </c>
      <c r="H1582" s="1">
        <f t="shared" si="24"/>
        <v>0.84462086671978975</v>
      </c>
    </row>
    <row r="1583" spans="1:8" x14ac:dyDescent="0.25">
      <c r="A1583" s="1" t="s">
        <v>7</v>
      </c>
      <c r="B1583" s="1" t="s">
        <v>8</v>
      </c>
      <c r="C1583" s="6">
        <v>25000</v>
      </c>
      <c r="D1583" s="6">
        <v>0</v>
      </c>
      <c r="E1583" s="6">
        <v>0</v>
      </c>
      <c r="F1583" s="6">
        <v>0</v>
      </c>
      <c r="G1583" s="7" t="s">
        <v>22</v>
      </c>
      <c r="H1583" s="1">
        <f t="shared" si="24"/>
        <v>0</v>
      </c>
    </row>
    <row r="1584" spans="1:8" x14ac:dyDescent="0.25">
      <c r="A1584" s="1" t="s">
        <v>7</v>
      </c>
      <c r="B1584" s="1" t="s">
        <v>8</v>
      </c>
      <c r="C1584" s="6">
        <v>2315340</v>
      </c>
      <c r="D1584" s="6">
        <v>2556105.3849999998</v>
      </c>
      <c r="E1584" s="6">
        <v>2308553.15</v>
      </c>
      <c r="F1584" s="6">
        <v>2164284.44</v>
      </c>
      <c r="G1584" s="7" t="s">
        <v>22</v>
      </c>
      <c r="H1584" s="1">
        <f t="shared" si="24"/>
        <v>1.103987053737248</v>
      </c>
    </row>
    <row r="1585" spans="1:8" x14ac:dyDescent="0.25">
      <c r="A1585" s="1" t="s">
        <v>7</v>
      </c>
      <c r="B1585" s="1" t="s">
        <v>8</v>
      </c>
      <c r="C1585" s="6">
        <v>2500</v>
      </c>
      <c r="D1585" s="6">
        <v>0</v>
      </c>
      <c r="E1585" s="6">
        <v>0</v>
      </c>
      <c r="F1585" s="6">
        <v>0</v>
      </c>
      <c r="G1585" s="7" t="s">
        <v>22</v>
      </c>
      <c r="H1585" s="1">
        <f t="shared" si="24"/>
        <v>0</v>
      </c>
    </row>
    <row r="1586" spans="1:8" x14ac:dyDescent="0.25">
      <c r="A1586" s="1" t="s">
        <v>7</v>
      </c>
      <c r="B1586" s="1" t="s">
        <v>8</v>
      </c>
      <c r="C1586" s="6">
        <v>80000</v>
      </c>
      <c r="D1586" s="6">
        <v>122130.72500000001</v>
      </c>
      <c r="E1586" s="6">
        <v>16333.4125</v>
      </c>
      <c r="F1586" s="6">
        <v>16333.4125</v>
      </c>
      <c r="G1586" s="7" t="s">
        <v>22</v>
      </c>
      <c r="H1586" s="1">
        <f t="shared" si="24"/>
        <v>1.5266340625000001</v>
      </c>
    </row>
    <row r="1587" spans="1:8" x14ac:dyDescent="0.25">
      <c r="A1587" s="1" t="s">
        <v>7</v>
      </c>
      <c r="B1587" s="1" t="s">
        <v>8</v>
      </c>
      <c r="C1587" s="6">
        <v>34000</v>
      </c>
      <c r="D1587" s="6">
        <v>14940</v>
      </c>
      <c r="E1587" s="6">
        <v>0</v>
      </c>
      <c r="F1587" s="6">
        <v>0</v>
      </c>
      <c r="G1587" s="7" t="s">
        <v>22</v>
      </c>
      <c r="H1587" s="1">
        <f t="shared" si="24"/>
        <v>0.43941176470588234</v>
      </c>
    </row>
    <row r="1588" spans="1:8" x14ac:dyDescent="0.25">
      <c r="A1588" s="1" t="s">
        <v>7</v>
      </c>
      <c r="B1588" s="1" t="s">
        <v>8</v>
      </c>
      <c r="C1588" s="6">
        <v>250000</v>
      </c>
      <c r="D1588" s="6">
        <v>562499.29249999998</v>
      </c>
      <c r="E1588" s="6">
        <v>562499.29249999998</v>
      </c>
      <c r="F1588" s="6">
        <v>562499.29249999998</v>
      </c>
      <c r="G1588" s="7" t="s">
        <v>22</v>
      </c>
      <c r="H1588" s="1">
        <f t="shared" si="24"/>
        <v>2.2499971699999999</v>
      </c>
    </row>
    <row r="1589" spans="1:8" x14ac:dyDescent="0.25">
      <c r="A1589" s="1" t="s">
        <v>7</v>
      </c>
      <c r="B1589" s="1" t="s">
        <v>8</v>
      </c>
      <c r="C1589" s="6">
        <v>425000</v>
      </c>
      <c r="D1589" s="6">
        <v>613093.98499999999</v>
      </c>
      <c r="E1589" s="6">
        <v>151710.3475</v>
      </c>
      <c r="F1589" s="6">
        <v>75369.16</v>
      </c>
      <c r="G1589" s="7" t="s">
        <v>22</v>
      </c>
      <c r="H1589" s="1">
        <f t="shared" si="24"/>
        <v>1.4425740823529412</v>
      </c>
    </row>
    <row r="1590" spans="1:8" x14ac:dyDescent="0.25">
      <c r="A1590" s="1" t="s">
        <v>7</v>
      </c>
      <c r="B1590" s="1" t="s">
        <v>8</v>
      </c>
      <c r="C1590" s="6">
        <v>113000</v>
      </c>
      <c r="D1590" s="6">
        <v>150274.13750000001</v>
      </c>
      <c r="E1590" s="6">
        <v>150274.13750000001</v>
      </c>
      <c r="F1590" s="6">
        <v>149403.11249999999</v>
      </c>
      <c r="G1590" s="7" t="s">
        <v>22</v>
      </c>
      <c r="H1590" s="1">
        <f t="shared" si="24"/>
        <v>1.3298596238938054</v>
      </c>
    </row>
    <row r="1591" spans="1:8" x14ac:dyDescent="0.25">
      <c r="A1591" s="1" t="s">
        <v>7</v>
      </c>
      <c r="B1591" s="1" t="s">
        <v>8</v>
      </c>
      <c r="C1591" s="6">
        <v>40000</v>
      </c>
      <c r="D1591" s="6">
        <v>44636.614999999998</v>
      </c>
      <c r="E1591" s="6">
        <v>0</v>
      </c>
      <c r="F1591" s="6">
        <v>0</v>
      </c>
      <c r="G1591" s="7" t="s">
        <v>22</v>
      </c>
      <c r="H1591" s="1">
        <f t="shared" si="24"/>
        <v>1.1159153749999999</v>
      </c>
    </row>
    <row r="1592" spans="1:8" x14ac:dyDescent="0.25">
      <c r="A1592" s="1" t="s">
        <v>7</v>
      </c>
      <c r="B1592" s="1" t="s">
        <v>8</v>
      </c>
      <c r="C1592" s="6">
        <v>15000</v>
      </c>
      <c r="D1592" s="6">
        <v>0</v>
      </c>
      <c r="E1592" s="6">
        <v>0</v>
      </c>
      <c r="F1592" s="6">
        <v>0</v>
      </c>
      <c r="G1592" s="7" t="s">
        <v>22</v>
      </c>
      <c r="H1592" s="1">
        <f t="shared" si="24"/>
        <v>0</v>
      </c>
    </row>
    <row r="1593" spans="1:8" x14ac:dyDescent="0.25">
      <c r="A1593" s="1" t="s">
        <v>7</v>
      </c>
      <c r="B1593" s="1" t="s">
        <v>8</v>
      </c>
      <c r="C1593" s="6">
        <v>17950</v>
      </c>
      <c r="D1593" s="6">
        <v>52457.05</v>
      </c>
      <c r="E1593" s="6">
        <v>34461.364999999998</v>
      </c>
      <c r="F1593" s="6">
        <v>29734.197499999998</v>
      </c>
      <c r="G1593" s="7" t="s">
        <v>22</v>
      </c>
      <c r="H1593" s="1">
        <f t="shared" si="24"/>
        <v>2.9223983286908082</v>
      </c>
    </row>
    <row r="1594" spans="1:8" x14ac:dyDescent="0.25">
      <c r="A1594" s="1" t="s">
        <v>7</v>
      </c>
      <c r="B1594" s="1" t="s">
        <v>8</v>
      </c>
      <c r="C1594" s="6">
        <v>136648</v>
      </c>
      <c r="D1594" s="6">
        <v>17550</v>
      </c>
      <c r="E1594" s="6">
        <v>17550</v>
      </c>
      <c r="F1594" s="6">
        <v>1371.595</v>
      </c>
      <c r="G1594" s="7" t="s">
        <v>22</v>
      </c>
      <c r="H1594" s="1">
        <f t="shared" si="24"/>
        <v>0.12843217610210175</v>
      </c>
    </row>
    <row r="1595" spans="1:8" x14ac:dyDescent="0.25">
      <c r="A1595" s="1" t="s">
        <v>7</v>
      </c>
      <c r="B1595" s="1" t="s">
        <v>8</v>
      </c>
      <c r="C1595" s="6">
        <v>1780261</v>
      </c>
      <c r="D1595" s="6">
        <v>771900.65749999997</v>
      </c>
      <c r="E1595" s="6">
        <v>468828.7475</v>
      </c>
      <c r="F1595" s="6">
        <v>465075.065</v>
      </c>
      <c r="G1595" s="7" t="s">
        <v>22</v>
      </c>
      <c r="H1595" s="1">
        <f t="shared" si="24"/>
        <v>0.43358847803777084</v>
      </c>
    </row>
    <row r="1596" spans="1:8" x14ac:dyDescent="0.25">
      <c r="A1596" s="1" t="s">
        <v>7</v>
      </c>
      <c r="B1596" s="1" t="s">
        <v>8</v>
      </c>
      <c r="C1596" s="6">
        <v>85000</v>
      </c>
      <c r="D1596" s="6">
        <v>100353</v>
      </c>
      <c r="E1596" s="6">
        <v>100353</v>
      </c>
      <c r="F1596" s="6">
        <v>100353</v>
      </c>
      <c r="G1596" s="7" t="s">
        <v>22</v>
      </c>
      <c r="H1596" s="1">
        <f t="shared" si="24"/>
        <v>1.1806235294117646</v>
      </c>
    </row>
    <row r="1597" spans="1:8" x14ac:dyDescent="0.25">
      <c r="A1597" s="1" t="s">
        <v>7</v>
      </c>
      <c r="B1597" s="1" t="s">
        <v>8</v>
      </c>
      <c r="C1597" s="6">
        <v>20349</v>
      </c>
      <c r="D1597" s="6">
        <v>3608.8325</v>
      </c>
      <c r="E1597" s="6">
        <v>3608.8325</v>
      </c>
      <c r="F1597" s="6">
        <v>487.15249999999997</v>
      </c>
      <c r="G1597" s="7" t="s">
        <v>22</v>
      </c>
      <c r="H1597" s="1">
        <f t="shared" si="24"/>
        <v>0.17734692122463019</v>
      </c>
    </row>
    <row r="1598" spans="1:8" x14ac:dyDescent="0.25">
      <c r="A1598" s="1" t="s">
        <v>7</v>
      </c>
      <c r="B1598" s="1" t="s">
        <v>10</v>
      </c>
      <c r="C1598" s="6">
        <v>87500</v>
      </c>
      <c r="D1598" s="6">
        <v>91997.537500000006</v>
      </c>
      <c r="E1598" s="6">
        <v>91985.037500000006</v>
      </c>
      <c r="F1598" s="6">
        <v>87012.537500000006</v>
      </c>
      <c r="G1598" s="7" t="s">
        <v>22</v>
      </c>
      <c r="H1598" s="1">
        <f t="shared" si="24"/>
        <v>1.0514004285714287</v>
      </c>
    </row>
    <row r="1599" spans="1:8" x14ac:dyDescent="0.25">
      <c r="A1599" s="1" t="s">
        <v>7</v>
      </c>
      <c r="B1599" s="1" t="s">
        <v>10</v>
      </c>
      <c r="C1599" s="6">
        <v>3092874</v>
      </c>
      <c r="D1599" s="6">
        <v>624470.00749999995</v>
      </c>
      <c r="E1599" s="6">
        <v>402091.99249999999</v>
      </c>
      <c r="F1599" s="6">
        <v>385864.85</v>
      </c>
      <c r="G1599" s="7" t="s">
        <v>22</v>
      </c>
      <c r="H1599" s="1">
        <f t="shared" si="24"/>
        <v>0.20190606132031241</v>
      </c>
    </row>
    <row r="1600" spans="1:8" x14ac:dyDescent="0.25">
      <c r="A1600" s="1" t="s">
        <v>7</v>
      </c>
      <c r="B1600" s="1" t="s">
        <v>10</v>
      </c>
      <c r="C1600" s="6">
        <v>127500</v>
      </c>
      <c r="D1600" s="6">
        <v>0</v>
      </c>
      <c r="E1600" s="6">
        <v>0</v>
      </c>
      <c r="F1600" s="6">
        <v>0</v>
      </c>
      <c r="G1600" s="7" t="s">
        <v>22</v>
      </c>
      <c r="H1600" s="1">
        <f t="shared" si="24"/>
        <v>0</v>
      </c>
    </row>
    <row r="1601" spans="1:8" x14ac:dyDescent="0.25">
      <c r="A1601" s="1" t="s">
        <v>7</v>
      </c>
      <c r="B1601" s="1" t="s">
        <v>10</v>
      </c>
      <c r="C1601" s="6">
        <v>62500</v>
      </c>
      <c r="D1601" s="6">
        <v>50220.75</v>
      </c>
      <c r="E1601" s="6">
        <v>50220.75</v>
      </c>
      <c r="F1601" s="6">
        <v>50220.75</v>
      </c>
      <c r="G1601" s="7" t="s">
        <v>22</v>
      </c>
      <c r="H1601" s="1">
        <f t="shared" si="24"/>
        <v>0.80353200000000002</v>
      </c>
    </row>
    <row r="1602" spans="1:8" x14ac:dyDescent="0.25">
      <c r="A1602" s="1" t="s">
        <v>7</v>
      </c>
      <c r="B1602" s="1" t="s">
        <v>10</v>
      </c>
      <c r="C1602" s="6">
        <v>3935233</v>
      </c>
      <c r="D1602" s="6">
        <v>3597709.8774999999</v>
      </c>
      <c r="E1602" s="6">
        <v>3547574.4024999999</v>
      </c>
      <c r="F1602" s="6">
        <v>3278531.9175</v>
      </c>
      <c r="G1602" s="7" t="s">
        <v>22</v>
      </c>
      <c r="H1602" s="1">
        <f t="shared" ref="H1602:H1665" si="25">IF(OR(ISNA($D1602),ISNA($C1602),$C1602=0),0,$D1602/$C1602)</f>
        <v>0.91423046043271139</v>
      </c>
    </row>
    <row r="1603" spans="1:8" x14ac:dyDescent="0.25">
      <c r="A1603" s="1" t="s">
        <v>7</v>
      </c>
      <c r="B1603" s="1" t="s">
        <v>10</v>
      </c>
      <c r="C1603" s="6">
        <v>0</v>
      </c>
      <c r="D1603" s="6">
        <v>239321.45</v>
      </c>
      <c r="E1603" s="6">
        <v>239321.45</v>
      </c>
      <c r="F1603" s="6">
        <v>239321.45</v>
      </c>
      <c r="G1603" s="7" t="s">
        <v>22</v>
      </c>
      <c r="H1603" s="1">
        <f t="shared" si="25"/>
        <v>0</v>
      </c>
    </row>
    <row r="1604" spans="1:8" x14ac:dyDescent="0.25">
      <c r="A1604" s="1" t="s">
        <v>7</v>
      </c>
      <c r="B1604" s="1" t="s">
        <v>10</v>
      </c>
      <c r="C1604" s="6">
        <v>2489056</v>
      </c>
      <c r="D1604" s="6">
        <v>171372.68</v>
      </c>
      <c r="E1604" s="6">
        <v>0</v>
      </c>
      <c r="F1604" s="6">
        <v>0</v>
      </c>
      <c r="G1604" s="7" t="s">
        <v>22</v>
      </c>
      <c r="H1604" s="1">
        <f t="shared" si="25"/>
        <v>6.8850471825463139E-2</v>
      </c>
    </row>
    <row r="1605" spans="1:8" x14ac:dyDescent="0.25">
      <c r="A1605" s="1" t="s">
        <v>7</v>
      </c>
      <c r="B1605" s="1" t="s">
        <v>10</v>
      </c>
      <c r="C1605" s="6">
        <v>60000</v>
      </c>
      <c r="D1605" s="6">
        <v>68598.45</v>
      </c>
      <c r="E1605" s="6">
        <v>63768.45</v>
      </c>
      <c r="F1605" s="6">
        <v>63768.45</v>
      </c>
      <c r="G1605" s="7" t="s">
        <v>22</v>
      </c>
      <c r="H1605" s="1">
        <f t="shared" si="25"/>
        <v>1.1433074999999999</v>
      </c>
    </row>
    <row r="1606" spans="1:8" x14ac:dyDescent="0.25">
      <c r="A1606" s="1" t="s">
        <v>7</v>
      </c>
      <c r="B1606" s="1" t="s">
        <v>10</v>
      </c>
      <c r="C1606" s="6">
        <v>1209295</v>
      </c>
      <c r="D1606" s="6">
        <v>1032999.07</v>
      </c>
      <c r="E1606" s="6">
        <v>923678.64</v>
      </c>
      <c r="F1606" s="6">
        <v>922137.89</v>
      </c>
      <c r="G1606" s="7" t="s">
        <v>22</v>
      </c>
      <c r="H1606" s="1">
        <f t="shared" si="25"/>
        <v>0.85421594400042999</v>
      </c>
    </row>
    <row r="1607" spans="1:8" x14ac:dyDescent="0.25">
      <c r="A1607" s="1" t="s">
        <v>7</v>
      </c>
      <c r="B1607" s="1" t="s">
        <v>10</v>
      </c>
      <c r="C1607" s="6">
        <v>1542751</v>
      </c>
      <c r="D1607" s="6">
        <v>57935.582499999997</v>
      </c>
      <c r="E1607" s="6">
        <v>6913.0825000000004</v>
      </c>
      <c r="F1607" s="6">
        <v>6913.0825000000004</v>
      </c>
      <c r="G1607" s="7" t="s">
        <v>22</v>
      </c>
      <c r="H1607" s="1">
        <f t="shared" si="25"/>
        <v>3.7553424045746846E-2</v>
      </c>
    </row>
    <row r="1608" spans="1:8" x14ac:dyDescent="0.25">
      <c r="A1608" s="1" t="s">
        <v>7</v>
      </c>
      <c r="B1608" s="1" t="s">
        <v>10</v>
      </c>
      <c r="C1608" s="6">
        <v>54000</v>
      </c>
      <c r="D1608" s="6">
        <v>5754</v>
      </c>
      <c r="E1608" s="6">
        <v>5754</v>
      </c>
      <c r="F1608" s="6">
        <v>5754</v>
      </c>
      <c r="G1608" s="7" t="s">
        <v>22</v>
      </c>
      <c r="H1608" s="1">
        <f t="shared" si="25"/>
        <v>0.10655555555555556</v>
      </c>
    </row>
    <row r="1609" spans="1:8" x14ac:dyDescent="0.25">
      <c r="A1609" s="1" t="s">
        <v>7</v>
      </c>
      <c r="B1609" s="1" t="s">
        <v>10</v>
      </c>
      <c r="C1609" s="6">
        <v>287024</v>
      </c>
      <c r="D1609" s="6">
        <v>20007.044999999998</v>
      </c>
      <c r="E1609" s="6">
        <v>14117.094999999999</v>
      </c>
      <c r="F1609" s="6">
        <v>14117.094999999999</v>
      </c>
      <c r="G1609" s="7" t="s">
        <v>22</v>
      </c>
      <c r="H1609" s="1">
        <f t="shared" si="25"/>
        <v>6.9705129187803111E-2</v>
      </c>
    </row>
    <row r="1610" spans="1:8" x14ac:dyDescent="0.25">
      <c r="A1610" s="1" t="s">
        <v>7</v>
      </c>
      <c r="B1610" s="1" t="s">
        <v>10</v>
      </c>
      <c r="C1610" s="6">
        <v>275823</v>
      </c>
      <c r="D1610" s="6">
        <v>12905.445</v>
      </c>
      <c r="E1610" s="6">
        <v>12905.445</v>
      </c>
      <c r="F1610" s="6">
        <v>12320.422500000001</v>
      </c>
      <c r="G1610" s="7" t="s">
        <v>22</v>
      </c>
      <c r="H1610" s="1">
        <f t="shared" si="25"/>
        <v>4.6788864597948683E-2</v>
      </c>
    </row>
    <row r="1611" spans="1:8" x14ac:dyDescent="0.25">
      <c r="A1611" s="1" t="s">
        <v>7</v>
      </c>
      <c r="B1611" s="1" t="s">
        <v>10</v>
      </c>
      <c r="C1611" s="6">
        <v>7750</v>
      </c>
      <c r="D1611" s="6">
        <v>0</v>
      </c>
      <c r="E1611" s="6">
        <v>0</v>
      </c>
      <c r="F1611" s="6">
        <v>0</v>
      </c>
      <c r="G1611" s="7" t="s">
        <v>22</v>
      </c>
      <c r="H1611" s="1">
        <f t="shared" si="25"/>
        <v>0</v>
      </c>
    </row>
    <row r="1612" spans="1:8" x14ac:dyDescent="0.25">
      <c r="A1612" s="1" t="s">
        <v>7</v>
      </c>
      <c r="B1612" s="1" t="s">
        <v>10</v>
      </c>
      <c r="C1612" s="6">
        <v>7750</v>
      </c>
      <c r="D1612" s="6">
        <v>0</v>
      </c>
      <c r="E1612" s="6">
        <v>0</v>
      </c>
      <c r="F1612" s="6">
        <v>0</v>
      </c>
      <c r="G1612" s="7" t="s">
        <v>22</v>
      </c>
      <c r="H1612" s="1">
        <f t="shared" si="25"/>
        <v>0</v>
      </c>
    </row>
    <row r="1613" spans="1:8" x14ac:dyDescent="0.25">
      <c r="A1613" s="1" t="s">
        <v>7</v>
      </c>
      <c r="B1613" s="1" t="s">
        <v>10</v>
      </c>
      <c r="C1613" s="6">
        <v>22500</v>
      </c>
      <c r="D1613" s="6">
        <v>0</v>
      </c>
      <c r="E1613" s="6">
        <v>0</v>
      </c>
      <c r="F1613" s="6">
        <v>0</v>
      </c>
      <c r="G1613" s="7" t="s">
        <v>22</v>
      </c>
      <c r="H1613" s="1">
        <f t="shared" si="25"/>
        <v>0</v>
      </c>
    </row>
    <row r="1614" spans="1:8" x14ac:dyDescent="0.25">
      <c r="A1614" s="1" t="s">
        <v>7</v>
      </c>
      <c r="B1614" s="1" t="s">
        <v>10</v>
      </c>
      <c r="C1614" s="6">
        <v>542975</v>
      </c>
      <c r="D1614" s="6">
        <v>219955</v>
      </c>
      <c r="E1614" s="6">
        <v>219955</v>
      </c>
      <c r="F1614" s="6">
        <v>219955</v>
      </c>
      <c r="G1614" s="7" t="s">
        <v>22</v>
      </c>
      <c r="H1614" s="1">
        <f t="shared" si="25"/>
        <v>0.40509231548413832</v>
      </c>
    </row>
    <row r="1615" spans="1:8" x14ac:dyDescent="0.25">
      <c r="A1615" s="1" t="s">
        <v>7</v>
      </c>
      <c r="B1615" s="1" t="s">
        <v>10</v>
      </c>
      <c r="C1615" s="6">
        <v>37500</v>
      </c>
      <c r="D1615" s="6">
        <v>12618.5</v>
      </c>
      <c r="E1615" s="6">
        <v>12618.5</v>
      </c>
      <c r="F1615" s="6">
        <v>12618.5</v>
      </c>
      <c r="G1615" s="7" t="s">
        <v>22</v>
      </c>
      <c r="H1615" s="1">
        <f t="shared" si="25"/>
        <v>0.33649333333333331</v>
      </c>
    </row>
    <row r="1616" spans="1:8" x14ac:dyDescent="0.25">
      <c r="A1616" s="1" t="s">
        <v>7</v>
      </c>
      <c r="B1616" s="1" t="s">
        <v>10</v>
      </c>
      <c r="C1616" s="6">
        <v>67500</v>
      </c>
      <c r="D1616" s="6">
        <v>0</v>
      </c>
      <c r="E1616" s="6">
        <v>0</v>
      </c>
      <c r="F1616" s="6">
        <v>0</v>
      </c>
      <c r="G1616" s="7" t="s">
        <v>22</v>
      </c>
      <c r="H1616" s="1">
        <f t="shared" si="25"/>
        <v>0</v>
      </c>
    </row>
    <row r="1617" spans="1:8" x14ac:dyDescent="0.25">
      <c r="A1617" s="1" t="s">
        <v>7</v>
      </c>
      <c r="B1617" s="1" t="s">
        <v>10</v>
      </c>
      <c r="C1617" s="6">
        <v>11000</v>
      </c>
      <c r="D1617" s="6">
        <v>8942.9</v>
      </c>
      <c r="E1617" s="6">
        <v>5794.9</v>
      </c>
      <c r="F1617" s="6">
        <v>5794.9</v>
      </c>
      <c r="G1617" s="7" t="s">
        <v>22</v>
      </c>
      <c r="H1617" s="1">
        <f t="shared" si="25"/>
        <v>0.8129909090909091</v>
      </c>
    </row>
    <row r="1618" spans="1:8" x14ac:dyDescent="0.25">
      <c r="A1618" s="1" t="s">
        <v>7</v>
      </c>
      <c r="B1618" s="1" t="s">
        <v>10</v>
      </c>
      <c r="C1618" s="6">
        <v>4750</v>
      </c>
      <c r="D1618" s="6">
        <v>5452.625</v>
      </c>
      <c r="E1618" s="6">
        <v>377.99</v>
      </c>
      <c r="F1618" s="6">
        <v>377.99</v>
      </c>
      <c r="G1618" s="7" t="s">
        <v>22</v>
      </c>
      <c r="H1618" s="1">
        <f t="shared" si="25"/>
        <v>1.1479210526315788</v>
      </c>
    </row>
    <row r="1619" spans="1:8" x14ac:dyDescent="0.25">
      <c r="A1619" s="1" t="s">
        <v>7</v>
      </c>
      <c r="B1619" s="1" t="s">
        <v>10</v>
      </c>
      <c r="C1619" s="6">
        <v>110092</v>
      </c>
      <c r="D1619" s="6">
        <v>60152.282500000001</v>
      </c>
      <c r="E1619" s="6">
        <v>55831.592499999999</v>
      </c>
      <c r="F1619" s="6">
        <v>53959.33</v>
      </c>
      <c r="G1619" s="7" t="s">
        <v>22</v>
      </c>
      <c r="H1619" s="1">
        <f t="shared" si="25"/>
        <v>0.54638195781709842</v>
      </c>
    </row>
    <row r="1620" spans="1:8" x14ac:dyDescent="0.25">
      <c r="A1620" s="1" t="s">
        <v>7</v>
      </c>
      <c r="B1620" s="1" t="s">
        <v>10</v>
      </c>
      <c r="C1620" s="6">
        <v>27500</v>
      </c>
      <c r="D1620" s="6">
        <v>48258.68</v>
      </c>
      <c r="E1620" s="6">
        <v>45942.68</v>
      </c>
      <c r="F1620" s="6">
        <v>44440.68</v>
      </c>
      <c r="G1620" s="7" t="s">
        <v>22</v>
      </c>
      <c r="H1620" s="1">
        <f t="shared" si="25"/>
        <v>1.7548610909090909</v>
      </c>
    </row>
    <row r="1621" spans="1:8" x14ac:dyDescent="0.25">
      <c r="A1621" s="1" t="s">
        <v>7</v>
      </c>
      <c r="B1621" s="1" t="s">
        <v>10</v>
      </c>
      <c r="C1621" s="6">
        <v>6250</v>
      </c>
      <c r="D1621" s="6">
        <v>4850</v>
      </c>
      <c r="E1621" s="6">
        <v>4850</v>
      </c>
      <c r="F1621" s="6">
        <v>4850</v>
      </c>
      <c r="G1621" s="7" t="s">
        <v>22</v>
      </c>
      <c r="H1621" s="1">
        <f t="shared" si="25"/>
        <v>0.77600000000000002</v>
      </c>
    </row>
    <row r="1622" spans="1:8" x14ac:dyDescent="0.25">
      <c r="A1622" s="1" t="s">
        <v>7</v>
      </c>
      <c r="B1622" s="1" t="s">
        <v>10</v>
      </c>
      <c r="C1622" s="6">
        <v>1350000</v>
      </c>
      <c r="D1622" s="6">
        <v>0</v>
      </c>
      <c r="E1622" s="6">
        <v>0</v>
      </c>
      <c r="F1622" s="6">
        <v>0</v>
      </c>
      <c r="G1622" s="7" t="s">
        <v>22</v>
      </c>
      <c r="H1622" s="1">
        <f t="shared" si="25"/>
        <v>0</v>
      </c>
    </row>
    <row r="1623" spans="1:8" x14ac:dyDescent="0.25">
      <c r="A1623" s="1" t="s">
        <v>7</v>
      </c>
      <c r="B1623" s="1" t="s">
        <v>11</v>
      </c>
      <c r="C1623" s="6">
        <v>330250</v>
      </c>
      <c r="D1623" s="6">
        <v>8960.3150000000005</v>
      </c>
      <c r="E1623" s="6">
        <v>7199.5574999999999</v>
      </c>
      <c r="F1623" s="6">
        <v>7110.0574999999999</v>
      </c>
      <c r="G1623" s="7" t="s">
        <v>22</v>
      </c>
      <c r="H1623" s="1">
        <f t="shared" si="25"/>
        <v>2.713191521574565E-2</v>
      </c>
    </row>
    <row r="1624" spans="1:8" x14ac:dyDescent="0.25">
      <c r="A1624" s="1" t="s">
        <v>7</v>
      </c>
      <c r="B1624" s="1" t="s">
        <v>11</v>
      </c>
      <c r="C1624" s="6">
        <v>173910</v>
      </c>
      <c r="D1624" s="6">
        <v>120641.4</v>
      </c>
      <c r="E1624" s="6">
        <v>120641.4</v>
      </c>
      <c r="F1624" s="6">
        <v>120641.4</v>
      </c>
      <c r="G1624" s="7" t="s">
        <v>22</v>
      </c>
      <c r="H1624" s="1">
        <f t="shared" si="25"/>
        <v>0.6937001897533206</v>
      </c>
    </row>
    <row r="1625" spans="1:8" x14ac:dyDescent="0.25">
      <c r="A1625" s="1" t="s">
        <v>7</v>
      </c>
      <c r="B1625" s="1" t="s">
        <v>11</v>
      </c>
      <c r="C1625" s="6">
        <v>30250</v>
      </c>
      <c r="D1625" s="6">
        <v>17572.575000000001</v>
      </c>
      <c r="E1625" s="6">
        <v>8382.35</v>
      </c>
      <c r="F1625" s="6">
        <v>8382.35</v>
      </c>
      <c r="G1625" s="7" t="s">
        <v>22</v>
      </c>
      <c r="H1625" s="1">
        <f t="shared" si="25"/>
        <v>0.58091157024793394</v>
      </c>
    </row>
    <row r="1626" spans="1:8" x14ac:dyDescent="0.25">
      <c r="A1626" s="1" t="s">
        <v>7</v>
      </c>
      <c r="B1626" s="1" t="s">
        <v>11</v>
      </c>
      <c r="C1626" s="6">
        <v>25000</v>
      </c>
      <c r="D1626" s="6">
        <v>0</v>
      </c>
      <c r="E1626" s="6">
        <v>0</v>
      </c>
      <c r="F1626" s="6">
        <v>0</v>
      </c>
      <c r="G1626" s="7" t="s">
        <v>22</v>
      </c>
      <c r="H1626" s="1">
        <f t="shared" si="25"/>
        <v>0</v>
      </c>
    </row>
    <row r="1627" spans="1:8" x14ac:dyDescent="0.25">
      <c r="A1627" s="1" t="s">
        <v>7</v>
      </c>
      <c r="B1627" s="1" t="s">
        <v>11</v>
      </c>
      <c r="C1627" s="6">
        <v>8643678</v>
      </c>
      <c r="D1627" s="6">
        <v>16531775.859999999</v>
      </c>
      <c r="E1627" s="6">
        <v>16100946.91</v>
      </c>
      <c r="F1627" s="6">
        <v>15810987.23</v>
      </c>
      <c r="G1627" s="7" t="s">
        <v>22</v>
      </c>
      <c r="H1627" s="1">
        <f t="shared" si="25"/>
        <v>1.9125858066438846</v>
      </c>
    </row>
    <row r="1628" spans="1:8" x14ac:dyDescent="0.25">
      <c r="A1628" s="1" t="s">
        <v>7</v>
      </c>
      <c r="B1628" s="1" t="s">
        <v>11</v>
      </c>
      <c r="C1628" s="6">
        <v>8293608</v>
      </c>
      <c r="D1628" s="6">
        <v>9272922.9900000002</v>
      </c>
      <c r="E1628" s="6">
        <v>8955923.0899999999</v>
      </c>
      <c r="F1628" s="6">
        <v>8376808.3300000001</v>
      </c>
      <c r="G1628" s="7" t="s">
        <v>22</v>
      </c>
      <c r="H1628" s="1">
        <f t="shared" si="25"/>
        <v>1.1180806941924433</v>
      </c>
    </row>
    <row r="1629" spans="1:8" x14ac:dyDescent="0.25">
      <c r="A1629" s="1" t="s">
        <v>7</v>
      </c>
      <c r="B1629" s="1" t="s">
        <v>11</v>
      </c>
      <c r="C1629" s="6">
        <v>11563016</v>
      </c>
      <c r="D1629" s="6">
        <v>4901950.03</v>
      </c>
      <c r="E1629" s="6">
        <v>4536091.8899999997</v>
      </c>
      <c r="F1629" s="6">
        <v>3768423.02</v>
      </c>
      <c r="G1629" s="7" t="s">
        <v>22</v>
      </c>
      <c r="H1629" s="1">
        <f t="shared" si="25"/>
        <v>0.42393351613454483</v>
      </c>
    </row>
    <row r="1630" spans="1:8" x14ac:dyDescent="0.25">
      <c r="A1630" s="1" t="s">
        <v>7</v>
      </c>
      <c r="B1630" s="1" t="s">
        <v>11</v>
      </c>
      <c r="C1630" s="6">
        <v>306010</v>
      </c>
      <c r="D1630" s="6">
        <v>275283.69750000001</v>
      </c>
      <c r="E1630" s="6">
        <v>270525.7475</v>
      </c>
      <c r="F1630" s="6">
        <v>251454.3175</v>
      </c>
      <c r="G1630" s="7" t="s">
        <v>22</v>
      </c>
      <c r="H1630" s="1">
        <f t="shared" si="25"/>
        <v>0.89959052808731743</v>
      </c>
    </row>
    <row r="1631" spans="1:8" x14ac:dyDescent="0.25">
      <c r="A1631" s="1" t="s">
        <v>7</v>
      </c>
      <c r="B1631" s="1" t="s">
        <v>11</v>
      </c>
      <c r="C1631" s="6">
        <v>10349284</v>
      </c>
      <c r="D1631" s="6">
        <v>10578267.74</v>
      </c>
      <c r="E1631" s="6">
        <v>10135500.42</v>
      </c>
      <c r="F1631" s="6">
        <v>9206506.3900000006</v>
      </c>
      <c r="G1631" s="7" t="s">
        <v>22</v>
      </c>
      <c r="H1631" s="1">
        <f t="shared" si="25"/>
        <v>1.0221255634689317</v>
      </c>
    </row>
    <row r="1632" spans="1:8" x14ac:dyDescent="0.25">
      <c r="A1632" s="1" t="s">
        <v>7</v>
      </c>
      <c r="B1632" s="1" t="s">
        <v>11</v>
      </c>
      <c r="C1632" s="6">
        <v>167360</v>
      </c>
      <c r="D1632" s="6">
        <v>218193.58</v>
      </c>
      <c r="E1632" s="6">
        <v>87188.67</v>
      </c>
      <c r="F1632" s="6">
        <v>86419.68</v>
      </c>
      <c r="G1632" s="7" t="s">
        <v>22</v>
      </c>
      <c r="H1632" s="1">
        <f t="shared" si="25"/>
        <v>1.3037379302103249</v>
      </c>
    </row>
    <row r="1633" spans="1:8" x14ac:dyDescent="0.25">
      <c r="A1633" s="1" t="s">
        <v>7</v>
      </c>
      <c r="B1633" s="1" t="s">
        <v>11</v>
      </c>
      <c r="C1633" s="6">
        <v>1060000</v>
      </c>
      <c r="D1633" s="6">
        <v>978337.63</v>
      </c>
      <c r="E1633" s="6">
        <v>948979.63</v>
      </c>
      <c r="F1633" s="6">
        <v>885315.27</v>
      </c>
      <c r="G1633" s="7" t="s">
        <v>22</v>
      </c>
      <c r="H1633" s="1">
        <f t="shared" si="25"/>
        <v>0.92296002830188684</v>
      </c>
    </row>
    <row r="1634" spans="1:8" x14ac:dyDescent="0.25">
      <c r="A1634" s="1" t="s">
        <v>7</v>
      </c>
      <c r="B1634" s="1" t="s">
        <v>11</v>
      </c>
      <c r="C1634" s="6">
        <v>750</v>
      </c>
      <c r="D1634" s="6">
        <v>0</v>
      </c>
      <c r="E1634" s="6">
        <v>0</v>
      </c>
      <c r="F1634" s="6">
        <v>0</v>
      </c>
      <c r="G1634" s="7" t="s">
        <v>22</v>
      </c>
      <c r="H1634" s="1">
        <f t="shared" si="25"/>
        <v>0</v>
      </c>
    </row>
    <row r="1635" spans="1:8" x14ac:dyDescent="0.25">
      <c r="A1635" s="1" t="s">
        <v>7</v>
      </c>
      <c r="B1635" s="1" t="s">
        <v>11</v>
      </c>
      <c r="C1635" s="6">
        <v>55250</v>
      </c>
      <c r="D1635" s="6">
        <v>69931.157500000001</v>
      </c>
      <c r="E1635" s="6">
        <v>54241.908499999998</v>
      </c>
      <c r="F1635" s="6">
        <v>54241.908499999998</v>
      </c>
      <c r="G1635" s="7" t="s">
        <v>22</v>
      </c>
      <c r="H1635" s="1">
        <f t="shared" si="25"/>
        <v>1.2657223076923076</v>
      </c>
    </row>
    <row r="1636" spans="1:8" x14ac:dyDescent="0.25">
      <c r="A1636" s="1" t="s">
        <v>7</v>
      </c>
      <c r="B1636" s="1" t="s">
        <v>11</v>
      </c>
      <c r="C1636" s="6">
        <v>1250</v>
      </c>
      <c r="D1636" s="6">
        <v>0</v>
      </c>
      <c r="E1636" s="6">
        <v>0</v>
      </c>
      <c r="F1636" s="6">
        <v>0</v>
      </c>
      <c r="G1636" s="7" t="s">
        <v>22</v>
      </c>
      <c r="H1636" s="1">
        <f t="shared" si="25"/>
        <v>0</v>
      </c>
    </row>
    <row r="1637" spans="1:8" x14ac:dyDescent="0.25">
      <c r="A1637" s="1" t="s">
        <v>7</v>
      </c>
      <c r="B1637" s="1" t="s">
        <v>11</v>
      </c>
      <c r="C1637" s="6">
        <v>10420</v>
      </c>
      <c r="D1637" s="6">
        <v>10688.365</v>
      </c>
      <c r="E1637" s="6">
        <v>9298.31</v>
      </c>
      <c r="F1637" s="6">
        <v>9298.31</v>
      </c>
      <c r="G1637" s="7" t="s">
        <v>22</v>
      </c>
      <c r="H1637" s="1">
        <f t="shared" si="25"/>
        <v>1.0257547984644912</v>
      </c>
    </row>
    <row r="1638" spans="1:8" x14ac:dyDescent="0.25">
      <c r="A1638" s="1" t="s">
        <v>7</v>
      </c>
      <c r="B1638" s="1" t="s">
        <v>11</v>
      </c>
      <c r="C1638" s="6">
        <v>6000</v>
      </c>
      <c r="D1638" s="6">
        <v>0</v>
      </c>
      <c r="E1638" s="6">
        <v>0</v>
      </c>
      <c r="F1638" s="6">
        <v>0</v>
      </c>
      <c r="G1638" s="7" t="s">
        <v>22</v>
      </c>
      <c r="H1638" s="1">
        <f t="shared" si="25"/>
        <v>0</v>
      </c>
    </row>
    <row r="1639" spans="1:8" x14ac:dyDescent="0.25">
      <c r="A1639" s="1" t="s">
        <v>7</v>
      </c>
      <c r="B1639" s="1" t="s">
        <v>11</v>
      </c>
      <c r="C1639" s="6">
        <v>92337394</v>
      </c>
      <c r="D1639" s="6">
        <v>85129562.810000002</v>
      </c>
      <c r="E1639" s="6">
        <v>78296875.150000006</v>
      </c>
      <c r="F1639" s="6">
        <v>73620672.519999996</v>
      </c>
      <c r="G1639" s="7" t="s">
        <v>22</v>
      </c>
      <c r="H1639" s="1">
        <f t="shared" si="25"/>
        <v>0.92194027925457811</v>
      </c>
    </row>
    <row r="1640" spans="1:8" x14ac:dyDescent="0.25">
      <c r="A1640" s="1" t="s">
        <v>7</v>
      </c>
      <c r="B1640" s="1" t="s">
        <v>11</v>
      </c>
      <c r="C1640" s="6">
        <v>61400</v>
      </c>
      <c r="D1640" s="6">
        <v>0</v>
      </c>
      <c r="E1640" s="6">
        <v>0</v>
      </c>
      <c r="F1640" s="6">
        <v>0</v>
      </c>
      <c r="G1640" s="7" t="s">
        <v>22</v>
      </c>
      <c r="H1640" s="1">
        <f t="shared" si="25"/>
        <v>0</v>
      </c>
    </row>
    <row r="1641" spans="1:8" x14ac:dyDescent="0.25">
      <c r="A1641" s="1" t="s">
        <v>7</v>
      </c>
      <c r="B1641" s="1" t="s">
        <v>11</v>
      </c>
      <c r="C1641" s="6">
        <v>1282638</v>
      </c>
      <c r="D1641" s="6">
        <v>805950</v>
      </c>
      <c r="E1641" s="6">
        <v>671625</v>
      </c>
      <c r="F1641" s="6">
        <v>671625</v>
      </c>
      <c r="G1641" s="7" t="s">
        <v>22</v>
      </c>
      <c r="H1641" s="1">
        <f t="shared" si="25"/>
        <v>0.6283534403315667</v>
      </c>
    </row>
    <row r="1642" spans="1:8" x14ac:dyDescent="0.25">
      <c r="A1642" s="1" t="s">
        <v>7</v>
      </c>
      <c r="B1642" s="1" t="s">
        <v>11</v>
      </c>
      <c r="C1642" s="6">
        <v>5000</v>
      </c>
      <c r="D1642" s="6">
        <v>0</v>
      </c>
      <c r="E1642" s="6">
        <v>0</v>
      </c>
      <c r="F1642" s="6">
        <v>0</v>
      </c>
      <c r="G1642" s="7" t="s">
        <v>22</v>
      </c>
      <c r="H1642" s="1">
        <f t="shared" si="25"/>
        <v>0</v>
      </c>
    </row>
    <row r="1643" spans="1:8" x14ac:dyDescent="0.25">
      <c r="A1643" s="1" t="s">
        <v>7</v>
      </c>
      <c r="B1643" s="1" t="s">
        <v>11</v>
      </c>
      <c r="C1643" s="6">
        <v>24000</v>
      </c>
      <c r="D1643" s="6">
        <v>0</v>
      </c>
      <c r="E1643" s="6">
        <v>0</v>
      </c>
      <c r="F1643" s="6">
        <v>0</v>
      </c>
      <c r="G1643" s="7" t="s">
        <v>22</v>
      </c>
      <c r="H1643" s="1">
        <f t="shared" si="25"/>
        <v>0</v>
      </c>
    </row>
    <row r="1644" spans="1:8" x14ac:dyDescent="0.25">
      <c r="A1644" s="1" t="s">
        <v>7</v>
      </c>
      <c r="B1644" s="1" t="s">
        <v>11</v>
      </c>
      <c r="C1644" s="6">
        <v>240000</v>
      </c>
      <c r="D1644" s="6">
        <v>18000</v>
      </c>
      <c r="E1644" s="6">
        <v>18000</v>
      </c>
      <c r="F1644" s="6">
        <v>18000</v>
      </c>
      <c r="G1644" s="7" t="s">
        <v>22</v>
      </c>
      <c r="H1644" s="1">
        <f t="shared" si="25"/>
        <v>7.4999999999999997E-2</v>
      </c>
    </row>
    <row r="1645" spans="1:8" x14ac:dyDescent="0.25">
      <c r="A1645" s="1" t="s">
        <v>7</v>
      </c>
      <c r="B1645" s="1" t="s">
        <v>11</v>
      </c>
      <c r="C1645" s="6">
        <v>405500</v>
      </c>
      <c r="D1645" s="6">
        <v>0</v>
      </c>
      <c r="E1645" s="6">
        <v>0</v>
      </c>
      <c r="F1645" s="6">
        <v>0</v>
      </c>
      <c r="G1645" s="7" t="s">
        <v>22</v>
      </c>
      <c r="H1645" s="1">
        <f t="shared" si="25"/>
        <v>0</v>
      </c>
    </row>
    <row r="1646" spans="1:8" x14ac:dyDescent="0.25">
      <c r="A1646" s="1" t="s">
        <v>7</v>
      </c>
      <c r="B1646" s="1" t="s">
        <v>11</v>
      </c>
      <c r="C1646" s="6">
        <v>360687</v>
      </c>
      <c r="D1646" s="6">
        <v>16413.66</v>
      </c>
      <c r="E1646" s="6">
        <v>16413.66</v>
      </c>
      <c r="F1646" s="6">
        <v>16413.66</v>
      </c>
      <c r="G1646" s="7" t="s">
        <v>22</v>
      </c>
      <c r="H1646" s="1">
        <f t="shared" si="25"/>
        <v>4.5506658127406868E-2</v>
      </c>
    </row>
    <row r="1647" spans="1:8" x14ac:dyDescent="0.25">
      <c r="A1647" s="1" t="s">
        <v>7</v>
      </c>
      <c r="B1647" s="1" t="s">
        <v>11</v>
      </c>
      <c r="C1647" s="6">
        <v>4656000</v>
      </c>
      <c r="D1647" s="6">
        <v>0</v>
      </c>
      <c r="E1647" s="6">
        <v>0</v>
      </c>
      <c r="F1647" s="6">
        <v>0</v>
      </c>
      <c r="G1647" s="7" t="s">
        <v>22</v>
      </c>
      <c r="H1647" s="1">
        <f t="shared" si="25"/>
        <v>0</v>
      </c>
    </row>
    <row r="1648" spans="1:8" x14ac:dyDescent="0.25">
      <c r="A1648" s="1" t="s">
        <v>7</v>
      </c>
      <c r="B1648" s="1" t="s">
        <v>11</v>
      </c>
      <c r="C1648" s="6">
        <v>331950</v>
      </c>
      <c r="D1648" s="6">
        <v>276031.96999999997</v>
      </c>
      <c r="E1648" s="6">
        <v>0</v>
      </c>
      <c r="F1648" s="6">
        <v>0</v>
      </c>
      <c r="G1648" s="7" t="s">
        <v>22</v>
      </c>
      <c r="H1648" s="1">
        <f t="shared" si="25"/>
        <v>0.83154682934176827</v>
      </c>
    </row>
    <row r="1649" spans="1:8" x14ac:dyDescent="0.25">
      <c r="A1649" s="1" t="s">
        <v>7</v>
      </c>
      <c r="B1649" s="1" t="s">
        <v>11</v>
      </c>
      <c r="C1649" s="6">
        <v>2000</v>
      </c>
      <c r="D1649" s="6">
        <v>0</v>
      </c>
      <c r="E1649" s="6">
        <v>0</v>
      </c>
      <c r="F1649" s="6">
        <v>0</v>
      </c>
      <c r="G1649" s="7" t="s">
        <v>22</v>
      </c>
      <c r="H1649" s="1">
        <f t="shared" si="25"/>
        <v>0</v>
      </c>
    </row>
    <row r="1650" spans="1:8" x14ac:dyDescent="0.25">
      <c r="A1650" s="1" t="s">
        <v>7</v>
      </c>
      <c r="B1650" s="1" t="s">
        <v>11</v>
      </c>
      <c r="C1650" s="6">
        <v>10000</v>
      </c>
      <c r="D1650" s="6">
        <v>0</v>
      </c>
      <c r="E1650" s="6">
        <v>0</v>
      </c>
      <c r="F1650" s="6">
        <v>0</v>
      </c>
      <c r="G1650" s="7" t="s">
        <v>22</v>
      </c>
      <c r="H1650" s="1">
        <f t="shared" si="25"/>
        <v>0</v>
      </c>
    </row>
    <row r="1651" spans="1:8" x14ac:dyDescent="0.25">
      <c r="A1651" s="1" t="s">
        <v>7</v>
      </c>
      <c r="B1651" s="1" t="s">
        <v>11</v>
      </c>
      <c r="C1651" s="6">
        <v>10000</v>
      </c>
      <c r="D1651" s="6">
        <v>0</v>
      </c>
      <c r="E1651" s="6">
        <v>0</v>
      </c>
      <c r="F1651" s="6">
        <v>0</v>
      </c>
      <c r="G1651" s="7" t="s">
        <v>22</v>
      </c>
      <c r="H1651" s="1">
        <f t="shared" si="25"/>
        <v>0</v>
      </c>
    </row>
    <row r="1652" spans="1:8" x14ac:dyDescent="0.25">
      <c r="A1652" s="1" t="s">
        <v>7</v>
      </c>
      <c r="B1652" s="1" t="s">
        <v>11</v>
      </c>
      <c r="C1652" s="6">
        <v>5000</v>
      </c>
      <c r="D1652" s="6">
        <v>0</v>
      </c>
      <c r="E1652" s="6">
        <v>0</v>
      </c>
      <c r="F1652" s="6">
        <v>0</v>
      </c>
      <c r="G1652" s="7" t="s">
        <v>22</v>
      </c>
      <c r="H1652" s="1">
        <f t="shared" si="25"/>
        <v>0</v>
      </c>
    </row>
    <row r="1653" spans="1:8" x14ac:dyDescent="0.25">
      <c r="A1653" s="1" t="s">
        <v>7</v>
      </c>
      <c r="B1653" s="1" t="s">
        <v>11</v>
      </c>
      <c r="C1653" s="6">
        <v>5000</v>
      </c>
      <c r="D1653" s="6">
        <v>0</v>
      </c>
      <c r="E1653" s="6">
        <v>0</v>
      </c>
      <c r="F1653" s="6">
        <v>0</v>
      </c>
      <c r="G1653" s="7" t="s">
        <v>22</v>
      </c>
      <c r="H1653" s="1">
        <f t="shared" si="25"/>
        <v>0</v>
      </c>
    </row>
    <row r="1654" spans="1:8" x14ac:dyDescent="0.25">
      <c r="A1654" s="1" t="s">
        <v>7</v>
      </c>
      <c r="B1654" s="1" t="s">
        <v>11</v>
      </c>
      <c r="C1654" s="6">
        <v>120000</v>
      </c>
      <c r="D1654" s="6">
        <v>0</v>
      </c>
      <c r="E1654" s="6">
        <v>0</v>
      </c>
      <c r="F1654" s="6">
        <v>0</v>
      </c>
      <c r="G1654" s="7" t="s">
        <v>22</v>
      </c>
      <c r="H1654" s="1">
        <f t="shared" si="25"/>
        <v>0</v>
      </c>
    </row>
    <row r="1655" spans="1:8" x14ac:dyDescent="0.25">
      <c r="A1655" s="1" t="s">
        <v>7</v>
      </c>
      <c r="B1655" s="1" t="s">
        <v>11</v>
      </c>
      <c r="C1655" s="6">
        <v>17082300</v>
      </c>
      <c r="D1655" s="6">
        <v>18034646.52</v>
      </c>
      <c r="E1655" s="6">
        <v>17959323.829999998</v>
      </c>
      <c r="F1655" s="6">
        <v>16633107.869999999</v>
      </c>
      <c r="G1655" s="7" t="s">
        <v>22</v>
      </c>
      <c r="H1655" s="1">
        <f t="shared" si="25"/>
        <v>1.0557504855903479</v>
      </c>
    </row>
    <row r="1656" spans="1:8" x14ac:dyDescent="0.25">
      <c r="A1656" s="1" t="s">
        <v>7</v>
      </c>
      <c r="B1656" s="1" t="s">
        <v>11</v>
      </c>
      <c r="C1656" s="6">
        <v>28211</v>
      </c>
      <c r="D1656" s="6">
        <v>0</v>
      </c>
      <c r="E1656" s="6">
        <v>0</v>
      </c>
      <c r="F1656" s="6">
        <v>0</v>
      </c>
      <c r="G1656" s="7" t="s">
        <v>22</v>
      </c>
      <c r="H1656" s="1">
        <f t="shared" si="25"/>
        <v>0</v>
      </c>
    </row>
    <row r="1657" spans="1:8" x14ac:dyDescent="0.25">
      <c r="A1657" s="1" t="s">
        <v>7</v>
      </c>
      <c r="B1657" s="1" t="s">
        <v>11</v>
      </c>
      <c r="C1657" s="6">
        <v>1000000</v>
      </c>
      <c r="D1657" s="6">
        <v>0</v>
      </c>
      <c r="E1657" s="6">
        <v>0</v>
      </c>
      <c r="F1657" s="6">
        <v>0</v>
      </c>
      <c r="G1657" s="7" t="s">
        <v>22</v>
      </c>
      <c r="H1657" s="1">
        <f t="shared" si="25"/>
        <v>0</v>
      </c>
    </row>
    <row r="1658" spans="1:8" x14ac:dyDescent="0.25">
      <c r="A1658" s="1" t="s">
        <v>7</v>
      </c>
      <c r="B1658" s="1" t="s">
        <v>11</v>
      </c>
      <c r="C1658" s="6">
        <v>60000</v>
      </c>
      <c r="D1658" s="6">
        <v>0</v>
      </c>
      <c r="E1658" s="6">
        <v>0</v>
      </c>
      <c r="F1658" s="6">
        <v>0</v>
      </c>
      <c r="G1658" s="7" t="s">
        <v>22</v>
      </c>
      <c r="H1658" s="1">
        <f t="shared" si="25"/>
        <v>0</v>
      </c>
    </row>
    <row r="1659" spans="1:8" x14ac:dyDescent="0.25">
      <c r="A1659" s="1" t="s">
        <v>7</v>
      </c>
      <c r="B1659" s="1" t="s">
        <v>11</v>
      </c>
      <c r="C1659" s="6">
        <v>6953398</v>
      </c>
      <c r="D1659" s="6">
        <v>220630.37</v>
      </c>
      <c r="E1659" s="6">
        <v>214186.03</v>
      </c>
      <c r="F1659" s="6">
        <v>214186.03</v>
      </c>
      <c r="G1659" s="7" t="s">
        <v>22</v>
      </c>
      <c r="H1659" s="1">
        <f t="shared" si="25"/>
        <v>3.1729863586120052E-2</v>
      </c>
    </row>
    <row r="1660" spans="1:8" x14ac:dyDescent="0.25">
      <c r="A1660" s="1" t="s">
        <v>7</v>
      </c>
      <c r="B1660" s="1" t="s">
        <v>11</v>
      </c>
      <c r="C1660" s="6">
        <v>950000</v>
      </c>
      <c r="D1660" s="6">
        <v>0</v>
      </c>
      <c r="E1660" s="6">
        <v>0</v>
      </c>
      <c r="F1660" s="6">
        <v>0</v>
      </c>
      <c r="G1660" s="7" t="s">
        <v>22</v>
      </c>
      <c r="H1660" s="1">
        <f t="shared" si="25"/>
        <v>0</v>
      </c>
    </row>
    <row r="1661" spans="1:8" x14ac:dyDescent="0.25">
      <c r="A1661" s="1" t="s">
        <v>7</v>
      </c>
      <c r="B1661" s="1" t="s">
        <v>11</v>
      </c>
      <c r="C1661" s="6">
        <v>1413000</v>
      </c>
      <c r="D1661" s="6">
        <v>1938370.5600000001</v>
      </c>
      <c r="E1661" s="6">
        <v>1938370.5600000001</v>
      </c>
      <c r="F1661" s="6">
        <v>1938370.5600000001</v>
      </c>
      <c r="G1661" s="7" t="s">
        <v>22</v>
      </c>
      <c r="H1661" s="1">
        <f t="shared" si="25"/>
        <v>1.371812144373673</v>
      </c>
    </row>
    <row r="1662" spans="1:8" x14ac:dyDescent="0.25">
      <c r="A1662" s="1" t="s">
        <v>7</v>
      </c>
      <c r="B1662" s="1" t="s">
        <v>11</v>
      </c>
      <c r="C1662" s="6">
        <v>200000</v>
      </c>
      <c r="D1662" s="6">
        <v>0</v>
      </c>
      <c r="E1662" s="6">
        <v>0</v>
      </c>
      <c r="F1662" s="6">
        <v>0</v>
      </c>
      <c r="G1662" s="7" t="s">
        <v>22</v>
      </c>
      <c r="H1662" s="1">
        <f t="shared" si="25"/>
        <v>0</v>
      </c>
    </row>
    <row r="1663" spans="1:8" x14ac:dyDescent="0.25">
      <c r="A1663" s="1" t="s">
        <v>7</v>
      </c>
      <c r="B1663" s="1" t="s">
        <v>11</v>
      </c>
      <c r="C1663" s="6">
        <v>47109916</v>
      </c>
      <c r="D1663" s="6">
        <v>43211179.82</v>
      </c>
      <c r="E1663" s="6">
        <v>43211179.82</v>
      </c>
      <c r="F1663" s="6">
        <v>43211179.82</v>
      </c>
      <c r="G1663" s="7" t="s">
        <v>22</v>
      </c>
      <c r="H1663" s="1">
        <f t="shared" si="25"/>
        <v>0.91724170809389682</v>
      </c>
    </row>
    <row r="1664" spans="1:8" x14ac:dyDescent="0.25">
      <c r="A1664" s="1" t="s">
        <v>7</v>
      </c>
      <c r="B1664" s="1" t="s">
        <v>11</v>
      </c>
      <c r="C1664" s="6">
        <v>6321259</v>
      </c>
      <c r="D1664" s="6">
        <v>15969340.07</v>
      </c>
      <c r="E1664" s="6">
        <v>6563545.9100000001</v>
      </c>
      <c r="F1664" s="6">
        <v>6563545.9100000001</v>
      </c>
      <c r="G1664" s="7" t="s">
        <v>22</v>
      </c>
      <c r="H1664" s="1">
        <f t="shared" si="25"/>
        <v>2.5262910553103426</v>
      </c>
    </row>
    <row r="1665" spans="1:8" x14ac:dyDescent="0.25">
      <c r="A1665" s="1" t="s">
        <v>7</v>
      </c>
      <c r="B1665" s="1" t="s">
        <v>11</v>
      </c>
      <c r="C1665" s="6">
        <v>73691546</v>
      </c>
      <c r="D1665" s="6">
        <v>107071029.36</v>
      </c>
      <c r="E1665" s="6">
        <v>107039056.47</v>
      </c>
      <c r="F1665" s="6">
        <v>107039056.47</v>
      </c>
      <c r="G1665" s="7" t="s">
        <v>22</v>
      </c>
      <c r="H1665" s="1">
        <f t="shared" si="25"/>
        <v>1.4529621804921828</v>
      </c>
    </row>
    <row r="1666" spans="1:8" x14ac:dyDescent="0.25">
      <c r="A1666" s="1" t="s">
        <v>7</v>
      </c>
      <c r="B1666" s="1" t="s">
        <v>11</v>
      </c>
      <c r="C1666" s="6">
        <v>6346830</v>
      </c>
      <c r="D1666" s="6">
        <v>3405151.5</v>
      </c>
      <c r="E1666" s="6">
        <v>3405151.5</v>
      </c>
      <c r="F1666" s="6">
        <v>3405151.5</v>
      </c>
      <c r="G1666" s="7" t="s">
        <v>22</v>
      </c>
      <c r="H1666" s="1">
        <f t="shared" ref="H1666:H1729" si="26">IF(OR(ISNA($D1666),ISNA($C1666),$C1666=0),0,$D1666/$C1666)</f>
        <v>0.53651216434030846</v>
      </c>
    </row>
    <row r="1667" spans="1:8" x14ac:dyDescent="0.25">
      <c r="A1667" s="1" t="s">
        <v>7</v>
      </c>
      <c r="B1667" s="1" t="s">
        <v>11</v>
      </c>
      <c r="C1667" s="6">
        <v>1047427625</v>
      </c>
      <c r="D1667" s="6">
        <v>981019732.48000002</v>
      </c>
      <c r="E1667" s="6">
        <v>926550447.74000001</v>
      </c>
      <c r="F1667" s="6">
        <v>849623066.83000004</v>
      </c>
      <c r="G1667" s="7" t="s">
        <v>22</v>
      </c>
      <c r="H1667" s="1">
        <f t="shared" si="26"/>
        <v>0.93659906332907727</v>
      </c>
    </row>
    <row r="1668" spans="1:8" x14ac:dyDescent="0.25">
      <c r="A1668" s="1" t="s">
        <v>7</v>
      </c>
      <c r="B1668" s="1" t="s">
        <v>11</v>
      </c>
      <c r="C1668" s="6">
        <v>10000</v>
      </c>
      <c r="D1668" s="6">
        <v>0</v>
      </c>
      <c r="E1668" s="6">
        <v>0</v>
      </c>
      <c r="F1668" s="6">
        <v>0</v>
      </c>
      <c r="G1668" s="7" t="s">
        <v>22</v>
      </c>
      <c r="H1668" s="1">
        <f t="shared" si="26"/>
        <v>0</v>
      </c>
    </row>
    <row r="1669" spans="1:8" x14ac:dyDescent="0.25">
      <c r="A1669" s="1" t="s">
        <v>7</v>
      </c>
      <c r="B1669" s="1" t="s">
        <v>11</v>
      </c>
      <c r="C1669" s="6">
        <v>22307629</v>
      </c>
      <c r="D1669" s="6">
        <v>10740130.51</v>
      </c>
      <c r="E1669" s="6">
        <v>10740130.51</v>
      </c>
      <c r="F1669" s="6">
        <v>10740130.51</v>
      </c>
      <c r="G1669" s="7" t="s">
        <v>22</v>
      </c>
      <c r="H1669" s="1">
        <f t="shared" si="26"/>
        <v>0.48145549264782911</v>
      </c>
    </row>
    <row r="1670" spans="1:8" x14ac:dyDescent="0.25">
      <c r="A1670" s="1" t="s">
        <v>7</v>
      </c>
      <c r="B1670" s="1" t="s">
        <v>11</v>
      </c>
      <c r="C1670" s="6">
        <v>2389598</v>
      </c>
      <c r="D1670" s="6">
        <v>0</v>
      </c>
      <c r="E1670" s="6">
        <v>0</v>
      </c>
      <c r="F1670" s="6">
        <v>0</v>
      </c>
      <c r="G1670" s="7" t="s">
        <v>22</v>
      </c>
      <c r="H1670" s="1">
        <f t="shared" si="26"/>
        <v>0</v>
      </c>
    </row>
    <row r="1671" spans="1:8" x14ac:dyDescent="0.25">
      <c r="A1671" s="1" t="s">
        <v>7</v>
      </c>
      <c r="B1671" s="1" t="s">
        <v>11</v>
      </c>
      <c r="C1671" s="6">
        <v>350000</v>
      </c>
      <c r="D1671" s="6">
        <v>340000</v>
      </c>
      <c r="E1671" s="6">
        <v>340000</v>
      </c>
      <c r="F1671" s="6">
        <v>340000</v>
      </c>
      <c r="G1671" s="7" t="s">
        <v>22</v>
      </c>
      <c r="H1671" s="1">
        <f t="shared" si="26"/>
        <v>0.97142857142857142</v>
      </c>
    </row>
    <row r="1672" spans="1:8" x14ac:dyDescent="0.25">
      <c r="A1672" s="1" t="s">
        <v>7</v>
      </c>
      <c r="B1672" s="1" t="s">
        <v>11</v>
      </c>
      <c r="C1672" s="6">
        <v>5615308</v>
      </c>
      <c r="D1672" s="6">
        <v>5876500</v>
      </c>
      <c r="E1672" s="6">
        <v>5876500</v>
      </c>
      <c r="F1672" s="6">
        <v>5342900</v>
      </c>
      <c r="G1672" s="7" t="s">
        <v>22</v>
      </c>
      <c r="H1672" s="1">
        <f t="shared" si="26"/>
        <v>1.0465142784687858</v>
      </c>
    </row>
    <row r="1673" spans="1:8" x14ac:dyDescent="0.25">
      <c r="A1673" s="1" t="s">
        <v>7</v>
      </c>
      <c r="B1673" s="1" t="s">
        <v>11</v>
      </c>
      <c r="C1673" s="6">
        <v>35000</v>
      </c>
      <c r="D1673" s="6">
        <v>0</v>
      </c>
      <c r="E1673" s="6">
        <v>0</v>
      </c>
      <c r="F1673" s="6">
        <v>0</v>
      </c>
      <c r="G1673" s="7" t="s">
        <v>22</v>
      </c>
      <c r="H1673" s="1">
        <f t="shared" si="26"/>
        <v>0</v>
      </c>
    </row>
    <row r="1674" spans="1:8" x14ac:dyDescent="0.25">
      <c r="A1674" s="1" t="s">
        <v>7</v>
      </c>
      <c r="B1674" s="1" t="s">
        <v>11</v>
      </c>
      <c r="C1674" s="6">
        <v>1430228</v>
      </c>
      <c r="D1674" s="6">
        <v>1212872.05</v>
      </c>
      <c r="E1674" s="6">
        <v>1212872.05</v>
      </c>
      <c r="F1674" s="6">
        <v>1212872.05</v>
      </c>
      <c r="G1674" s="7" t="s">
        <v>22</v>
      </c>
      <c r="H1674" s="1">
        <f t="shared" si="26"/>
        <v>0.84802706281795637</v>
      </c>
    </row>
    <row r="1675" spans="1:8" x14ac:dyDescent="0.25">
      <c r="A1675" s="1" t="s">
        <v>7</v>
      </c>
      <c r="B1675" s="1" t="s">
        <v>11</v>
      </c>
      <c r="C1675" s="6">
        <v>3920970</v>
      </c>
      <c r="D1675" s="6">
        <v>1835846.84</v>
      </c>
      <c r="E1675" s="6">
        <v>1835846.84</v>
      </c>
      <c r="F1675" s="6">
        <v>1835846.84</v>
      </c>
      <c r="G1675" s="7" t="s">
        <v>22</v>
      </c>
      <c r="H1675" s="1">
        <f t="shared" si="26"/>
        <v>0.46821241682542841</v>
      </c>
    </row>
    <row r="1676" spans="1:8" x14ac:dyDescent="0.25">
      <c r="A1676" s="1" t="s">
        <v>7</v>
      </c>
      <c r="B1676" s="1" t="s">
        <v>11</v>
      </c>
      <c r="C1676" s="6">
        <v>425000</v>
      </c>
      <c r="D1676" s="6">
        <v>0</v>
      </c>
      <c r="E1676" s="6">
        <v>0</v>
      </c>
      <c r="F1676" s="6">
        <v>0</v>
      </c>
      <c r="G1676" s="7" t="s">
        <v>22</v>
      </c>
      <c r="H1676" s="1">
        <f t="shared" si="26"/>
        <v>0</v>
      </c>
    </row>
    <row r="1677" spans="1:8" x14ac:dyDescent="0.25">
      <c r="A1677" s="1" t="s">
        <v>7</v>
      </c>
      <c r="B1677" s="1" t="s">
        <v>11</v>
      </c>
      <c r="C1677" s="6">
        <v>186000</v>
      </c>
      <c r="D1677" s="6">
        <v>0</v>
      </c>
      <c r="E1677" s="6">
        <v>0</v>
      </c>
      <c r="F1677" s="6">
        <v>0</v>
      </c>
      <c r="G1677" s="7" t="s">
        <v>22</v>
      </c>
      <c r="H1677" s="1">
        <f t="shared" si="26"/>
        <v>0</v>
      </c>
    </row>
    <row r="1678" spans="1:8" x14ac:dyDescent="0.25">
      <c r="A1678" s="1" t="s">
        <v>7</v>
      </c>
      <c r="B1678" s="1" t="s">
        <v>11</v>
      </c>
      <c r="C1678" s="6">
        <v>563650</v>
      </c>
      <c r="D1678" s="6">
        <v>0</v>
      </c>
      <c r="E1678" s="6">
        <v>0</v>
      </c>
      <c r="F1678" s="6">
        <v>0</v>
      </c>
      <c r="G1678" s="7" t="s">
        <v>22</v>
      </c>
      <c r="H1678" s="1">
        <f t="shared" si="26"/>
        <v>0</v>
      </c>
    </row>
    <row r="1679" spans="1:8" x14ac:dyDescent="0.25">
      <c r="A1679" s="1" t="s">
        <v>7</v>
      </c>
      <c r="B1679" s="1" t="s">
        <v>11</v>
      </c>
      <c r="C1679" s="6">
        <v>35000</v>
      </c>
      <c r="D1679" s="6">
        <v>0</v>
      </c>
      <c r="E1679" s="6">
        <v>0</v>
      </c>
      <c r="F1679" s="6">
        <v>0</v>
      </c>
      <c r="G1679" s="7" t="s">
        <v>22</v>
      </c>
      <c r="H1679" s="1">
        <f t="shared" si="26"/>
        <v>0</v>
      </c>
    </row>
    <row r="1680" spans="1:8" x14ac:dyDescent="0.25">
      <c r="A1680" s="1" t="s">
        <v>7</v>
      </c>
      <c r="B1680" s="1" t="s">
        <v>11</v>
      </c>
      <c r="C1680" s="6">
        <v>4068000</v>
      </c>
      <c r="D1680" s="6">
        <v>102252.95</v>
      </c>
      <c r="E1680" s="6">
        <v>101075.25</v>
      </c>
      <c r="F1680" s="6">
        <v>78699.09</v>
      </c>
      <c r="G1680" s="7" t="s">
        <v>22</v>
      </c>
      <c r="H1680" s="1">
        <f t="shared" si="26"/>
        <v>2.5135926745329398E-2</v>
      </c>
    </row>
    <row r="1681" spans="1:8" x14ac:dyDescent="0.25">
      <c r="A1681" s="1" t="s">
        <v>7</v>
      </c>
      <c r="B1681" s="1" t="s">
        <v>11</v>
      </c>
      <c r="C1681" s="6">
        <v>10341827</v>
      </c>
      <c r="D1681" s="6">
        <v>35948.910000000003</v>
      </c>
      <c r="E1681" s="6">
        <v>34711.910000000003</v>
      </c>
      <c r="F1681" s="6">
        <v>34711.910000000003</v>
      </c>
      <c r="G1681" s="7" t="s">
        <v>22</v>
      </c>
      <c r="H1681" s="1">
        <f t="shared" si="26"/>
        <v>3.4760695571488484E-3</v>
      </c>
    </row>
    <row r="1682" spans="1:8" x14ac:dyDescent="0.25">
      <c r="A1682" s="1" t="s">
        <v>7</v>
      </c>
      <c r="B1682" s="1" t="s">
        <v>11</v>
      </c>
      <c r="C1682" s="6">
        <v>590363</v>
      </c>
      <c r="D1682" s="6">
        <v>0</v>
      </c>
      <c r="E1682" s="6">
        <v>0</v>
      </c>
      <c r="F1682" s="6">
        <v>0</v>
      </c>
      <c r="G1682" s="7" t="s">
        <v>22</v>
      </c>
      <c r="H1682" s="1">
        <f t="shared" si="26"/>
        <v>0</v>
      </c>
    </row>
    <row r="1683" spans="1:8" x14ac:dyDescent="0.25">
      <c r="A1683" s="1" t="s">
        <v>7</v>
      </c>
      <c r="B1683" s="1" t="s">
        <v>11</v>
      </c>
      <c r="C1683" s="6">
        <v>850000</v>
      </c>
      <c r="D1683" s="6">
        <v>965917.11</v>
      </c>
      <c r="E1683" s="6">
        <v>910125.36</v>
      </c>
      <c r="F1683" s="6">
        <v>910125.36</v>
      </c>
      <c r="G1683" s="7" t="s">
        <v>22</v>
      </c>
      <c r="H1683" s="1">
        <f t="shared" si="26"/>
        <v>1.1363730705882353</v>
      </c>
    </row>
    <row r="1684" spans="1:8" x14ac:dyDescent="0.25">
      <c r="A1684" s="1" t="s">
        <v>7</v>
      </c>
      <c r="B1684" s="1" t="s">
        <v>11</v>
      </c>
      <c r="C1684" s="6">
        <v>12936916</v>
      </c>
      <c r="D1684" s="6">
        <v>12150072.33</v>
      </c>
      <c r="E1684" s="6">
        <v>12150072.33</v>
      </c>
      <c r="F1684" s="6">
        <v>12150072.33</v>
      </c>
      <c r="G1684" s="7" t="s">
        <v>22</v>
      </c>
      <c r="H1684" s="1">
        <f t="shared" si="26"/>
        <v>0.93917842011187214</v>
      </c>
    </row>
    <row r="1685" spans="1:8" x14ac:dyDescent="0.25">
      <c r="A1685" s="1" t="s">
        <v>7</v>
      </c>
      <c r="B1685" s="1" t="s">
        <v>11</v>
      </c>
      <c r="C1685" s="6">
        <v>1859000</v>
      </c>
      <c r="D1685" s="6">
        <v>5378955.71</v>
      </c>
      <c r="E1685" s="6">
        <v>3854322.13</v>
      </c>
      <c r="F1685" s="6">
        <v>3854322.13</v>
      </c>
      <c r="G1685" s="7" t="s">
        <v>22</v>
      </c>
      <c r="H1685" s="1">
        <f t="shared" si="26"/>
        <v>2.8934672996234534</v>
      </c>
    </row>
    <row r="1686" spans="1:8" x14ac:dyDescent="0.25">
      <c r="A1686" s="1" t="s">
        <v>7</v>
      </c>
      <c r="B1686" s="1" t="s">
        <v>11</v>
      </c>
      <c r="C1686" s="6">
        <v>13587547</v>
      </c>
      <c r="D1686" s="6">
        <v>2683136.89</v>
      </c>
      <c r="E1686" s="6">
        <v>2683136.89</v>
      </c>
      <c r="F1686" s="6">
        <v>2683136.89</v>
      </c>
      <c r="G1686" s="7" t="s">
        <v>22</v>
      </c>
      <c r="H1686" s="1">
        <f t="shared" si="26"/>
        <v>0.19747029320303364</v>
      </c>
    </row>
    <row r="1687" spans="1:8" x14ac:dyDescent="0.25">
      <c r="A1687" s="1" t="s">
        <v>7</v>
      </c>
      <c r="B1687" s="1" t="s">
        <v>11</v>
      </c>
      <c r="C1687" s="6">
        <v>1254600</v>
      </c>
      <c r="D1687" s="6">
        <v>2540444.9700000002</v>
      </c>
      <c r="E1687" s="6">
        <v>2540444.9700000002</v>
      </c>
      <c r="F1687" s="6">
        <v>2540444.9700000002</v>
      </c>
      <c r="G1687" s="7" t="s">
        <v>22</v>
      </c>
      <c r="H1687" s="1">
        <f t="shared" si="26"/>
        <v>2.0249043280726928</v>
      </c>
    </row>
    <row r="1688" spans="1:8" x14ac:dyDescent="0.25">
      <c r="A1688" s="1" t="s">
        <v>7</v>
      </c>
      <c r="B1688" s="1" t="s">
        <v>11</v>
      </c>
      <c r="C1688" s="6">
        <v>355982638</v>
      </c>
      <c r="D1688" s="6">
        <v>485565288.31999999</v>
      </c>
      <c r="E1688" s="6">
        <v>458657057.95999998</v>
      </c>
      <c r="F1688" s="6">
        <v>425130966.32999998</v>
      </c>
      <c r="G1688" s="7" t="s">
        <v>22</v>
      </c>
      <c r="H1688" s="1">
        <f t="shared" si="26"/>
        <v>1.3640139616022509</v>
      </c>
    </row>
    <row r="1689" spans="1:8" x14ac:dyDescent="0.25">
      <c r="A1689" s="1" t="s">
        <v>7</v>
      </c>
      <c r="B1689" s="1" t="s">
        <v>11</v>
      </c>
      <c r="C1689" s="6">
        <v>8000</v>
      </c>
      <c r="D1689" s="6">
        <v>0</v>
      </c>
      <c r="E1689" s="6">
        <v>0</v>
      </c>
      <c r="F1689" s="6">
        <v>0</v>
      </c>
      <c r="G1689" s="7" t="s">
        <v>22</v>
      </c>
      <c r="H1689" s="1">
        <f t="shared" si="26"/>
        <v>0</v>
      </c>
    </row>
    <row r="1690" spans="1:8" x14ac:dyDescent="0.25">
      <c r="A1690" s="1" t="s">
        <v>7</v>
      </c>
      <c r="B1690" s="1" t="s">
        <v>11</v>
      </c>
      <c r="C1690" s="6">
        <v>165631175</v>
      </c>
      <c r="D1690" s="6">
        <v>184374986.74000001</v>
      </c>
      <c r="E1690" s="6">
        <v>182927939.69</v>
      </c>
      <c r="F1690" s="6">
        <v>182927939.69</v>
      </c>
      <c r="G1690" s="7" t="s">
        <v>22</v>
      </c>
      <c r="H1690" s="1">
        <f t="shared" si="26"/>
        <v>1.1131659649217607</v>
      </c>
    </row>
    <row r="1691" spans="1:8" x14ac:dyDescent="0.25">
      <c r="A1691" s="1" t="s">
        <v>7</v>
      </c>
      <c r="B1691" s="1" t="s">
        <v>11</v>
      </c>
      <c r="C1691" s="6">
        <v>42207</v>
      </c>
      <c r="D1691" s="6">
        <v>48890</v>
      </c>
      <c r="E1691" s="6">
        <v>48890</v>
      </c>
      <c r="F1691" s="6">
        <v>48890</v>
      </c>
      <c r="G1691" s="7" t="s">
        <v>22</v>
      </c>
      <c r="H1691" s="1">
        <f t="shared" si="26"/>
        <v>1.1583386642026203</v>
      </c>
    </row>
    <row r="1692" spans="1:8" x14ac:dyDescent="0.25">
      <c r="A1692" s="1" t="s">
        <v>7</v>
      </c>
      <c r="B1692" s="1" t="s">
        <v>11</v>
      </c>
      <c r="C1692" s="6">
        <v>13000</v>
      </c>
      <c r="D1692" s="6">
        <v>0</v>
      </c>
      <c r="E1692" s="6">
        <v>0</v>
      </c>
      <c r="F1692" s="6">
        <v>0</v>
      </c>
      <c r="G1692" s="7" t="s">
        <v>22</v>
      </c>
      <c r="H1692" s="1">
        <f t="shared" si="26"/>
        <v>0</v>
      </c>
    </row>
    <row r="1693" spans="1:8" x14ac:dyDescent="0.25">
      <c r="A1693" s="1" t="s">
        <v>7</v>
      </c>
      <c r="B1693" s="1" t="s">
        <v>11</v>
      </c>
      <c r="C1693" s="6">
        <v>22697</v>
      </c>
      <c r="D1693" s="6">
        <v>52442.014999999999</v>
      </c>
      <c r="E1693" s="6">
        <v>52442.014999999999</v>
      </c>
      <c r="F1693" s="6">
        <v>52442.014999999999</v>
      </c>
      <c r="G1693" s="7" t="s">
        <v>22</v>
      </c>
      <c r="H1693" s="1">
        <f t="shared" si="26"/>
        <v>2.3105262810063003</v>
      </c>
    </row>
    <row r="1694" spans="1:8" x14ac:dyDescent="0.25">
      <c r="A1694" s="1" t="s">
        <v>7</v>
      </c>
      <c r="B1694" s="1" t="s">
        <v>11</v>
      </c>
      <c r="C1694" s="6">
        <v>8662</v>
      </c>
      <c r="D1694" s="6">
        <v>3927</v>
      </c>
      <c r="E1694" s="6">
        <v>3927</v>
      </c>
      <c r="F1694" s="6">
        <v>3927</v>
      </c>
      <c r="G1694" s="7" t="s">
        <v>22</v>
      </c>
      <c r="H1694" s="1">
        <f t="shared" si="26"/>
        <v>0.45335950126991459</v>
      </c>
    </row>
    <row r="1695" spans="1:8" x14ac:dyDescent="0.25">
      <c r="A1695" s="1" t="s">
        <v>7</v>
      </c>
      <c r="B1695" s="1" t="s">
        <v>11</v>
      </c>
      <c r="C1695" s="6">
        <v>6268628</v>
      </c>
      <c r="D1695" s="6">
        <v>5564988.5274999999</v>
      </c>
      <c r="E1695" s="6">
        <v>5510378.9550000001</v>
      </c>
      <c r="F1695" s="6">
        <v>4998872.8949999996</v>
      </c>
      <c r="G1695" s="7" t="s">
        <v>22</v>
      </c>
      <c r="H1695" s="1">
        <f t="shared" si="26"/>
        <v>0.88775223661381719</v>
      </c>
    </row>
    <row r="1696" spans="1:8" x14ac:dyDescent="0.25">
      <c r="A1696" s="1" t="s">
        <v>7</v>
      </c>
      <c r="B1696" s="1" t="s">
        <v>11</v>
      </c>
      <c r="C1696" s="6">
        <v>254140</v>
      </c>
      <c r="D1696" s="6">
        <v>189410</v>
      </c>
      <c r="E1696" s="6">
        <v>189410</v>
      </c>
      <c r="F1696" s="6">
        <v>189410</v>
      </c>
      <c r="G1696" s="7" t="s">
        <v>22</v>
      </c>
      <c r="H1696" s="1">
        <f t="shared" si="26"/>
        <v>0.74529786731722669</v>
      </c>
    </row>
    <row r="1697" spans="1:8" x14ac:dyDescent="0.25">
      <c r="A1697" s="1" t="s">
        <v>7</v>
      </c>
      <c r="B1697" s="1" t="s">
        <v>11</v>
      </c>
      <c r="C1697" s="6">
        <v>156000</v>
      </c>
      <c r="D1697" s="6">
        <v>36593.300000000003</v>
      </c>
      <c r="E1697" s="6">
        <v>0</v>
      </c>
      <c r="F1697" s="6">
        <v>0</v>
      </c>
      <c r="G1697" s="7" t="s">
        <v>22</v>
      </c>
      <c r="H1697" s="1">
        <f t="shared" si="26"/>
        <v>0.23457243589743593</v>
      </c>
    </row>
    <row r="1698" spans="1:8" x14ac:dyDescent="0.25">
      <c r="A1698" s="1" t="s">
        <v>7</v>
      </c>
      <c r="B1698" s="1" t="s">
        <v>11</v>
      </c>
      <c r="C1698" s="6">
        <v>651576</v>
      </c>
      <c r="D1698" s="6">
        <v>805535.14</v>
      </c>
      <c r="E1698" s="6">
        <v>805535.14</v>
      </c>
      <c r="F1698" s="6">
        <v>805535.14</v>
      </c>
      <c r="G1698" s="7" t="s">
        <v>22</v>
      </c>
      <c r="H1698" s="1">
        <f t="shared" si="26"/>
        <v>1.2362873095387183</v>
      </c>
    </row>
    <row r="1699" spans="1:8" x14ac:dyDescent="0.25">
      <c r="A1699" s="1" t="s">
        <v>7</v>
      </c>
      <c r="B1699" s="1" t="s">
        <v>11</v>
      </c>
      <c r="C1699" s="6">
        <v>39124</v>
      </c>
      <c r="D1699" s="6">
        <v>6281.99</v>
      </c>
      <c r="E1699" s="6">
        <v>6281.99</v>
      </c>
      <c r="F1699" s="6">
        <v>6281.99</v>
      </c>
      <c r="G1699" s="7" t="s">
        <v>22</v>
      </c>
      <c r="H1699" s="1">
        <f t="shared" si="26"/>
        <v>0.16056614865555668</v>
      </c>
    </row>
    <row r="1700" spans="1:8" x14ac:dyDescent="0.25">
      <c r="A1700" s="1" t="s">
        <v>7</v>
      </c>
      <c r="B1700" s="1" t="s">
        <v>11</v>
      </c>
      <c r="C1700" s="6">
        <v>12790349</v>
      </c>
      <c r="D1700" s="6">
        <v>0</v>
      </c>
      <c r="E1700" s="6">
        <v>0</v>
      </c>
      <c r="F1700" s="6">
        <v>0</v>
      </c>
      <c r="G1700" s="7" t="s">
        <v>22</v>
      </c>
      <c r="H1700" s="1">
        <f t="shared" si="26"/>
        <v>0</v>
      </c>
    </row>
    <row r="1701" spans="1:8" x14ac:dyDescent="0.25">
      <c r="A1701" s="1" t="s">
        <v>7</v>
      </c>
      <c r="B1701" s="1" t="s">
        <v>11</v>
      </c>
      <c r="C1701" s="6">
        <v>8848045</v>
      </c>
      <c r="D1701" s="6">
        <v>4263260.12</v>
      </c>
      <c r="E1701" s="6">
        <v>3770905.77</v>
      </c>
      <c r="F1701" s="6">
        <v>3770905.77</v>
      </c>
      <c r="G1701" s="7" t="s">
        <v>22</v>
      </c>
      <c r="H1701" s="1">
        <f t="shared" si="26"/>
        <v>0.48183074566189482</v>
      </c>
    </row>
    <row r="1702" spans="1:8" x14ac:dyDescent="0.25">
      <c r="A1702" s="1" t="s">
        <v>7</v>
      </c>
      <c r="B1702" s="1" t="s">
        <v>11</v>
      </c>
      <c r="C1702" s="6">
        <v>14895340</v>
      </c>
      <c r="D1702" s="6">
        <v>6828166.6900000004</v>
      </c>
      <c r="E1702" s="6">
        <v>6231164.6500000004</v>
      </c>
      <c r="F1702" s="6">
        <v>6061840.9199999999</v>
      </c>
      <c r="G1702" s="7" t="s">
        <v>22</v>
      </c>
      <c r="H1702" s="1">
        <f t="shared" si="26"/>
        <v>0.45840958917352675</v>
      </c>
    </row>
    <row r="1703" spans="1:8" x14ac:dyDescent="0.25">
      <c r="A1703" s="1" t="s">
        <v>7</v>
      </c>
      <c r="B1703" s="1" t="s">
        <v>11</v>
      </c>
      <c r="C1703" s="6">
        <v>120000</v>
      </c>
      <c r="D1703" s="6">
        <v>347000</v>
      </c>
      <c r="E1703" s="6">
        <v>306000</v>
      </c>
      <c r="F1703" s="6">
        <v>306000</v>
      </c>
      <c r="G1703" s="7" t="s">
        <v>22</v>
      </c>
      <c r="H1703" s="1">
        <f t="shared" si="26"/>
        <v>2.8916666666666666</v>
      </c>
    </row>
    <row r="1704" spans="1:8" x14ac:dyDescent="0.25">
      <c r="A1704" s="1" t="s">
        <v>7</v>
      </c>
      <c r="B1704" s="1" t="s">
        <v>11</v>
      </c>
      <c r="C1704" s="6">
        <v>1000000</v>
      </c>
      <c r="D1704" s="6">
        <v>0</v>
      </c>
      <c r="E1704" s="6">
        <v>0</v>
      </c>
      <c r="F1704" s="6">
        <v>0</v>
      </c>
      <c r="G1704" s="7" t="s">
        <v>22</v>
      </c>
      <c r="H1704" s="1">
        <f t="shared" si="26"/>
        <v>0</v>
      </c>
    </row>
    <row r="1705" spans="1:8" x14ac:dyDescent="0.25">
      <c r="A1705" s="1" t="s">
        <v>7</v>
      </c>
      <c r="B1705" s="1" t="s">
        <v>11</v>
      </c>
      <c r="C1705" s="6">
        <v>14840</v>
      </c>
      <c r="D1705" s="6">
        <v>1429.9949999999999</v>
      </c>
      <c r="E1705" s="6">
        <v>520</v>
      </c>
      <c r="F1705" s="6">
        <v>520</v>
      </c>
      <c r="G1705" s="7" t="s">
        <v>22</v>
      </c>
      <c r="H1705" s="1">
        <f t="shared" si="26"/>
        <v>9.6360849056603762E-2</v>
      </c>
    </row>
    <row r="1706" spans="1:8" x14ac:dyDescent="0.25">
      <c r="A1706" s="1" t="s">
        <v>7</v>
      </c>
      <c r="B1706" s="1" t="s">
        <v>11</v>
      </c>
      <c r="C1706" s="6">
        <v>42885</v>
      </c>
      <c r="D1706" s="6">
        <v>0</v>
      </c>
      <c r="E1706" s="6">
        <v>0</v>
      </c>
      <c r="F1706" s="6">
        <v>0</v>
      </c>
      <c r="G1706" s="7" t="s">
        <v>22</v>
      </c>
      <c r="H1706" s="1">
        <f t="shared" si="26"/>
        <v>0</v>
      </c>
    </row>
    <row r="1707" spans="1:8" x14ac:dyDescent="0.25">
      <c r="A1707" s="1" t="s">
        <v>7</v>
      </c>
      <c r="B1707" s="1" t="s">
        <v>11</v>
      </c>
      <c r="C1707" s="6">
        <v>20048</v>
      </c>
      <c r="D1707" s="6">
        <v>0</v>
      </c>
      <c r="E1707" s="6">
        <v>0</v>
      </c>
      <c r="F1707" s="6">
        <v>0</v>
      </c>
      <c r="G1707" s="7" t="s">
        <v>22</v>
      </c>
      <c r="H1707" s="1">
        <f t="shared" si="26"/>
        <v>0</v>
      </c>
    </row>
    <row r="1708" spans="1:8" x14ac:dyDescent="0.25">
      <c r="A1708" s="1" t="s">
        <v>7</v>
      </c>
      <c r="B1708" s="1" t="s">
        <v>11</v>
      </c>
      <c r="C1708" s="6">
        <v>2826</v>
      </c>
      <c r="D1708" s="6">
        <v>0</v>
      </c>
      <c r="E1708" s="6">
        <v>0</v>
      </c>
      <c r="F1708" s="6">
        <v>0</v>
      </c>
      <c r="G1708" s="7" t="s">
        <v>22</v>
      </c>
      <c r="H1708" s="1">
        <f t="shared" si="26"/>
        <v>0</v>
      </c>
    </row>
    <row r="1709" spans="1:8" x14ac:dyDescent="0.25">
      <c r="A1709" s="1" t="s">
        <v>7</v>
      </c>
      <c r="B1709" s="1" t="s">
        <v>11</v>
      </c>
      <c r="C1709" s="6">
        <v>1060</v>
      </c>
      <c r="D1709" s="6">
        <v>0</v>
      </c>
      <c r="E1709" s="6">
        <v>0</v>
      </c>
      <c r="F1709" s="6">
        <v>0</v>
      </c>
      <c r="G1709" s="7" t="s">
        <v>22</v>
      </c>
      <c r="H1709" s="1">
        <f t="shared" si="26"/>
        <v>0</v>
      </c>
    </row>
    <row r="1710" spans="1:8" x14ac:dyDescent="0.25">
      <c r="A1710" s="1" t="s">
        <v>7</v>
      </c>
      <c r="B1710" s="1" t="s">
        <v>11</v>
      </c>
      <c r="C1710" s="6">
        <v>2500</v>
      </c>
      <c r="D1710" s="6">
        <v>0</v>
      </c>
      <c r="E1710" s="6">
        <v>0</v>
      </c>
      <c r="F1710" s="6">
        <v>0</v>
      </c>
      <c r="G1710" s="7" t="s">
        <v>22</v>
      </c>
      <c r="H1710" s="1">
        <f t="shared" si="26"/>
        <v>0</v>
      </c>
    </row>
    <row r="1711" spans="1:8" x14ac:dyDescent="0.25">
      <c r="A1711" s="1" t="s">
        <v>7</v>
      </c>
      <c r="B1711" s="1" t="s">
        <v>11</v>
      </c>
      <c r="C1711" s="6">
        <v>125</v>
      </c>
      <c r="D1711" s="6">
        <v>0</v>
      </c>
      <c r="E1711" s="6">
        <v>0</v>
      </c>
      <c r="F1711" s="6">
        <v>0</v>
      </c>
      <c r="G1711" s="7" t="s">
        <v>22</v>
      </c>
      <c r="H1711" s="1">
        <f t="shared" si="26"/>
        <v>0</v>
      </c>
    </row>
    <row r="1712" spans="1:8" x14ac:dyDescent="0.25">
      <c r="A1712" s="1" t="s">
        <v>7</v>
      </c>
      <c r="B1712" s="1" t="s">
        <v>11</v>
      </c>
      <c r="C1712" s="6">
        <v>182000</v>
      </c>
      <c r="D1712" s="6">
        <v>11710</v>
      </c>
      <c r="E1712" s="6">
        <v>11710</v>
      </c>
      <c r="F1712" s="6">
        <v>11710</v>
      </c>
      <c r="G1712" s="7" t="s">
        <v>22</v>
      </c>
      <c r="H1712" s="1">
        <f t="shared" si="26"/>
        <v>6.4340659340659342E-2</v>
      </c>
    </row>
    <row r="1713" spans="1:8" x14ac:dyDescent="0.25">
      <c r="A1713" s="1" t="s">
        <v>7</v>
      </c>
      <c r="B1713" s="1" t="s">
        <v>11</v>
      </c>
      <c r="C1713" s="6">
        <v>850000</v>
      </c>
      <c r="D1713" s="6">
        <v>672282</v>
      </c>
      <c r="E1713" s="6">
        <v>615175.6</v>
      </c>
      <c r="F1713" s="6">
        <v>615175.6</v>
      </c>
      <c r="G1713" s="7" t="s">
        <v>22</v>
      </c>
      <c r="H1713" s="1">
        <f t="shared" si="26"/>
        <v>0.79091999999999996</v>
      </c>
    </row>
    <row r="1714" spans="1:8" x14ac:dyDescent="0.25">
      <c r="A1714" s="1" t="s">
        <v>16</v>
      </c>
      <c r="B1714" s="1" t="s">
        <v>17</v>
      </c>
      <c r="C1714" s="6">
        <v>810</v>
      </c>
      <c r="D1714" s="6">
        <v>0</v>
      </c>
      <c r="E1714" s="6">
        <v>0</v>
      </c>
      <c r="F1714" s="6">
        <v>0</v>
      </c>
      <c r="G1714" s="7" t="s">
        <v>22</v>
      </c>
      <c r="H1714" s="1">
        <f t="shared" si="26"/>
        <v>0</v>
      </c>
    </row>
    <row r="1715" spans="1:8" x14ac:dyDescent="0.25">
      <c r="A1715" s="1" t="s">
        <v>16</v>
      </c>
      <c r="B1715" s="1" t="s">
        <v>17</v>
      </c>
      <c r="C1715" s="6">
        <v>419542</v>
      </c>
      <c r="D1715" s="6">
        <v>312876.91249999998</v>
      </c>
      <c r="E1715" s="6">
        <v>312876.91249999998</v>
      </c>
      <c r="F1715" s="6">
        <v>288023.59000000003</v>
      </c>
      <c r="G1715" s="7" t="s">
        <v>22</v>
      </c>
      <c r="H1715" s="1">
        <f t="shared" si="26"/>
        <v>0.74575826138980117</v>
      </c>
    </row>
    <row r="1716" spans="1:8" x14ac:dyDescent="0.25">
      <c r="A1716" s="1" t="s">
        <v>16</v>
      </c>
      <c r="B1716" s="1" t="s">
        <v>17</v>
      </c>
      <c r="C1716" s="6">
        <v>750</v>
      </c>
      <c r="D1716" s="6">
        <v>0</v>
      </c>
      <c r="E1716" s="6">
        <v>0</v>
      </c>
      <c r="F1716" s="6">
        <v>0</v>
      </c>
      <c r="G1716" s="7" t="s">
        <v>22</v>
      </c>
      <c r="H1716" s="1">
        <f t="shared" si="26"/>
        <v>0</v>
      </c>
    </row>
    <row r="1717" spans="1:8" x14ac:dyDescent="0.25">
      <c r="A1717" s="1" t="s">
        <v>16</v>
      </c>
      <c r="B1717" s="1" t="s">
        <v>17</v>
      </c>
      <c r="C1717" s="6">
        <v>375</v>
      </c>
      <c r="D1717" s="6">
        <v>0</v>
      </c>
      <c r="E1717" s="6">
        <v>0</v>
      </c>
      <c r="F1717" s="6">
        <v>0</v>
      </c>
      <c r="G1717" s="7" t="s">
        <v>22</v>
      </c>
      <c r="H1717" s="1">
        <f t="shared" si="26"/>
        <v>0</v>
      </c>
    </row>
    <row r="1718" spans="1:8" x14ac:dyDescent="0.25">
      <c r="A1718" s="1" t="s">
        <v>16</v>
      </c>
      <c r="B1718" s="1" t="s">
        <v>17</v>
      </c>
      <c r="C1718" s="6">
        <v>514</v>
      </c>
      <c r="D1718" s="6">
        <v>0</v>
      </c>
      <c r="E1718" s="6">
        <v>0</v>
      </c>
      <c r="F1718" s="6">
        <v>0</v>
      </c>
      <c r="G1718" s="7" t="s">
        <v>22</v>
      </c>
      <c r="H1718" s="1">
        <f t="shared" si="26"/>
        <v>0</v>
      </c>
    </row>
    <row r="1719" spans="1:8" x14ac:dyDescent="0.25">
      <c r="A1719" s="1" t="s">
        <v>16</v>
      </c>
      <c r="B1719" s="1" t="s">
        <v>17</v>
      </c>
      <c r="C1719" s="6">
        <v>80595</v>
      </c>
      <c r="D1719" s="6">
        <v>13067.01</v>
      </c>
      <c r="E1719" s="6">
        <v>12692.385</v>
      </c>
      <c r="F1719" s="6">
        <v>12692.385</v>
      </c>
      <c r="G1719" s="7" t="s">
        <v>22</v>
      </c>
      <c r="H1719" s="1">
        <f t="shared" si="26"/>
        <v>0.16213176996091569</v>
      </c>
    </row>
    <row r="1720" spans="1:8" x14ac:dyDescent="0.25">
      <c r="A1720" s="1" t="s">
        <v>16</v>
      </c>
      <c r="B1720" s="1" t="s">
        <v>17</v>
      </c>
      <c r="C1720" s="6">
        <v>9201256</v>
      </c>
      <c r="D1720" s="6">
        <v>10463943.7425</v>
      </c>
      <c r="E1720" s="6">
        <v>10095168.595000001</v>
      </c>
      <c r="F1720" s="6">
        <v>9403207.1850000005</v>
      </c>
      <c r="G1720" s="7" t="s">
        <v>22</v>
      </c>
      <c r="H1720" s="1">
        <f t="shared" si="26"/>
        <v>1.1372299327939577</v>
      </c>
    </row>
    <row r="1721" spans="1:8" x14ac:dyDescent="0.25">
      <c r="A1721" s="1" t="s">
        <v>16</v>
      </c>
      <c r="B1721" s="1" t="s">
        <v>17</v>
      </c>
      <c r="C1721" s="6">
        <v>265145</v>
      </c>
      <c r="D1721" s="6">
        <v>257422.59</v>
      </c>
      <c r="E1721" s="6">
        <v>257422.59</v>
      </c>
      <c r="F1721" s="6">
        <v>257422.59</v>
      </c>
      <c r="G1721" s="7" t="s">
        <v>22</v>
      </c>
      <c r="H1721" s="1">
        <f t="shared" si="26"/>
        <v>0.97087476663712302</v>
      </c>
    </row>
    <row r="1722" spans="1:8" x14ac:dyDescent="0.25">
      <c r="A1722" s="1" t="s">
        <v>16</v>
      </c>
      <c r="B1722" s="1" t="s">
        <v>17</v>
      </c>
      <c r="C1722" s="6">
        <v>480825</v>
      </c>
      <c r="D1722" s="6">
        <v>511994.11499999999</v>
      </c>
      <c r="E1722" s="6">
        <v>511994.11499999999</v>
      </c>
      <c r="F1722" s="6">
        <v>511994.11499999999</v>
      </c>
      <c r="G1722" s="7" t="s">
        <v>22</v>
      </c>
      <c r="H1722" s="1">
        <f t="shared" si="26"/>
        <v>1.0648242395882077</v>
      </c>
    </row>
    <row r="1723" spans="1:8" x14ac:dyDescent="0.25">
      <c r="A1723" s="1" t="s">
        <v>16</v>
      </c>
      <c r="B1723" s="1" t="s">
        <v>17</v>
      </c>
      <c r="C1723" s="6">
        <v>4003732</v>
      </c>
      <c r="D1723" s="6">
        <v>3669995.23</v>
      </c>
      <c r="E1723" s="6">
        <v>3669995.23</v>
      </c>
      <c r="F1723" s="6">
        <v>3669995.23</v>
      </c>
      <c r="G1723" s="7" t="s">
        <v>22</v>
      </c>
      <c r="H1723" s="1">
        <f t="shared" si="26"/>
        <v>0.916643579040755</v>
      </c>
    </row>
    <row r="1724" spans="1:8" x14ac:dyDescent="0.25">
      <c r="A1724" s="1" t="s">
        <v>16</v>
      </c>
      <c r="B1724" s="1" t="s">
        <v>17</v>
      </c>
      <c r="C1724" s="6">
        <v>26575330</v>
      </c>
      <c r="D1724" s="6">
        <v>25357187.379999999</v>
      </c>
      <c r="E1724" s="6">
        <v>25327236.120000001</v>
      </c>
      <c r="F1724" s="6">
        <v>25265085.539999999</v>
      </c>
      <c r="G1724" s="7" t="s">
        <v>22</v>
      </c>
      <c r="H1724" s="1">
        <f t="shared" si="26"/>
        <v>0.95416265310722381</v>
      </c>
    </row>
    <row r="1725" spans="1:8" x14ac:dyDescent="0.25">
      <c r="A1725" s="1" t="s">
        <v>16</v>
      </c>
      <c r="B1725" s="1" t="s">
        <v>17</v>
      </c>
      <c r="C1725" s="6">
        <v>742000</v>
      </c>
      <c r="D1725" s="6">
        <v>566358.38</v>
      </c>
      <c r="E1725" s="6">
        <v>563655.6</v>
      </c>
      <c r="F1725" s="6">
        <v>514527.28</v>
      </c>
      <c r="G1725" s="7" t="s">
        <v>22</v>
      </c>
      <c r="H1725" s="1">
        <f t="shared" si="26"/>
        <v>0.76328622641509436</v>
      </c>
    </row>
    <row r="1726" spans="1:8" x14ac:dyDescent="0.25">
      <c r="A1726" s="1" t="s">
        <v>16</v>
      </c>
      <c r="B1726" s="1" t="s">
        <v>17</v>
      </c>
      <c r="C1726" s="6">
        <v>258100</v>
      </c>
      <c r="D1726" s="6">
        <v>100231.47</v>
      </c>
      <c r="E1726" s="6">
        <v>96101.17</v>
      </c>
      <c r="F1726" s="6">
        <v>96101.17</v>
      </c>
      <c r="G1726" s="7" t="s">
        <v>22</v>
      </c>
      <c r="H1726" s="1">
        <f t="shared" si="26"/>
        <v>0.38834354901201085</v>
      </c>
    </row>
    <row r="1727" spans="1:8" x14ac:dyDescent="0.25">
      <c r="A1727" s="1" t="s">
        <v>16</v>
      </c>
      <c r="B1727" s="1" t="s">
        <v>17</v>
      </c>
      <c r="C1727" s="6">
        <v>1000</v>
      </c>
      <c r="D1727" s="6">
        <v>0</v>
      </c>
      <c r="E1727" s="6">
        <v>0</v>
      </c>
      <c r="F1727" s="6">
        <v>0</v>
      </c>
      <c r="G1727" s="7" t="s">
        <v>22</v>
      </c>
      <c r="H1727" s="1">
        <f t="shared" si="26"/>
        <v>0</v>
      </c>
    </row>
    <row r="1728" spans="1:8" x14ac:dyDescent="0.25">
      <c r="A1728" s="1" t="s">
        <v>16</v>
      </c>
      <c r="B1728" s="1" t="s">
        <v>17</v>
      </c>
      <c r="C1728" s="6">
        <v>764396</v>
      </c>
      <c r="D1728" s="6">
        <v>786057.31</v>
      </c>
      <c r="E1728" s="6">
        <v>781169.51</v>
      </c>
      <c r="F1728" s="6">
        <v>781169.51</v>
      </c>
      <c r="G1728" s="7" t="s">
        <v>22</v>
      </c>
      <c r="H1728" s="1">
        <f t="shared" si="26"/>
        <v>1.0283378118148185</v>
      </c>
    </row>
    <row r="1729" spans="1:8" x14ac:dyDescent="0.25">
      <c r="A1729" s="1" t="s">
        <v>16</v>
      </c>
      <c r="B1729" s="1" t="s">
        <v>17</v>
      </c>
      <c r="C1729" s="6">
        <v>792641</v>
      </c>
      <c r="D1729" s="6">
        <v>642832.34</v>
      </c>
      <c r="E1729" s="6">
        <v>586539.35</v>
      </c>
      <c r="F1729" s="6">
        <v>583626.85</v>
      </c>
      <c r="G1729" s="7" t="s">
        <v>22</v>
      </c>
      <c r="H1729" s="1">
        <f t="shared" si="26"/>
        <v>0.81100061692493819</v>
      </c>
    </row>
    <row r="1730" spans="1:8" x14ac:dyDescent="0.25">
      <c r="A1730" s="1" t="s">
        <v>16</v>
      </c>
      <c r="B1730" s="1" t="s">
        <v>17</v>
      </c>
      <c r="C1730" s="6">
        <v>5331413</v>
      </c>
      <c r="D1730" s="6">
        <v>3101890.26</v>
      </c>
      <c r="E1730" s="6">
        <v>2841084.74</v>
      </c>
      <c r="F1730" s="6">
        <v>2596969.15</v>
      </c>
      <c r="G1730" s="7" t="s">
        <v>22</v>
      </c>
      <c r="H1730" s="1">
        <f t="shared" ref="H1730:H1793" si="27">IF(OR(ISNA($D1730),ISNA($C1730),$C1730=0),0,$D1730/$C1730)</f>
        <v>0.58181391312209352</v>
      </c>
    </row>
    <row r="1731" spans="1:8" x14ac:dyDescent="0.25">
      <c r="A1731" s="1" t="s">
        <v>16</v>
      </c>
      <c r="B1731" s="1" t="s">
        <v>17</v>
      </c>
      <c r="C1731" s="6">
        <v>533825</v>
      </c>
      <c r="D1731" s="6">
        <v>0</v>
      </c>
      <c r="E1731" s="6">
        <v>0</v>
      </c>
      <c r="F1731" s="6">
        <v>0</v>
      </c>
      <c r="G1731" s="7" t="s">
        <v>22</v>
      </c>
      <c r="H1731" s="1">
        <f t="shared" si="27"/>
        <v>0</v>
      </c>
    </row>
    <row r="1732" spans="1:8" x14ac:dyDescent="0.25">
      <c r="A1732" s="1" t="s">
        <v>16</v>
      </c>
      <c r="B1732" s="1" t="s">
        <v>17</v>
      </c>
      <c r="C1732" s="6">
        <v>960884</v>
      </c>
      <c r="D1732" s="6">
        <v>331737</v>
      </c>
      <c r="E1732" s="6">
        <v>331737</v>
      </c>
      <c r="F1732" s="6">
        <v>262521</v>
      </c>
      <c r="G1732" s="7" t="s">
        <v>22</v>
      </c>
      <c r="H1732" s="1">
        <f t="shared" si="27"/>
        <v>0.34524146515084025</v>
      </c>
    </row>
    <row r="1733" spans="1:8" x14ac:dyDescent="0.25">
      <c r="A1733" s="1" t="s">
        <v>16</v>
      </c>
      <c r="B1733" s="1" t="s">
        <v>17</v>
      </c>
      <c r="C1733" s="6">
        <v>854120</v>
      </c>
      <c r="D1733" s="6">
        <v>197596.7</v>
      </c>
      <c r="E1733" s="6">
        <v>56620.7</v>
      </c>
      <c r="F1733" s="6">
        <v>4320</v>
      </c>
      <c r="G1733" s="7" t="s">
        <v>22</v>
      </c>
      <c r="H1733" s="1">
        <f t="shared" si="27"/>
        <v>0.23134536130754463</v>
      </c>
    </row>
    <row r="1734" spans="1:8" x14ac:dyDescent="0.25">
      <c r="A1734" s="1" t="s">
        <v>16</v>
      </c>
      <c r="B1734" s="1" t="s">
        <v>17</v>
      </c>
      <c r="C1734" s="6">
        <v>2135297</v>
      </c>
      <c r="D1734" s="6">
        <v>450398.64</v>
      </c>
      <c r="E1734" s="6">
        <v>450398.64</v>
      </c>
      <c r="F1734" s="6">
        <v>450398.64</v>
      </c>
      <c r="G1734" s="7" t="s">
        <v>22</v>
      </c>
      <c r="H1734" s="1">
        <f t="shared" si="27"/>
        <v>0.21093020783525665</v>
      </c>
    </row>
    <row r="1735" spans="1:8" x14ac:dyDescent="0.25">
      <c r="A1735" s="1" t="s">
        <v>16</v>
      </c>
      <c r="B1735" s="1" t="s">
        <v>17</v>
      </c>
      <c r="C1735" s="6">
        <v>5800</v>
      </c>
      <c r="D1735" s="6">
        <v>0</v>
      </c>
      <c r="E1735" s="6">
        <v>0</v>
      </c>
      <c r="F1735" s="6">
        <v>0</v>
      </c>
      <c r="G1735" s="7" t="s">
        <v>22</v>
      </c>
      <c r="H1735" s="1">
        <f t="shared" si="27"/>
        <v>0</v>
      </c>
    </row>
    <row r="1736" spans="1:8" x14ac:dyDescent="0.25">
      <c r="A1736" s="1" t="s">
        <v>16</v>
      </c>
      <c r="B1736" s="1" t="s">
        <v>17</v>
      </c>
      <c r="C1736" s="6">
        <v>925865</v>
      </c>
      <c r="D1736" s="6">
        <v>44818.63</v>
      </c>
      <c r="E1736" s="6">
        <v>25965.29</v>
      </c>
      <c r="F1736" s="6">
        <v>20472.060000000001</v>
      </c>
      <c r="G1736" s="7" t="s">
        <v>22</v>
      </c>
      <c r="H1736" s="1">
        <f t="shared" si="27"/>
        <v>4.8407305600708522E-2</v>
      </c>
    </row>
    <row r="1737" spans="1:8" x14ac:dyDescent="0.25">
      <c r="A1737" s="1" t="s">
        <v>16</v>
      </c>
      <c r="B1737" s="1" t="s">
        <v>17</v>
      </c>
      <c r="C1737" s="6">
        <v>672284</v>
      </c>
      <c r="D1737" s="6">
        <v>151733.18</v>
      </c>
      <c r="E1737" s="6">
        <v>136733.18</v>
      </c>
      <c r="F1737" s="6">
        <v>136733.18</v>
      </c>
      <c r="G1737" s="7" t="s">
        <v>22</v>
      </c>
      <c r="H1737" s="1">
        <f t="shared" si="27"/>
        <v>0.22569803832903951</v>
      </c>
    </row>
    <row r="1738" spans="1:8" x14ac:dyDescent="0.25">
      <c r="A1738" s="1" t="s">
        <v>16</v>
      </c>
      <c r="B1738" s="1" t="s">
        <v>17</v>
      </c>
      <c r="C1738" s="6">
        <v>128119</v>
      </c>
      <c r="D1738" s="6">
        <v>0</v>
      </c>
      <c r="E1738" s="6">
        <v>0</v>
      </c>
      <c r="F1738" s="6">
        <v>0</v>
      </c>
      <c r="G1738" s="7" t="s">
        <v>22</v>
      </c>
      <c r="H1738" s="1">
        <f t="shared" si="27"/>
        <v>0</v>
      </c>
    </row>
    <row r="1739" spans="1:8" x14ac:dyDescent="0.25">
      <c r="A1739" s="1" t="s">
        <v>16</v>
      </c>
      <c r="B1739" s="1" t="s">
        <v>17</v>
      </c>
      <c r="C1739" s="6">
        <v>565854</v>
      </c>
      <c r="D1739" s="6">
        <v>10015</v>
      </c>
      <c r="E1739" s="6">
        <v>10015</v>
      </c>
      <c r="F1739" s="6">
        <v>10015</v>
      </c>
      <c r="G1739" s="7" t="s">
        <v>22</v>
      </c>
      <c r="H1739" s="1">
        <f t="shared" si="27"/>
        <v>1.7698911733415333E-2</v>
      </c>
    </row>
    <row r="1740" spans="1:8" x14ac:dyDescent="0.25">
      <c r="A1740" s="1" t="s">
        <v>16</v>
      </c>
      <c r="B1740" s="1" t="s">
        <v>17</v>
      </c>
      <c r="C1740" s="6">
        <v>85412</v>
      </c>
      <c r="D1740" s="6">
        <v>0</v>
      </c>
      <c r="E1740" s="6">
        <v>0</v>
      </c>
      <c r="F1740" s="6">
        <v>0</v>
      </c>
      <c r="G1740" s="7" t="s">
        <v>22</v>
      </c>
      <c r="H1740" s="1">
        <f t="shared" si="27"/>
        <v>0</v>
      </c>
    </row>
    <row r="1741" spans="1:8" x14ac:dyDescent="0.25">
      <c r="A1741" s="1" t="s">
        <v>16</v>
      </c>
      <c r="B1741" s="1" t="s">
        <v>17</v>
      </c>
      <c r="C1741" s="6">
        <v>1537515</v>
      </c>
      <c r="D1741" s="6">
        <v>467016.65749999997</v>
      </c>
      <c r="E1741" s="6">
        <v>285151.7525</v>
      </c>
      <c r="F1741" s="6">
        <v>247834.77499999999</v>
      </c>
      <c r="G1741" s="7" t="s">
        <v>22</v>
      </c>
      <c r="H1741" s="1">
        <f t="shared" si="27"/>
        <v>0.30374770815244079</v>
      </c>
    </row>
    <row r="1742" spans="1:8" x14ac:dyDescent="0.25">
      <c r="A1742" s="1" t="s">
        <v>16</v>
      </c>
      <c r="B1742" s="1" t="s">
        <v>17</v>
      </c>
      <c r="C1742" s="6">
        <v>8030131</v>
      </c>
      <c r="D1742" s="6">
        <v>7446828.6475</v>
      </c>
      <c r="E1742" s="6">
        <v>7118435.2949999999</v>
      </c>
      <c r="F1742" s="6">
        <v>6786858.1349999998</v>
      </c>
      <c r="G1742" s="7" t="s">
        <v>22</v>
      </c>
      <c r="H1742" s="1">
        <f t="shared" si="27"/>
        <v>0.92736079243290048</v>
      </c>
    </row>
    <row r="1743" spans="1:8" x14ac:dyDescent="0.25">
      <c r="A1743" s="1" t="s">
        <v>16</v>
      </c>
      <c r="B1743" s="1" t="s">
        <v>17</v>
      </c>
      <c r="C1743" s="6">
        <v>1409925</v>
      </c>
      <c r="D1743" s="6">
        <v>1506853.4550000001</v>
      </c>
      <c r="E1743" s="6">
        <v>1502698.7075</v>
      </c>
      <c r="F1743" s="6">
        <v>1418093.0024999999</v>
      </c>
      <c r="G1743" s="7" t="s">
        <v>22</v>
      </c>
      <c r="H1743" s="1">
        <f t="shared" si="27"/>
        <v>1.0687472418745678</v>
      </c>
    </row>
    <row r="1744" spans="1:8" x14ac:dyDescent="0.25">
      <c r="A1744" s="1" t="s">
        <v>16</v>
      </c>
      <c r="B1744" s="1" t="s">
        <v>17</v>
      </c>
      <c r="C1744" s="6">
        <v>0</v>
      </c>
      <c r="D1744" s="6">
        <v>1476725.8</v>
      </c>
      <c r="E1744" s="6">
        <v>1475172.97</v>
      </c>
      <c r="F1744" s="6">
        <v>1475172.97</v>
      </c>
      <c r="G1744" s="7" t="s">
        <v>22</v>
      </c>
      <c r="H1744" s="1">
        <f t="shared" si="27"/>
        <v>0</v>
      </c>
    </row>
    <row r="1745" spans="1:8" x14ac:dyDescent="0.25">
      <c r="A1745" s="1" t="s">
        <v>16</v>
      </c>
      <c r="B1745" s="1" t="s">
        <v>17</v>
      </c>
      <c r="C1745" s="6">
        <v>390000</v>
      </c>
      <c r="D1745" s="6">
        <v>308107.21500000003</v>
      </c>
      <c r="E1745" s="6">
        <v>148467.0025</v>
      </c>
      <c r="F1745" s="6">
        <v>138373.1225</v>
      </c>
      <c r="G1745" s="7" t="s">
        <v>22</v>
      </c>
      <c r="H1745" s="1">
        <f t="shared" si="27"/>
        <v>0.79001850000000007</v>
      </c>
    </row>
    <row r="1746" spans="1:8" x14ac:dyDescent="0.25">
      <c r="A1746" s="1" t="s">
        <v>16</v>
      </c>
      <c r="B1746" s="1" t="s">
        <v>17</v>
      </c>
      <c r="C1746" s="6">
        <v>2625</v>
      </c>
      <c r="D1746" s="6">
        <v>1984.25</v>
      </c>
      <c r="E1746" s="6">
        <v>1575.3924999999999</v>
      </c>
      <c r="F1746" s="6">
        <v>1429.895</v>
      </c>
      <c r="G1746" s="7" t="s">
        <v>22</v>
      </c>
      <c r="H1746" s="1">
        <f t="shared" si="27"/>
        <v>0.75590476190476186</v>
      </c>
    </row>
    <row r="1747" spans="1:8" x14ac:dyDescent="0.25">
      <c r="A1747" s="1" t="s">
        <v>16</v>
      </c>
      <c r="B1747" s="1" t="s">
        <v>17</v>
      </c>
      <c r="C1747" s="6">
        <v>2194667</v>
      </c>
      <c r="D1747" s="6">
        <v>1564511.9450000001</v>
      </c>
      <c r="E1747" s="6">
        <v>1261447.6950000001</v>
      </c>
      <c r="F1747" s="6">
        <v>1198305.5874999999</v>
      </c>
      <c r="G1747" s="7" t="s">
        <v>22</v>
      </c>
      <c r="H1747" s="1">
        <f t="shared" si="27"/>
        <v>0.71286985451551421</v>
      </c>
    </row>
    <row r="1748" spans="1:8" x14ac:dyDescent="0.25">
      <c r="A1748" s="1" t="s">
        <v>16</v>
      </c>
      <c r="B1748" s="1" t="s">
        <v>17</v>
      </c>
      <c r="C1748" s="6">
        <v>250</v>
      </c>
      <c r="D1748" s="6">
        <v>1200</v>
      </c>
      <c r="E1748" s="6">
        <v>75</v>
      </c>
      <c r="F1748" s="6">
        <v>75</v>
      </c>
      <c r="G1748" s="7" t="s">
        <v>22</v>
      </c>
      <c r="H1748" s="1">
        <f t="shared" si="27"/>
        <v>4.8</v>
      </c>
    </row>
    <row r="1749" spans="1:8" x14ac:dyDescent="0.25">
      <c r="A1749" s="1" t="s">
        <v>16</v>
      </c>
      <c r="B1749" s="1" t="s">
        <v>17</v>
      </c>
      <c r="C1749" s="6">
        <v>308731</v>
      </c>
      <c r="D1749" s="6">
        <v>318984.75</v>
      </c>
      <c r="E1749" s="6">
        <v>318984.75</v>
      </c>
      <c r="F1749" s="6">
        <v>318804.75</v>
      </c>
      <c r="G1749" s="7" t="s">
        <v>22</v>
      </c>
      <c r="H1749" s="1">
        <f t="shared" si="27"/>
        <v>1.0332125701662613</v>
      </c>
    </row>
    <row r="1750" spans="1:8" x14ac:dyDescent="0.25">
      <c r="A1750" s="1" t="s">
        <v>16</v>
      </c>
      <c r="B1750" s="1" t="s">
        <v>17</v>
      </c>
      <c r="C1750" s="6">
        <v>210600</v>
      </c>
      <c r="D1750" s="6">
        <v>0</v>
      </c>
      <c r="E1750" s="6">
        <v>0</v>
      </c>
      <c r="F1750" s="6">
        <v>0</v>
      </c>
      <c r="G1750" s="7" t="s">
        <v>22</v>
      </c>
      <c r="H1750" s="1">
        <f t="shared" si="27"/>
        <v>0</v>
      </c>
    </row>
    <row r="1751" spans="1:8" x14ac:dyDescent="0.25">
      <c r="A1751" s="1" t="s">
        <v>16</v>
      </c>
      <c r="B1751" s="1" t="s">
        <v>17</v>
      </c>
      <c r="C1751" s="6">
        <v>1026355</v>
      </c>
      <c r="D1751" s="6">
        <v>666330.62</v>
      </c>
      <c r="E1751" s="6">
        <v>642224.5575</v>
      </c>
      <c r="F1751" s="6">
        <v>642224.5575</v>
      </c>
      <c r="G1751" s="7" t="s">
        <v>22</v>
      </c>
      <c r="H1751" s="1">
        <f t="shared" si="27"/>
        <v>0.64922041593795521</v>
      </c>
    </row>
    <row r="1752" spans="1:8" x14ac:dyDescent="0.25">
      <c r="A1752" s="1" t="s">
        <v>16</v>
      </c>
      <c r="B1752" s="1" t="s">
        <v>17</v>
      </c>
      <c r="C1752" s="6">
        <v>1111271</v>
      </c>
      <c r="D1752" s="6">
        <v>1075521.2849999999</v>
      </c>
      <c r="E1752" s="6">
        <v>1064168.625</v>
      </c>
      <c r="F1752" s="6">
        <v>1064168.625</v>
      </c>
      <c r="G1752" s="7" t="s">
        <v>22</v>
      </c>
      <c r="H1752" s="1">
        <f t="shared" si="27"/>
        <v>0.96782988577943629</v>
      </c>
    </row>
    <row r="1753" spans="1:8" x14ac:dyDescent="0.25">
      <c r="A1753" s="1" t="s">
        <v>16</v>
      </c>
      <c r="B1753" s="1" t="s">
        <v>17</v>
      </c>
      <c r="C1753" s="6">
        <v>1312911</v>
      </c>
      <c r="D1753" s="6">
        <v>998764.24</v>
      </c>
      <c r="E1753" s="6">
        <v>989919.69750000001</v>
      </c>
      <c r="F1753" s="6">
        <v>989768.88749999995</v>
      </c>
      <c r="G1753" s="7" t="s">
        <v>22</v>
      </c>
      <c r="H1753" s="1">
        <f t="shared" si="27"/>
        <v>0.76072501487153354</v>
      </c>
    </row>
    <row r="1754" spans="1:8" x14ac:dyDescent="0.25">
      <c r="A1754" s="1" t="s">
        <v>16</v>
      </c>
      <c r="B1754" s="1" t="s">
        <v>17</v>
      </c>
      <c r="C1754" s="6">
        <v>618543</v>
      </c>
      <c r="D1754" s="6">
        <v>665071.80000000005</v>
      </c>
      <c r="E1754" s="6">
        <v>665071.80000000005</v>
      </c>
      <c r="F1754" s="6">
        <v>558139.71</v>
      </c>
      <c r="G1754" s="7" t="s">
        <v>22</v>
      </c>
      <c r="H1754" s="1">
        <f t="shared" si="27"/>
        <v>1.0752232261944603</v>
      </c>
    </row>
    <row r="1755" spans="1:8" x14ac:dyDescent="0.25">
      <c r="A1755" s="1" t="s">
        <v>16</v>
      </c>
      <c r="B1755" s="1" t="s">
        <v>17</v>
      </c>
      <c r="C1755" s="6">
        <v>500</v>
      </c>
      <c r="D1755" s="6">
        <v>0</v>
      </c>
      <c r="E1755" s="6">
        <v>0</v>
      </c>
      <c r="F1755" s="6">
        <v>0</v>
      </c>
      <c r="G1755" s="7" t="s">
        <v>22</v>
      </c>
      <c r="H1755" s="1">
        <f t="shared" si="27"/>
        <v>0</v>
      </c>
    </row>
    <row r="1756" spans="1:8" x14ac:dyDescent="0.25">
      <c r="A1756" s="1" t="s">
        <v>16</v>
      </c>
      <c r="B1756" s="1" t="s">
        <v>17</v>
      </c>
      <c r="C1756" s="6">
        <v>250</v>
      </c>
      <c r="D1756" s="6">
        <v>21876.75</v>
      </c>
      <c r="E1756" s="6">
        <v>21876.75</v>
      </c>
      <c r="F1756" s="6">
        <v>21876.75</v>
      </c>
      <c r="G1756" s="7" t="s">
        <v>22</v>
      </c>
      <c r="H1756" s="1">
        <f t="shared" si="27"/>
        <v>87.507000000000005</v>
      </c>
    </row>
    <row r="1757" spans="1:8" x14ac:dyDescent="0.25">
      <c r="A1757" s="1" t="s">
        <v>16</v>
      </c>
      <c r="B1757" s="1" t="s">
        <v>17</v>
      </c>
      <c r="C1757" s="6">
        <v>1000</v>
      </c>
      <c r="D1757" s="6">
        <v>0</v>
      </c>
      <c r="E1757" s="6">
        <v>0</v>
      </c>
      <c r="F1757" s="6">
        <v>0</v>
      </c>
      <c r="G1757" s="7" t="s">
        <v>22</v>
      </c>
      <c r="H1757" s="1">
        <f t="shared" si="27"/>
        <v>0</v>
      </c>
    </row>
    <row r="1758" spans="1:8" x14ac:dyDescent="0.25">
      <c r="A1758" s="1" t="s">
        <v>16</v>
      </c>
      <c r="B1758" s="1" t="s">
        <v>17</v>
      </c>
      <c r="C1758" s="6">
        <v>480000</v>
      </c>
      <c r="D1758" s="6">
        <v>176646</v>
      </c>
      <c r="E1758" s="6">
        <v>176646</v>
      </c>
      <c r="F1758" s="6">
        <v>176646</v>
      </c>
      <c r="G1758" s="7" t="s">
        <v>22</v>
      </c>
      <c r="H1758" s="1">
        <f t="shared" si="27"/>
        <v>0.36801250000000002</v>
      </c>
    </row>
    <row r="1759" spans="1:8" x14ac:dyDescent="0.25">
      <c r="A1759" s="1" t="s">
        <v>16</v>
      </c>
      <c r="B1759" s="1" t="s">
        <v>17</v>
      </c>
      <c r="C1759" s="6">
        <v>540000</v>
      </c>
      <c r="D1759" s="6">
        <v>562872</v>
      </c>
      <c r="E1759" s="6">
        <v>562872</v>
      </c>
      <c r="F1759" s="6">
        <v>561874</v>
      </c>
      <c r="G1759" s="7" t="s">
        <v>22</v>
      </c>
      <c r="H1759" s="1">
        <f t="shared" si="27"/>
        <v>1.0423555555555555</v>
      </c>
    </row>
    <row r="1760" spans="1:8" x14ac:dyDescent="0.25">
      <c r="A1760" s="1" t="s">
        <v>16</v>
      </c>
      <c r="B1760" s="1" t="s">
        <v>17</v>
      </c>
      <c r="C1760" s="6">
        <v>7000728</v>
      </c>
      <c r="D1760" s="6">
        <v>5631717.8574999999</v>
      </c>
      <c r="E1760" s="6">
        <v>5509530.9800000004</v>
      </c>
      <c r="F1760" s="6">
        <v>5129405.9550000001</v>
      </c>
      <c r="G1760" s="7" t="s">
        <v>22</v>
      </c>
      <c r="H1760" s="1">
        <f t="shared" si="27"/>
        <v>0.80444745996416367</v>
      </c>
    </row>
    <row r="1761" spans="1:8" x14ac:dyDescent="0.25">
      <c r="A1761" s="1" t="s">
        <v>16</v>
      </c>
      <c r="B1761" s="1" t="s">
        <v>17</v>
      </c>
      <c r="C1761" s="6">
        <v>297500</v>
      </c>
      <c r="D1761" s="6">
        <v>143431.005</v>
      </c>
      <c r="E1761" s="6">
        <v>143431.005</v>
      </c>
      <c r="F1761" s="6">
        <v>143431.005</v>
      </c>
      <c r="G1761" s="7" t="s">
        <v>22</v>
      </c>
      <c r="H1761" s="1">
        <f t="shared" si="27"/>
        <v>0.48212102521008404</v>
      </c>
    </row>
    <row r="1762" spans="1:8" x14ac:dyDescent="0.25">
      <c r="A1762" s="1" t="s">
        <v>16</v>
      </c>
      <c r="B1762" s="1" t="s">
        <v>17</v>
      </c>
      <c r="C1762" s="6">
        <v>1078026</v>
      </c>
      <c r="D1762" s="6">
        <v>1125166.7075</v>
      </c>
      <c r="E1762" s="6">
        <v>1125166.7075</v>
      </c>
      <c r="F1762" s="6">
        <v>1125166.7075</v>
      </c>
      <c r="G1762" s="7" t="s">
        <v>22</v>
      </c>
      <c r="H1762" s="1">
        <f t="shared" si="27"/>
        <v>1.0437287296410291</v>
      </c>
    </row>
    <row r="1763" spans="1:8" x14ac:dyDescent="0.25">
      <c r="A1763" s="1" t="s">
        <v>16</v>
      </c>
      <c r="B1763" s="1" t="s">
        <v>17</v>
      </c>
      <c r="C1763" s="6">
        <v>785280</v>
      </c>
      <c r="D1763" s="6">
        <v>935280</v>
      </c>
      <c r="E1763" s="6">
        <v>935280</v>
      </c>
      <c r="F1763" s="6">
        <v>857340</v>
      </c>
      <c r="G1763" s="7" t="s">
        <v>22</v>
      </c>
      <c r="H1763" s="1">
        <f t="shared" si="27"/>
        <v>1.1910146699266504</v>
      </c>
    </row>
    <row r="1764" spans="1:8" x14ac:dyDescent="0.25">
      <c r="A1764" s="1" t="s">
        <v>16</v>
      </c>
      <c r="B1764" s="1" t="s">
        <v>17</v>
      </c>
      <c r="C1764" s="6">
        <v>92144</v>
      </c>
      <c r="D1764" s="6">
        <v>52780.002500000002</v>
      </c>
      <c r="E1764" s="6">
        <v>42352.477500000001</v>
      </c>
      <c r="F1764" s="6">
        <v>41474.577499999999</v>
      </c>
      <c r="G1764" s="7" t="s">
        <v>22</v>
      </c>
      <c r="H1764" s="1">
        <f t="shared" si="27"/>
        <v>0.57279912419690926</v>
      </c>
    </row>
    <row r="1765" spans="1:8" x14ac:dyDescent="0.25">
      <c r="A1765" s="1" t="s">
        <v>16</v>
      </c>
      <c r="B1765" s="1" t="s">
        <v>17</v>
      </c>
      <c r="C1765" s="6">
        <v>1004125</v>
      </c>
      <c r="D1765" s="6">
        <v>985407.19750000001</v>
      </c>
      <c r="E1765" s="6">
        <v>981682.09499999997</v>
      </c>
      <c r="F1765" s="6">
        <v>887303.27500000002</v>
      </c>
      <c r="G1765" s="7" t="s">
        <v>22</v>
      </c>
      <c r="H1765" s="1">
        <f t="shared" si="27"/>
        <v>0.98135909124859955</v>
      </c>
    </row>
    <row r="1766" spans="1:8" x14ac:dyDescent="0.25">
      <c r="A1766" s="1" t="s">
        <v>16</v>
      </c>
      <c r="B1766" s="1" t="s">
        <v>17</v>
      </c>
      <c r="C1766" s="6">
        <v>5904494</v>
      </c>
      <c r="D1766" s="6">
        <v>4754592.1825000001</v>
      </c>
      <c r="E1766" s="6">
        <v>4748917.17</v>
      </c>
      <c r="F1766" s="6">
        <v>4332731.7350000003</v>
      </c>
      <c r="G1766" s="7" t="s">
        <v>22</v>
      </c>
      <c r="H1766" s="1">
        <f t="shared" si="27"/>
        <v>0.80524972715697574</v>
      </c>
    </row>
    <row r="1767" spans="1:8" x14ac:dyDescent="0.25">
      <c r="A1767" s="1" t="s">
        <v>16</v>
      </c>
      <c r="B1767" s="1" t="s">
        <v>17</v>
      </c>
      <c r="C1767" s="6">
        <v>230625</v>
      </c>
      <c r="D1767" s="6">
        <v>280453.4325</v>
      </c>
      <c r="E1767" s="6">
        <v>239780.22500000001</v>
      </c>
      <c r="F1767" s="6">
        <v>228910.69500000001</v>
      </c>
      <c r="G1767" s="7" t="s">
        <v>22</v>
      </c>
      <c r="H1767" s="1">
        <f t="shared" si="27"/>
        <v>1.216058243902439</v>
      </c>
    </row>
    <row r="1768" spans="1:8" x14ac:dyDescent="0.25">
      <c r="A1768" s="1" t="s">
        <v>16</v>
      </c>
      <c r="B1768" s="1" t="s">
        <v>17</v>
      </c>
      <c r="C1768" s="6">
        <v>1125</v>
      </c>
      <c r="D1768" s="6">
        <v>4889.5275000000001</v>
      </c>
      <c r="E1768" s="6">
        <v>4585.5550000000003</v>
      </c>
      <c r="F1768" s="6">
        <v>4220.4825000000001</v>
      </c>
      <c r="G1768" s="7" t="s">
        <v>22</v>
      </c>
      <c r="H1768" s="1">
        <f t="shared" si="27"/>
        <v>4.3462466666666666</v>
      </c>
    </row>
    <row r="1769" spans="1:8" x14ac:dyDescent="0.25">
      <c r="A1769" s="1" t="s">
        <v>16</v>
      </c>
      <c r="B1769" s="1" t="s">
        <v>17</v>
      </c>
      <c r="C1769" s="6">
        <v>9575</v>
      </c>
      <c r="D1769" s="6">
        <v>312.5</v>
      </c>
      <c r="E1769" s="6">
        <v>312.5</v>
      </c>
      <c r="F1769" s="6">
        <v>312.5</v>
      </c>
      <c r="G1769" s="7" t="s">
        <v>22</v>
      </c>
      <c r="H1769" s="1">
        <f t="shared" si="27"/>
        <v>3.2637075718015669E-2</v>
      </c>
    </row>
    <row r="1770" spans="1:8" x14ac:dyDescent="0.25">
      <c r="A1770" s="1" t="s">
        <v>16</v>
      </c>
      <c r="B1770" s="1" t="s">
        <v>17</v>
      </c>
      <c r="C1770" s="6">
        <v>4000</v>
      </c>
      <c r="D1770" s="6">
        <v>0</v>
      </c>
      <c r="E1770" s="6">
        <v>0</v>
      </c>
      <c r="F1770" s="6">
        <v>0</v>
      </c>
      <c r="G1770" s="7" t="s">
        <v>22</v>
      </c>
      <c r="H1770" s="1">
        <f t="shared" si="27"/>
        <v>0</v>
      </c>
    </row>
    <row r="1771" spans="1:8" x14ac:dyDescent="0.25">
      <c r="A1771" s="1" t="s">
        <v>16</v>
      </c>
      <c r="B1771" s="1" t="s">
        <v>17</v>
      </c>
      <c r="C1771" s="6">
        <v>3750</v>
      </c>
      <c r="D1771" s="6">
        <v>0</v>
      </c>
      <c r="E1771" s="6">
        <v>0</v>
      </c>
      <c r="F1771" s="6">
        <v>0</v>
      </c>
      <c r="G1771" s="7" t="s">
        <v>22</v>
      </c>
      <c r="H1771" s="1">
        <f t="shared" si="27"/>
        <v>0</v>
      </c>
    </row>
    <row r="1772" spans="1:8" x14ac:dyDescent="0.25">
      <c r="A1772" s="1" t="s">
        <v>16</v>
      </c>
      <c r="B1772" s="1" t="s">
        <v>17</v>
      </c>
      <c r="C1772" s="6">
        <v>40025</v>
      </c>
      <c r="D1772" s="6">
        <v>0</v>
      </c>
      <c r="E1772" s="6">
        <v>0</v>
      </c>
      <c r="F1772" s="6">
        <v>0</v>
      </c>
      <c r="G1772" s="7" t="s">
        <v>22</v>
      </c>
      <c r="H1772" s="1">
        <f t="shared" si="27"/>
        <v>0</v>
      </c>
    </row>
    <row r="1773" spans="1:8" x14ac:dyDescent="0.25">
      <c r="A1773" s="1" t="s">
        <v>16</v>
      </c>
      <c r="B1773" s="1" t="s">
        <v>17</v>
      </c>
      <c r="C1773" s="6">
        <v>375</v>
      </c>
      <c r="D1773" s="6">
        <v>0</v>
      </c>
      <c r="E1773" s="6">
        <v>0</v>
      </c>
      <c r="F1773" s="6">
        <v>0</v>
      </c>
      <c r="G1773" s="7" t="s">
        <v>22</v>
      </c>
      <c r="H1773" s="1">
        <f t="shared" si="27"/>
        <v>0</v>
      </c>
    </row>
    <row r="1774" spans="1:8" x14ac:dyDescent="0.25">
      <c r="A1774" s="1" t="s">
        <v>16</v>
      </c>
      <c r="B1774" s="1" t="s">
        <v>17</v>
      </c>
      <c r="C1774" s="6">
        <v>13250</v>
      </c>
      <c r="D1774" s="6">
        <v>37500</v>
      </c>
      <c r="E1774" s="6">
        <v>0</v>
      </c>
      <c r="F1774" s="6">
        <v>0</v>
      </c>
      <c r="G1774" s="7" t="s">
        <v>22</v>
      </c>
      <c r="H1774" s="1">
        <f t="shared" si="27"/>
        <v>2.8301886792452828</v>
      </c>
    </row>
    <row r="1775" spans="1:8" x14ac:dyDescent="0.25">
      <c r="A1775" s="1" t="s">
        <v>16</v>
      </c>
      <c r="B1775" s="1" t="s">
        <v>17</v>
      </c>
      <c r="C1775" s="6">
        <v>100000</v>
      </c>
      <c r="D1775" s="6">
        <v>0</v>
      </c>
      <c r="E1775" s="6">
        <v>0</v>
      </c>
      <c r="F1775" s="6">
        <v>0</v>
      </c>
      <c r="G1775" s="7" t="s">
        <v>22</v>
      </c>
      <c r="H1775" s="1">
        <f t="shared" si="27"/>
        <v>0</v>
      </c>
    </row>
    <row r="1776" spans="1:8" x14ac:dyDescent="0.25">
      <c r="A1776" s="1" t="s">
        <v>16</v>
      </c>
      <c r="B1776" s="1" t="s">
        <v>17</v>
      </c>
      <c r="C1776" s="6">
        <v>26451</v>
      </c>
      <c r="D1776" s="6">
        <v>0</v>
      </c>
      <c r="E1776" s="6">
        <v>0</v>
      </c>
      <c r="F1776" s="6">
        <v>0</v>
      </c>
      <c r="G1776" s="7" t="s">
        <v>22</v>
      </c>
      <c r="H1776" s="1">
        <f t="shared" si="27"/>
        <v>0</v>
      </c>
    </row>
    <row r="1777" spans="1:8" x14ac:dyDescent="0.25">
      <c r="A1777" s="1" t="s">
        <v>16</v>
      </c>
      <c r="B1777" s="1" t="s">
        <v>17</v>
      </c>
      <c r="C1777" s="6">
        <v>90339</v>
      </c>
      <c r="D1777" s="6">
        <v>9343.3624999999993</v>
      </c>
      <c r="E1777" s="6">
        <v>5866.81</v>
      </c>
      <c r="F1777" s="6">
        <v>5624.81</v>
      </c>
      <c r="G1777" s="7" t="s">
        <v>22</v>
      </c>
      <c r="H1777" s="1">
        <f t="shared" si="27"/>
        <v>0.10342556924473371</v>
      </c>
    </row>
    <row r="1778" spans="1:8" x14ac:dyDescent="0.25">
      <c r="A1778" s="1" t="s">
        <v>16</v>
      </c>
      <c r="B1778" s="1" t="s">
        <v>17</v>
      </c>
      <c r="C1778" s="6">
        <v>20625</v>
      </c>
      <c r="D1778" s="6">
        <v>0</v>
      </c>
      <c r="E1778" s="6">
        <v>0</v>
      </c>
      <c r="F1778" s="6">
        <v>0</v>
      </c>
      <c r="G1778" s="7" t="s">
        <v>22</v>
      </c>
      <c r="H1778" s="1">
        <f t="shared" si="27"/>
        <v>0</v>
      </c>
    </row>
    <row r="1779" spans="1:8" x14ac:dyDescent="0.25">
      <c r="A1779" s="1" t="s">
        <v>16</v>
      </c>
      <c r="B1779" s="1" t="s">
        <v>17</v>
      </c>
      <c r="C1779" s="6">
        <v>1810213</v>
      </c>
      <c r="D1779" s="6">
        <v>6419.1149999999998</v>
      </c>
      <c r="E1779" s="6">
        <v>6419.1149999999998</v>
      </c>
      <c r="F1779" s="6">
        <v>6419.1149999999998</v>
      </c>
      <c r="G1779" s="7" t="s">
        <v>22</v>
      </c>
      <c r="H1779" s="1">
        <f t="shared" si="27"/>
        <v>3.5460550774964049E-3</v>
      </c>
    </row>
    <row r="1780" spans="1:8" x14ac:dyDescent="0.25">
      <c r="A1780" s="1" t="s">
        <v>16</v>
      </c>
      <c r="B1780" s="1" t="s">
        <v>17</v>
      </c>
      <c r="C1780" s="6">
        <v>836396</v>
      </c>
      <c r="D1780" s="6">
        <v>115323.43</v>
      </c>
      <c r="E1780" s="6">
        <v>115323.43</v>
      </c>
      <c r="F1780" s="6">
        <v>115323.43</v>
      </c>
      <c r="G1780" s="7" t="s">
        <v>22</v>
      </c>
      <c r="H1780" s="1">
        <f t="shared" si="27"/>
        <v>0.13788137437290468</v>
      </c>
    </row>
    <row r="1781" spans="1:8" x14ac:dyDescent="0.25">
      <c r="A1781" s="1" t="s">
        <v>16</v>
      </c>
      <c r="B1781" s="1" t="s">
        <v>17</v>
      </c>
      <c r="C1781" s="6">
        <v>3947</v>
      </c>
      <c r="D1781" s="6">
        <v>1951.5</v>
      </c>
      <c r="E1781" s="6">
        <v>1821.5</v>
      </c>
      <c r="F1781" s="6">
        <v>1666.25</v>
      </c>
      <c r="G1781" s="7" t="s">
        <v>22</v>
      </c>
      <c r="H1781" s="1">
        <f t="shared" si="27"/>
        <v>0.49442614644033445</v>
      </c>
    </row>
    <row r="1782" spans="1:8" x14ac:dyDescent="0.25">
      <c r="A1782" s="1" t="s">
        <v>16</v>
      </c>
      <c r="B1782" s="1" t="s">
        <v>17</v>
      </c>
      <c r="C1782" s="6">
        <v>165530</v>
      </c>
      <c r="D1782" s="6">
        <v>318040.375</v>
      </c>
      <c r="E1782" s="6">
        <v>277813.55499999999</v>
      </c>
      <c r="F1782" s="6">
        <v>277813.55499999999</v>
      </c>
      <c r="G1782" s="7" t="s">
        <v>22</v>
      </c>
      <c r="H1782" s="1">
        <f t="shared" si="27"/>
        <v>1.9213458285507159</v>
      </c>
    </row>
    <row r="1783" spans="1:8" x14ac:dyDescent="0.25">
      <c r="A1783" s="1" t="s">
        <v>16</v>
      </c>
      <c r="B1783" s="1" t="s">
        <v>17</v>
      </c>
      <c r="C1783" s="6">
        <v>2623500</v>
      </c>
      <c r="D1783" s="6">
        <v>2714765.02</v>
      </c>
      <c r="E1783" s="6">
        <v>2454234.9550000001</v>
      </c>
      <c r="F1783" s="6">
        <v>2346304.665</v>
      </c>
      <c r="G1783" s="7" t="s">
        <v>22</v>
      </c>
      <c r="H1783" s="1">
        <f t="shared" si="27"/>
        <v>1.0347875052410902</v>
      </c>
    </row>
    <row r="1784" spans="1:8" x14ac:dyDescent="0.25">
      <c r="A1784" s="1" t="s">
        <v>16</v>
      </c>
      <c r="B1784" s="1" t="s">
        <v>17</v>
      </c>
      <c r="C1784" s="6">
        <v>7552</v>
      </c>
      <c r="D1784" s="6">
        <v>7507.73</v>
      </c>
      <c r="E1784" s="6">
        <v>2894.3975</v>
      </c>
      <c r="F1784" s="6">
        <v>1536.8975</v>
      </c>
      <c r="G1784" s="7" t="s">
        <v>22</v>
      </c>
      <c r="H1784" s="1">
        <f t="shared" si="27"/>
        <v>0.99413797669491522</v>
      </c>
    </row>
    <row r="1785" spans="1:8" x14ac:dyDescent="0.25">
      <c r="A1785" s="1" t="s">
        <v>16</v>
      </c>
      <c r="B1785" s="1" t="s">
        <v>17</v>
      </c>
      <c r="C1785" s="6">
        <v>130000</v>
      </c>
      <c r="D1785" s="6">
        <v>93589.854999999996</v>
      </c>
      <c r="E1785" s="6">
        <v>83248.854999999996</v>
      </c>
      <c r="F1785" s="6">
        <v>77874.104999999996</v>
      </c>
      <c r="G1785" s="7" t="s">
        <v>22</v>
      </c>
      <c r="H1785" s="1">
        <f t="shared" si="27"/>
        <v>0.71992196153846155</v>
      </c>
    </row>
    <row r="1786" spans="1:8" x14ac:dyDescent="0.25">
      <c r="A1786" s="1" t="s">
        <v>16</v>
      </c>
      <c r="B1786" s="1" t="s">
        <v>17</v>
      </c>
      <c r="C1786" s="6">
        <v>2550000</v>
      </c>
      <c r="D1786" s="6">
        <v>2787029.1639999999</v>
      </c>
      <c r="E1786" s="6">
        <v>2787029.1639999999</v>
      </c>
      <c r="F1786" s="6">
        <v>2787029.1639999999</v>
      </c>
      <c r="G1786" s="7" t="s">
        <v>22</v>
      </c>
      <c r="H1786" s="1">
        <f t="shared" si="27"/>
        <v>1.0929526133333334</v>
      </c>
    </row>
    <row r="1787" spans="1:8" x14ac:dyDescent="0.25">
      <c r="A1787" s="1" t="s">
        <v>16</v>
      </c>
      <c r="B1787" s="1" t="s">
        <v>17</v>
      </c>
      <c r="C1787" s="6">
        <v>95103</v>
      </c>
      <c r="D1787" s="6">
        <v>41880.275000000001</v>
      </c>
      <c r="E1787" s="6">
        <v>34408.959999999999</v>
      </c>
      <c r="F1787" s="6">
        <v>32366.9725</v>
      </c>
      <c r="G1787" s="7" t="s">
        <v>22</v>
      </c>
      <c r="H1787" s="1">
        <f t="shared" si="27"/>
        <v>0.44036754886806939</v>
      </c>
    </row>
    <row r="1788" spans="1:8" x14ac:dyDescent="0.25">
      <c r="A1788" s="1" t="s">
        <v>16</v>
      </c>
      <c r="B1788" s="1" t="s">
        <v>17</v>
      </c>
      <c r="C1788" s="6">
        <v>56739</v>
      </c>
      <c r="D1788" s="6">
        <v>53750</v>
      </c>
      <c r="E1788" s="6">
        <v>0</v>
      </c>
      <c r="F1788" s="6">
        <v>0</v>
      </c>
      <c r="G1788" s="7" t="s">
        <v>22</v>
      </c>
      <c r="H1788" s="1">
        <f t="shared" si="27"/>
        <v>0.94732018541038787</v>
      </c>
    </row>
    <row r="1789" spans="1:8" x14ac:dyDescent="0.25">
      <c r="A1789" s="1" t="s">
        <v>16</v>
      </c>
      <c r="B1789" s="1" t="s">
        <v>17</v>
      </c>
      <c r="C1789" s="6">
        <v>46073</v>
      </c>
      <c r="D1789" s="6">
        <v>15985.315000000001</v>
      </c>
      <c r="E1789" s="6">
        <v>9343.9599999999991</v>
      </c>
      <c r="F1789" s="6">
        <v>9179.7649999999994</v>
      </c>
      <c r="G1789" s="7" t="s">
        <v>22</v>
      </c>
      <c r="H1789" s="1">
        <f t="shared" si="27"/>
        <v>0.3469562433529399</v>
      </c>
    </row>
    <row r="1790" spans="1:8" x14ac:dyDescent="0.25">
      <c r="A1790" s="1" t="s">
        <v>16</v>
      </c>
      <c r="B1790" s="1" t="s">
        <v>17</v>
      </c>
      <c r="C1790" s="6">
        <v>51090</v>
      </c>
      <c r="D1790" s="6">
        <v>42589.467499999999</v>
      </c>
      <c r="E1790" s="6">
        <v>39909.495000000003</v>
      </c>
      <c r="F1790" s="6">
        <v>39909.495000000003</v>
      </c>
      <c r="G1790" s="7" t="s">
        <v>22</v>
      </c>
      <c r="H1790" s="1">
        <f t="shared" si="27"/>
        <v>0.83361651008025051</v>
      </c>
    </row>
    <row r="1791" spans="1:8" x14ac:dyDescent="0.25">
      <c r="A1791" s="1" t="s">
        <v>16</v>
      </c>
      <c r="B1791" s="1" t="s">
        <v>17</v>
      </c>
      <c r="C1791" s="6">
        <v>230120</v>
      </c>
      <c r="D1791" s="6">
        <v>202491.1275</v>
      </c>
      <c r="E1791" s="6">
        <v>184680.935</v>
      </c>
      <c r="F1791" s="6">
        <v>184512.72500000001</v>
      </c>
      <c r="G1791" s="7" t="s">
        <v>22</v>
      </c>
      <c r="H1791" s="1">
        <f t="shared" si="27"/>
        <v>0.87993710889970456</v>
      </c>
    </row>
    <row r="1792" spans="1:8" x14ac:dyDescent="0.25">
      <c r="A1792" s="1" t="s">
        <v>16</v>
      </c>
      <c r="B1792" s="1" t="s">
        <v>17</v>
      </c>
      <c r="C1792" s="6">
        <v>106842</v>
      </c>
      <c r="D1792" s="6">
        <v>96375.712499999994</v>
      </c>
      <c r="E1792" s="6">
        <v>86547.05</v>
      </c>
      <c r="F1792" s="6">
        <v>86269.42</v>
      </c>
      <c r="G1792" s="7" t="s">
        <v>22</v>
      </c>
      <c r="H1792" s="1">
        <f t="shared" si="27"/>
        <v>0.9020395771325882</v>
      </c>
    </row>
    <row r="1793" spans="1:8" x14ac:dyDescent="0.25">
      <c r="A1793" s="1" t="s">
        <v>16</v>
      </c>
      <c r="B1793" s="1" t="s">
        <v>17</v>
      </c>
      <c r="C1793" s="6">
        <v>0</v>
      </c>
      <c r="D1793" s="6">
        <v>2422.125</v>
      </c>
      <c r="E1793" s="6">
        <v>2422.125</v>
      </c>
      <c r="F1793" s="6">
        <v>2169</v>
      </c>
      <c r="G1793" s="7" t="s">
        <v>22</v>
      </c>
      <c r="H1793" s="1">
        <f t="shared" si="27"/>
        <v>0</v>
      </c>
    </row>
    <row r="1794" spans="1:8" x14ac:dyDescent="0.25">
      <c r="A1794" s="1" t="s">
        <v>16</v>
      </c>
      <c r="B1794" s="1" t="s">
        <v>17</v>
      </c>
      <c r="C1794" s="6">
        <v>100401</v>
      </c>
      <c r="D1794" s="6">
        <v>34947.6175</v>
      </c>
      <c r="E1794" s="6">
        <v>34947.6175</v>
      </c>
      <c r="F1794" s="6">
        <v>34947.6175</v>
      </c>
      <c r="G1794" s="7" t="s">
        <v>22</v>
      </c>
      <c r="H1794" s="1">
        <f t="shared" ref="H1794:H1857" si="28">IF(OR(ISNA($D1794),ISNA($C1794),$C1794=0),0,$D1794/$C1794)</f>
        <v>0.34808037270545117</v>
      </c>
    </row>
    <row r="1795" spans="1:8" x14ac:dyDescent="0.25">
      <c r="A1795" s="1" t="s">
        <v>16</v>
      </c>
      <c r="B1795" s="1" t="s">
        <v>17</v>
      </c>
      <c r="C1795" s="6">
        <v>2251028</v>
      </c>
      <c r="D1795" s="6">
        <v>2245283.5874999999</v>
      </c>
      <c r="E1795" s="6">
        <v>2178995.7749999999</v>
      </c>
      <c r="F1795" s="6">
        <v>2042648.9275</v>
      </c>
      <c r="G1795" s="7" t="s">
        <v>22</v>
      </c>
      <c r="H1795" s="1">
        <f t="shared" si="28"/>
        <v>0.99744809371540466</v>
      </c>
    </row>
    <row r="1796" spans="1:8" x14ac:dyDescent="0.25">
      <c r="A1796" s="1" t="s">
        <v>16</v>
      </c>
      <c r="B1796" s="1" t="s">
        <v>17</v>
      </c>
      <c r="C1796" s="6">
        <v>8044820</v>
      </c>
      <c r="D1796" s="6">
        <v>7585237.0025000004</v>
      </c>
      <c r="E1796" s="6">
        <v>7352989.3600000003</v>
      </c>
      <c r="F1796" s="6">
        <v>6772755.7675000001</v>
      </c>
      <c r="G1796" s="7" t="s">
        <v>22</v>
      </c>
      <c r="H1796" s="1">
        <f t="shared" si="28"/>
        <v>0.94287218390218808</v>
      </c>
    </row>
    <row r="1797" spans="1:8" x14ac:dyDescent="0.25">
      <c r="A1797" s="1" t="s">
        <v>16</v>
      </c>
      <c r="B1797" s="1" t="s">
        <v>19</v>
      </c>
      <c r="C1797" s="6">
        <v>2905</v>
      </c>
      <c r="D1797" s="6">
        <v>1296</v>
      </c>
      <c r="E1797" s="6">
        <v>1296</v>
      </c>
      <c r="F1797" s="6">
        <v>1080</v>
      </c>
      <c r="G1797" s="7" t="s">
        <v>22</v>
      </c>
      <c r="H1797" s="1">
        <f t="shared" si="28"/>
        <v>0.44612736660929431</v>
      </c>
    </row>
    <row r="1798" spans="1:8" x14ac:dyDescent="0.25">
      <c r="A1798" s="1" t="s">
        <v>16</v>
      </c>
      <c r="B1798" s="1" t="s">
        <v>19</v>
      </c>
      <c r="C1798" s="6">
        <v>14875</v>
      </c>
      <c r="D1798" s="6">
        <v>8776.7425000000003</v>
      </c>
      <c r="E1798" s="6">
        <v>8007.1225000000004</v>
      </c>
      <c r="F1798" s="6">
        <v>7219.6225000000004</v>
      </c>
      <c r="G1798" s="7" t="s">
        <v>22</v>
      </c>
      <c r="H1798" s="1">
        <f t="shared" si="28"/>
        <v>0.59003310924369745</v>
      </c>
    </row>
    <row r="1799" spans="1:8" x14ac:dyDescent="0.25">
      <c r="A1799" s="1" t="s">
        <v>16</v>
      </c>
      <c r="B1799" s="1" t="s">
        <v>19</v>
      </c>
      <c r="C1799" s="6">
        <v>62875</v>
      </c>
      <c r="D1799" s="6">
        <v>105</v>
      </c>
      <c r="E1799" s="6">
        <v>105</v>
      </c>
      <c r="F1799" s="6">
        <v>105</v>
      </c>
      <c r="G1799" s="7" t="s">
        <v>22</v>
      </c>
      <c r="H1799" s="1">
        <f t="shared" si="28"/>
        <v>1.6699801192842942E-3</v>
      </c>
    </row>
    <row r="1800" spans="1:8" x14ac:dyDescent="0.25">
      <c r="A1800" s="1" t="s">
        <v>16</v>
      </c>
      <c r="B1800" s="1" t="s">
        <v>19</v>
      </c>
      <c r="C1800" s="6">
        <v>38500</v>
      </c>
      <c r="D1800" s="6">
        <v>32330.1</v>
      </c>
      <c r="E1800" s="6">
        <v>29549.157500000001</v>
      </c>
      <c r="F1800" s="6">
        <v>29549.157500000001</v>
      </c>
      <c r="G1800" s="7" t="s">
        <v>22</v>
      </c>
      <c r="H1800" s="1">
        <f t="shared" si="28"/>
        <v>0.83974285714285712</v>
      </c>
    </row>
    <row r="1801" spans="1:8" x14ac:dyDescent="0.25">
      <c r="A1801" s="1" t="s">
        <v>16</v>
      </c>
      <c r="B1801" s="1" t="s">
        <v>19</v>
      </c>
      <c r="C1801" s="6">
        <v>4625</v>
      </c>
      <c r="D1801" s="6">
        <v>0</v>
      </c>
      <c r="E1801" s="6">
        <v>0</v>
      </c>
      <c r="F1801" s="6">
        <v>0</v>
      </c>
      <c r="G1801" s="7" t="s">
        <v>22</v>
      </c>
      <c r="H1801" s="1">
        <f t="shared" si="28"/>
        <v>0</v>
      </c>
    </row>
    <row r="1802" spans="1:8" x14ac:dyDescent="0.25">
      <c r="A1802" s="1" t="s">
        <v>16</v>
      </c>
      <c r="B1802" s="1" t="s">
        <v>19</v>
      </c>
      <c r="C1802" s="6">
        <v>12500</v>
      </c>
      <c r="D1802" s="6">
        <v>0</v>
      </c>
      <c r="E1802" s="6">
        <v>0</v>
      </c>
      <c r="F1802" s="6">
        <v>0</v>
      </c>
      <c r="G1802" s="7" t="s">
        <v>22</v>
      </c>
      <c r="H1802" s="1">
        <f t="shared" si="28"/>
        <v>0</v>
      </c>
    </row>
    <row r="1803" spans="1:8" x14ac:dyDescent="0.25">
      <c r="A1803" s="1" t="s">
        <v>16</v>
      </c>
      <c r="B1803" s="1" t="s">
        <v>19</v>
      </c>
      <c r="C1803" s="6">
        <v>250</v>
      </c>
      <c r="D1803" s="6">
        <v>0</v>
      </c>
      <c r="E1803" s="6">
        <v>0</v>
      </c>
      <c r="F1803" s="6">
        <v>0</v>
      </c>
      <c r="G1803" s="7" t="s">
        <v>22</v>
      </c>
      <c r="H1803" s="1">
        <f t="shared" si="28"/>
        <v>0</v>
      </c>
    </row>
    <row r="1804" spans="1:8" x14ac:dyDescent="0.25">
      <c r="A1804" s="1" t="s">
        <v>16</v>
      </c>
      <c r="B1804" s="1" t="s">
        <v>19</v>
      </c>
      <c r="C1804" s="6">
        <v>1550</v>
      </c>
      <c r="D1804" s="6">
        <v>5662</v>
      </c>
      <c r="E1804" s="6">
        <v>5529.5</v>
      </c>
      <c r="F1804" s="6">
        <v>5320</v>
      </c>
      <c r="G1804" s="7" t="s">
        <v>22</v>
      </c>
      <c r="H1804" s="1">
        <f t="shared" si="28"/>
        <v>3.6529032258064515</v>
      </c>
    </row>
    <row r="1805" spans="1:8" x14ac:dyDescent="0.25">
      <c r="A1805" s="1" t="s">
        <v>16</v>
      </c>
      <c r="B1805" s="1" t="s">
        <v>19</v>
      </c>
      <c r="C1805" s="6">
        <v>125</v>
      </c>
      <c r="D1805" s="6">
        <v>0</v>
      </c>
      <c r="E1805" s="6">
        <v>0</v>
      </c>
      <c r="F1805" s="6">
        <v>0</v>
      </c>
      <c r="G1805" s="7" t="s">
        <v>22</v>
      </c>
      <c r="H1805" s="1">
        <f t="shared" si="28"/>
        <v>0</v>
      </c>
    </row>
    <row r="1806" spans="1:8" x14ac:dyDescent="0.25">
      <c r="A1806" s="1" t="s">
        <v>16</v>
      </c>
      <c r="B1806" s="1" t="s">
        <v>19</v>
      </c>
      <c r="C1806" s="6">
        <v>125</v>
      </c>
      <c r="D1806" s="6">
        <v>0</v>
      </c>
      <c r="E1806" s="6">
        <v>0</v>
      </c>
      <c r="F1806" s="6">
        <v>0</v>
      </c>
      <c r="G1806" s="7" t="s">
        <v>22</v>
      </c>
      <c r="H1806" s="1">
        <f t="shared" si="28"/>
        <v>0</v>
      </c>
    </row>
    <row r="1807" spans="1:8" x14ac:dyDescent="0.25">
      <c r="A1807" s="1" t="s">
        <v>16</v>
      </c>
      <c r="B1807" s="1" t="s">
        <v>19</v>
      </c>
      <c r="C1807" s="6">
        <v>250</v>
      </c>
      <c r="D1807" s="6">
        <v>0</v>
      </c>
      <c r="E1807" s="6">
        <v>0</v>
      </c>
      <c r="F1807" s="6">
        <v>0</v>
      </c>
      <c r="G1807" s="7" t="s">
        <v>22</v>
      </c>
      <c r="H1807" s="1">
        <f t="shared" si="28"/>
        <v>0</v>
      </c>
    </row>
    <row r="1808" spans="1:8" x14ac:dyDescent="0.25">
      <c r="A1808" s="1" t="s">
        <v>16</v>
      </c>
      <c r="B1808" s="1" t="s">
        <v>19</v>
      </c>
      <c r="C1808" s="6">
        <v>625</v>
      </c>
      <c r="D1808" s="6">
        <v>0</v>
      </c>
      <c r="E1808" s="6">
        <v>0</v>
      </c>
      <c r="F1808" s="6">
        <v>0</v>
      </c>
      <c r="G1808" s="7" t="s">
        <v>22</v>
      </c>
      <c r="H1808" s="1">
        <f t="shared" si="28"/>
        <v>0</v>
      </c>
    </row>
    <row r="1809" spans="1:8" x14ac:dyDescent="0.25">
      <c r="A1809" s="1" t="s">
        <v>16</v>
      </c>
      <c r="B1809" s="1" t="s">
        <v>19</v>
      </c>
      <c r="C1809" s="6">
        <v>10750</v>
      </c>
      <c r="D1809" s="6">
        <v>0</v>
      </c>
      <c r="E1809" s="6">
        <v>0</v>
      </c>
      <c r="F1809" s="6">
        <v>0</v>
      </c>
      <c r="G1809" s="7" t="s">
        <v>22</v>
      </c>
      <c r="H1809" s="1">
        <f t="shared" si="28"/>
        <v>0</v>
      </c>
    </row>
    <row r="1810" spans="1:8" x14ac:dyDescent="0.25">
      <c r="A1810" s="1" t="s">
        <v>16</v>
      </c>
      <c r="B1810" s="1" t="s">
        <v>19</v>
      </c>
      <c r="C1810" s="6">
        <v>37500</v>
      </c>
      <c r="D1810" s="6">
        <v>0</v>
      </c>
      <c r="E1810" s="6">
        <v>0</v>
      </c>
      <c r="F1810" s="6">
        <v>0</v>
      </c>
      <c r="G1810" s="7" t="s">
        <v>22</v>
      </c>
      <c r="H1810" s="1">
        <f t="shared" si="28"/>
        <v>0</v>
      </c>
    </row>
    <row r="1811" spans="1:8" x14ac:dyDescent="0.25">
      <c r="A1811" s="1" t="s">
        <v>16</v>
      </c>
      <c r="B1811" s="1" t="s">
        <v>19</v>
      </c>
      <c r="C1811" s="6">
        <v>163750</v>
      </c>
      <c r="D1811" s="6">
        <v>164723.01999999999</v>
      </c>
      <c r="E1811" s="6">
        <v>164723.01999999999</v>
      </c>
      <c r="F1811" s="6">
        <v>150957.24249999999</v>
      </c>
      <c r="G1811" s="7" t="s">
        <v>22</v>
      </c>
      <c r="H1811" s="1">
        <f t="shared" si="28"/>
        <v>1.005942106870229</v>
      </c>
    </row>
    <row r="1812" spans="1:8" x14ac:dyDescent="0.25">
      <c r="A1812" s="1" t="s">
        <v>16</v>
      </c>
      <c r="B1812" s="1" t="s">
        <v>19</v>
      </c>
      <c r="C1812" s="6">
        <v>328141</v>
      </c>
      <c r="D1812" s="6">
        <v>321949.34250000003</v>
      </c>
      <c r="E1812" s="6">
        <v>317719.82500000001</v>
      </c>
      <c r="F1812" s="6">
        <v>294587.23</v>
      </c>
      <c r="G1812" s="7" t="s">
        <v>22</v>
      </c>
      <c r="H1812" s="1">
        <f t="shared" si="28"/>
        <v>0.98113110674984239</v>
      </c>
    </row>
    <row r="1813" spans="1:8" x14ac:dyDescent="0.25">
      <c r="A1813" s="1" t="s">
        <v>16</v>
      </c>
      <c r="B1813" s="1" t="s">
        <v>19</v>
      </c>
      <c r="C1813" s="6">
        <v>29050</v>
      </c>
      <c r="D1813" s="6">
        <v>0</v>
      </c>
      <c r="E1813" s="6">
        <v>0</v>
      </c>
      <c r="F1813" s="6">
        <v>0</v>
      </c>
      <c r="G1813" s="7" t="s">
        <v>22</v>
      </c>
      <c r="H1813" s="1">
        <f t="shared" si="28"/>
        <v>0</v>
      </c>
    </row>
    <row r="1814" spans="1:8" x14ac:dyDescent="0.25">
      <c r="A1814" s="1" t="s">
        <v>16</v>
      </c>
      <c r="B1814" s="1" t="s">
        <v>19</v>
      </c>
      <c r="C1814" s="6">
        <v>154000</v>
      </c>
      <c r="D1814" s="6">
        <v>3836.105</v>
      </c>
      <c r="E1814" s="6">
        <v>810</v>
      </c>
      <c r="F1814" s="6">
        <v>675</v>
      </c>
      <c r="G1814" s="7" t="s">
        <v>22</v>
      </c>
      <c r="H1814" s="1">
        <f t="shared" si="28"/>
        <v>2.4909772727272728E-2</v>
      </c>
    </row>
    <row r="1815" spans="1:8" x14ac:dyDescent="0.25">
      <c r="A1815" s="1" t="s">
        <v>16</v>
      </c>
      <c r="B1815" s="1" t="s">
        <v>19</v>
      </c>
      <c r="C1815" s="6">
        <v>953312</v>
      </c>
      <c r="D1815" s="6">
        <v>1056498.575</v>
      </c>
      <c r="E1815" s="6">
        <v>1026058.55</v>
      </c>
      <c r="F1815" s="6">
        <v>955583.86499999999</v>
      </c>
      <c r="G1815" s="7" t="s">
        <v>22</v>
      </c>
      <c r="H1815" s="1">
        <f t="shared" si="28"/>
        <v>1.1082400882397367</v>
      </c>
    </row>
    <row r="1816" spans="1:8" x14ac:dyDescent="0.25">
      <c r="A1816" s="1" t="s">
        <v>16</v>
      </c>
      <c r="B1816" s="1" t="s">
        <v>19</v>
      </c>
      <c r="C1816" s="6">
        <v>25250</v>
      </c>
      <c r="D1816" s="6">
        <v>2576.5500000000002</v>
      </c>
      <c r="E1816" s="6">
        <v>2576.5500000000002</v>
      </c>
      <c r="F1816" s="6">
        <v>2220.5500000000002</v>
      </c>
      <c r="G1816" s="7" t="s">
        <v>22</v>
      </c>
      <c r="H1816" s="1">
        <f t="shared" si="28"/>
        <v>0.10204158415841585</v>
      </c>
    </row>
    <row r="1817" spans="1:8" x14ac:dyDescent="0.25">
      <c r="A1817" s="1" t="s">
        <v>16</v>
      </c>
      <c r="B1817" s="1" t="s">
        <v>19</v>
      </c>
      <c r="C1817" s="6">
        <v>49000</v>
      </c>
      <c r="D1817" s="6">
        <v>0</v>
      </c>
      <c r="E1817" s="6">
        <v>0</v>
      </c>
      <c r="F1817" s="6">
        <v>0</v>
      </c>
      <c r="G1817" s="7" t="s">
        <v>22</v>
      </c>
      <c r="H1817" s="1">
        <f t="shared" si="28"/>
        <v>0</v>
      </c>
    </row>
    <row r="1818" spans="1:8" x14ac:dyDescent="0.25">
      <c r="A1818" s="1" t="s">
        <v>16</v>
      </c>
      <c r="B1818" s="1" t="s">
        <v>19</v>
      </c>
      <c r="C1818" s="6">
        <v>17000</v>
      </c>
      <c r="D1818" s="6">
        <v>0</v>
      </c>
      <c r="E1818" s="6">
        <v>0</v>
      </c>
      <c r="F1818" s="6">
        <v>0</v>
      </c>
      <c r="G1818" s="7" t="s">
        <v>22</v>
      </c>
      <c r="H1818" s="1">
        <f t="shared" si="28"/>
        <v>0</v>
      </c>
    </row>
    <row r="1819" spans="1:8" x14ac:dyDescent="0.25">
      <c r="A1819" s="1" t="s">
        <v>16</v>
      </c>
      <c r="B1819" s="1" t="s">
        <v>19</v>
      </c>
      <c r="C1819" s="6">
        <v>30000</v>
      </c>
      <c r="D1819" s="6">
        <v>0</v>
      </c>
      <c r="E1819" s="6">
        <v>0</v>
      </c>
      <c r="F1819" s="6">
        <v>0</v>
      </c>
      <c r="G1819" s="7" t="s">
        <v>22</v>
      </c>
      <c r="H1819" s="1">
        <f t="shared" si="28"/>
        <v>0</v>
      </c>
    </row>
    <row r="1820" spans="1:8" x14ac:dyDescent="0.25">
      <c r="A1820" s="1" t="s">
        <v>16</v>
      </c>
      <c r="B1820" s="1" t="s">
        <v>19</v>
      </c>
      <c r="C1820" s="6">
        <v>125000</v>
      </c>
      <c r="D1820" s="6">
        <v>0</v>
      </c>
      <c r="E1820" s="6">
        <v>0</v>
      </c>
      <c r="F1820" s="6">
        <v>0</v>
      </c>
      <c r="G1820" s="7" t="s">
        <v>22</v>
      </c>
      <c r="H1820" s="1">
        <f t="shared" si="28"/>
        <v>0</v>
      </c>
    </row>
    <row r="1821" spans="1:8" x14ac:dyDescent="0.25">
      <c r="A1821" s="1" t="s">
        <v>16</v>
      </c>
      <c r="B1821" s="1" t="s">
        <v>19</v>
      </c>
      <c r="C1821" s="6">
        <v>75000</v>
      </c>
      <c r="D1821" s="6">
        <v>0</v>
      </c>
      <c r="E1821" s="6">
        <v>0</v>
      </c>
      <c r="F1821" s="6">
        <v>0</v>
      </c>
      <c r="G1821" s="7" t="s">
        <v>22</v>
      </c>
      <c r="H1821" s="1">
        <f t="shared" si="28"/>
        <v>0</v>
      </c>
    </row>
    <row r="1822" spans="1:8" x14ac:dyDescent="0.25">
      <c r="A1822" s="1" t="s">
        <v>16</v>
      </c>
      <c r="B1822" s="1" t="s">
        <v>19</v>
      </c>
      <c r="C1822" s="6">
        <v>121468</v>
      </c>
      <c r="D1822" s="6">
        <v>121902.8075</v>
      </c>
      <c r="E1822" s="6">
        <v>110291.59</v>
      </c>
      <c r="F1822" s="6">
        <v>110291.59</v>
      </c>
      <c r="G1822" s="7" t="s">
        <v>22</v>
      </c>
      <c r="H1822" s="1">
        <f t="shared" si="28"/>
        <v>1.0035796053281523</v>
      </c>
    </row>
    <row r="1823" spans="1:8" x14ac:dyDescent="0.25">
      <c r="A1823" s="1" t="s">
        <v>16</v>
      </c>
      <c r="B1823" s="1" t="s">
        <v>19</v>
      </c>
      <c r="C1823" s="6">
        <v>25000</v>
      </c>
      <c r="D1823" s="6">
        <v>0</v>
      </c>
      <c r="E1823" s="6">
        <v>0</v>
      </c>
      <c r="F1823" s="6">
        <v>0</v>
      </c>
      <c r="G1823" s="7" t="s">
        <v>22</v>
      </c>
      <c r="H1823" s="1">
        <f t="shared" si="28"/>
        <v>0</v>
      </c>
    </row>
    <row r="1824" spans="1:8" x14ac:dyDescent="0.25">
      <c r="A1824" s="1" t="s">
        <v>16</v>
      </c>
      <c r="B1824" s="1" t="s">
        <v>19</v>
      </c>
      <c r="C1824" s="6">
        <v>25000</v>
      </c>
      <c r="D1824" s="6">
        <v>0</v>
      </c>
      <c r="E1824" s="6">
        <v>0</v>
      </c>
      <c r="F1824" s="6">
        <v>0</v>
      </c>
      <c r="G1824" s="7" t="s">
        <v>22</v>
      </c>
      <c r="H1824" s="1">
        <f t="shared" si="28"/>
        <v>0</v>
      </c>
    </row>
    <row r="1825" spans="1:8" x14ac:dyDescent="0.25">
      <c r="A1825" s="1" t="s">
        <v>12</v>
      </c>
      <c r="B1825" s="1" t="s">
        <v>13</v>
      </c>
      <c r="C1825" s="6">
        <v>407468</v>
      </c>
      <c r="D1825" s="6">
        <v>108000</v>
      </c>
      <c r="E1825" s="6">
        <v>67842.822499999995</v>
      </c>
      <c r="F1825" s="6">
        <v>52782.042500000003</v>
      </c>
      <c r="G1825" s="7" t="s">
        <v>22</v>
      </c>
      <c r="H1825" s="1">
        <f t="shared" si="28"/>
        <v>0.26505148870586154</v>
      </c>
    </row>
    <row r="1826" spans="1:8" x14ac:dyDescent="0.25">
      <c r="A1826" s="1" t="s">
        <v>12</v>
      </c>
      <c r="B1826" s="1" t="s">
        <v>13</v>
      </c>
      <c r="C1826" s="6">
        <v>329516</v>
      </c>
      <c r="D1826" s="6">
        <v>0</v>
      </c>
      <c r="E1826" s="6">
        <v>0</v>
      </c>
      <c r="F1826" s="6">
        <v>0</v>
      </c>
      <c r="G1826" s="7" t="s">
        <v>22</v>
      </c>
      <c r="H1826" s="1">
        <f t="shared" si="28"/>
        <v>0</v>
      </c>
    </row>
    <row r="1827" spans="1:8" x14ac:dyDescent="0.25">
      <c r="A1827" s="1" t="s">
        <v>12</v>
      </c>
      <c r="B1827" s="1" t="s">
        <v>13</v>
      </c>
      <c r="C1827" s="6">
        <v>950000</v>
      </c>
      <c r="D1827" s="6">
        <v>670579.43999999994</v>
      </c>
      <c r="E1827" s="6">
        <v>662579.43999999994</v>
      </c>
      <c r="F1827" s="6">
        <v>655963.10750000004</v>
      </c>
      <c r="G1827" s="7" t="s">
        <v>22</v>
      </c>
      <c r="H1827" s="1">
        <f t="shared" si="28"/>
        <v>0.70587309473684201</v>
      </c>
    </row>
    <row r="1828" spans="1:8" x14ac:dyDescent="0.25">
      <c r="A1828" s="1" t="s">
        <v>12</v>
      </c>
      <c r="B1828" s="1" t="s">
        <v>13</v>
      </c>
      <c r="C1828" s="6">
        <v>376751</v>
      </c>
      <c r="D1828" s="6">
        <v>44187.5</v>
      </c>
      <c r="E1828" s="6">
        <v>41737.5</v>
      </c>
      <c r="F1828" s="6">
        <v>39662.5</v>
      </c>
      <c r="G1828" s="7" t="s">
        <v>22</v>
      </c>
      <c r="H1828" s="1">
        <f t="shared" si="28"/>
        <v>0.11728568736380261</v>
      </c>
    </row>
    <row r="1829" spans="1:8" x14ac:dyDescent="0.25">
      <c r="A1829" s="1" t="s">
        <v>12</v>
      </c>
      <c r="B1829" s="1" t="s">
        <v>13</v>
      </c>
      <c r="C1829" s="6">
        <v>32750</v>
      </c>
      <c r="D1829" s="6">
        <v>0</v>
      </c>
      <c r="E1829" s="6">
        <v>0</v>
      </c>
      <c r="F1829" s="6">
        <v>0</v>
      </c>
      <c r="G1829" s="7" t="s">
        <v>22</v>
      </c>
      <c r="H1829" s="1">
        <f t="shared" si="28"/>
        <v>0</v>
      </c>
    </row>
    <row r="1830" spans="1:8" x14ac:dyDescent="0.25">
      <c r="A1830" s="1" t="s">
        <v>12</v>
      </c>
      <c r="B1830" s="1" t="s">
        <v>13</v>
      </c>
      <c r="C1830" s="6">
        <v>222764</v>
      </c>
      <c r="D1830" s="6">
        <v>37500</v>
      </c>
      <c r="E1830" s="6">
        <v>5829.8950000000004</v>
      </c>
      <c r="F1830" s="6">
        <v>5829.8950000000004</v>
      </c>
      <c r="G1830" s="7" t="s">
        <v>22</v>
      </c>
      <c r="H1830" s="1">
        <f t="shared" si="28"/>
        <v>0.16833958808425059</v>
      </c>
    </row>
    <row r="1831" spans="1:8" x14ac:dyDescent="0.25">
      <c r="A1831" s="1" t="s">
        <v>12</v>
      </c>
      <c r="B1831" s="1" t="s">
        <v>13</v>
      </c>
      <c r="C1831" s="6">
        <v>250</v>
      </c>
      <c r="D1831" s="6">
        <v>0</v>
      </c>
      <c r="E1831" s="6">
        <v>0</v>
      </c>
      <c r="F1831" s="6">
        <v>0</v>
      </c>
      <c r="G1831" s="7" t="s">
        <v>22</v>
      </c>
      <c r="H1831" s="1">
        <f t="shared" si="28"/>
        <v>0</v>
      </c>
    </row>
    <row r="1832" spans="1:8" x14ac:dyDescent="0.25">
      <c r="A1832" s="1" t="s">
        <v>12</v>
      </c>
      <c r="B1832" s="1" t="s">
        <v>13</v>
      </c>
      <c r="C1832" s="6">
        <v>368089</v>
      </c>
      <c r="D1832" s="6">
        <v>356438.42249999999</v>
      </c>
      <c r="E1832" s="6">
        <v>314309.05499999999</v>
      </c>
      <c r="F1832" s="6">
        <v>314309.05499999999</v>
      </c>
      <c r="G1832" s="7" t="s">
        <v>22</v>
      </c>
      <c r="H1832" s="1">
        <f t="shared" si="28"/>
        <v>0.96834847686293257</v>
      </c>
    </row>
    <row r="1833" spans="1:8" x14ac:dyDescent="0.25">
      <c r="A1833" s="1" t="s">
        <v>12</v>
      </c>
      <c r="B1833" s="1" t="s">
        <v>13</v>
      </c>
      <c r="C1833" s="6">
        <v>447102</v>
      </c>
      <c r="D1833" s="6">
        <v>46875</v>
      </c>
      <c r="E1833" s="6">
        <v>16801.827499999999</v>
      </c>
      <c r="F1833" s="6">
        <v>16801.827499999999</v>
      </c>
      <c r="G1833" s="7" t="s">
        <v>22</v>
      </c>
      <c r="H1833" s="1">
        <f t="shared" si="28"/>
        <v>0.10484184816887422</v>
      </c>
    </row>
    <row r="1834" spans="1:8" x14ac:dyDescent="0.25">
      <c r="A1834" s="1" t="s">
        <v>12</v>
      </c>
      <c r="B1834" s="1" t="s">
        <v>13</v>
      </c>
      <c r="C1834" s="6">
        <v>1175500</v>
      </c>
      <c r="D1834" s="6">
        <v>75000</v>
      </c>
      <c r="E1834" s="6">
        <v>0</v>
      </c>
      <c r="F1834" s="6">
        <v>0</v>
      </c>
      <c r="G1834" s="7" t="s">
        <v>22</v>
      </c>
      <c r="H1834" s="1">
        <f t="shared" si="28"/>
        <v>6.3802637175669932E-2</v>
      </c>
    </row>
    <row r="1835" spans="1:8" x14ac:dyDescent="0.25">
      <c r="A1835" s="1" t="s">
        <v>12</v>
      </c>
      <c r="B1835" s="1" t="s">
        <v>13</v>
      </c>
      <c r="C1835" s="6">
        <v>994750</v>
      </c>
      <c r="D1835" s="6">
        <v>516375</v>
      </c>
      <c r="E1835" s="6">
        <v>441125</v>
      </c>
      <c r="F1835" s="6">
        <v>441125</v>
      </c>
      <c r="G1835" s="7" t="s">
        <v>22</v>
      </c>
      <c r="H1835" s="1">
        <f t="shared" si="28"/>
        <v>0.51910027645136969</v>
      </c>
    </row>
    <row r="1836" spans="1:8" x14ac:dyDescent="0.25">
      <c r="A1836" s="1" t="s">
        <v>12</v>
      </c>
      <c r="B1836" s="1" t="s">
        <v>13</v>
      </c>
      <c r="C1836" s="6">
        <v>301000</v>
      </c>
      <c r="D1836" s="6">
        <v>150125</v>
      </c>
      <c r="E1836" s="6">
        <v>136500</v>
      </c>
      <c r="F1836" s="6">
        <v>136500</v>
      </c>
      <c r="G1836" s="7" t="s">
        <v>22</v>
      </c>
      <c r="H1836" s="1">
        <f t="shared" si="28"/>
        <v>0.49875415282392027</v>
      </c>
    </row>
    <row r="1837" spans="1:8" x14ac:dyDescent="0.25">
      <c r="A1837" s="1" t="s">
        <v>12</v>
      </c>
      <c r="B1837" s="1" t="s">
        <v>13</v>
      </c>
      <c r="C1837" s="6">
        <v>643250</v>
      </c>
      <c r="D1837" s="6">
        <v>493.48250000000002</v>
      </c>
      <c r="E1837" s="6">
        <v>493.48250000000002</v>
      </c>
      <c r="F1837" s="6">
        <v>493.48250000000002</v>
      </c>
      <c r="G1837" s="7" t="s">
        <v>22</v>
      </c>
      <c r="H1837" s="1">
        <f t="shared" si="28"/>
        <v>7.6717061795569374E-4</v>
      </c>
    </row>
    <row r="1838" spans="1:8" x14ac:dyDescent="0.25">
      <c r="A1838" s="1" t="s">
        <v>12</v>
      </c>
      <c r="B1838" s="1" t="s">
        <v>13</v>
      </c>
      <c r="C1838" s="6">
        <v>30750</v>
      </c>
      <c r="D1838" s="6">
        <v>125</v>
      </c>
      <c r="E1838" s="6">
        <v>125</v>
      </c>
      <c r="F1838" s="6">
        <v>125</v>
      </c>
      <c r="G1838" s="7" t="s">
        <v>22</v>
      </c>
      <c r="H1838" s="1">
        <f t="shared" si="28"/>
        <v>4.0650406504065045E-3</v>
      </c>
    </row>
    <row r="1839" spans="1:8" x14ac:dyDescent="0.25">
      <c r="A1839" s="1" t="s">
        <v>12</v>
      </c>
      <c r="B1839" s="1" t="s">
        <v>13</v>
      </c>
      <c r="C1839" s="6">
        <v>2210827</v>
      </c>
      <c r="D1839" s="6">
        <v>2247832.34</v>
      </c>
      <c r="E1839" s="6">
        <v>2247832.34</v>
      </c>
      <c r="F1839" s="6">
        <v>1935906.6025</v>
      </c>
      <c r="G1839" s="7" t="s">
        <v>22</v>
      </c>
      <c r="H1839" s="1">
        <f t="shared" si="28"/>
        <v>1.0167382341540065</v>
      </c>
    </row>
    <row r="1840" spans="1:8" x14ac:dyDescent="0.25">
      <c r="A1840" s="1" t="s">
        <v>12</v>
      </c>
      <c r="B1840" s="1" t="s">
        <v>13</v>
      </c>
      <c r="C1840" s="6">
        <v>1504489</v>
      </c>
      <c r="D1840" s="6">
        <v>419835.19500000001</v>
      </c>
      <c r="E1840" s="6">
        <v>323751.05249999999</v>
      </c>
      <c r="F1840" s="6">
        <v>301734.78000000003</v>
      </c>
      <c r="G1840" s="7" t="s">
        <v>22</v>
      </c>
      <c r="H1840" s="1">
        <f t="shared" si="28"/>
        <v>0.27905501136930877</v>
      </c>
    </row>
    <row r="1841" spans="1:8" x14ac:dyDescent="0.25">
      <c r="A1841" s="1" t="s">
        <v>12</v>
      </c>
      <c r="B1841" s="1" t="s">
        <v>13</v>
      </c>
      <c r="C1841" s="6">
        <v>550750</v>
      </c>
      <c r="D1841" s="6">
        <v>0</v>
      </c>
      <c r="E1841" s="6">
        <v>0</v>
      </c>
      <c r="F1841" s="6">
        <v>0</v>
      </c>
      <c r="G1841" s="7" t="s">
        <v>22</v>
      </c>
      <c r="H1841" s="1">
        <f t="shared" si="28"/>
        <v>0</v>
      </c>
    </row>
    <row r="1842" spans="1:8" x14ac:dyDescent="0.25">
      <c r="A1842" s="1" t="s">
        <v>12</v>
      </c>
      <c r="B1842" s="1" t="s">
        <v>13</v>
      </c>
      <c r="C1842" s="6">
        <v>15500</v>
      </c>
      <c r="D1842" s="6">
        <v>0</v>
      </c>
      <c r="E1842" s="6">
        <v>0</v>
      </c>
      <c r="F1842" s="6">
        <v>0</v>
      </c>
      <c r="G1842" s="7" t="s">
        <v>22</v>
      </c>
      <c r="H1842" s="1">
        <f t="shared" si="28"/>
        <v>0</v>
      </c>
    </row>
    <row r="1843" spans="1:8" x14ac:dyDescent="0.25">
      <c r="A1843" s="1" t="s">
        <v>12</v>
      </c>
      <c r="B1843" s="1" t="s">
        <v>13</v>
      </c>
      <c r="C1843" s="6">
        <v>125500</v>
      </c>
      <c r="D1843" s="6">
        <v>0</v>
      </c>
      <c r="E1843" s="6">
        <v>0</v>
      </c>
      <c r="F1843" s="6">
        <v>0</v>
      </c>
      <c r="G1843" s="7" t="s">
        <v>22</v>
      </c>
      <c r="H1843" s="1">
        <f t="shared" si="28"/>
        <v>0</v>
      </c>
    </row>
    <row r="1844" spans="1:8" x14ac:dyDescent="0.25">
      <c r="A1844" s="1" t="s">
        <v>12</v>
      </c>
      <c r="B1844" s="1" t="s">
        <v>13</v>
      </c>
      <c r="C1844" s="6">
        <v>2094335</v>
      </c>
      <c r="D1844" s="6">
        <v>1345237.0349999999</v>
      </c>
      <c r="E1844" s="6">
        <v>1047520.16</v>
      </c>
      <c r="F1844" s="6">
        <v>852061.43</v>
      </c>
      <c r="G1844" s="7" t="s">
        <v>22</v>
      </c>
      <c r="H1844" s="1">
        <f t="shared" si="28"/>
        <v>0.64232180381839576</v>
      </c>
    </row>
    <row r="1845" spans="1:8" x14ac:dyDescent="0.25">
      <c r="A1845" s="1" t="s">
        <v>12</v>
      </c>
      <c r="B1845" s="1" t="s">
        <v>13</v>
      </c>
      <c r="C1845" s="6">
        <v>2523687</v>
      </c>
      <c r="D1845" s="6">
        <v>882426.56</v>
      </c>
      <c r="E1845" s="6">
        <v>770775.58750000002</v>
      </c>
      <c r="F1845" s="6">
        <v>407478.78499999997</v>
      </c>
      <c r="G1845" s="7" t="s">
        <v>22</v>
      </c>
      <c r="H1845" s="1">
        <f t="shared" si="28"/>
        <v>0.34965768734395353</v>
      </c>
    </row>
    <row r="1846" spans="1:8" x14ac:dyDescent="0.25">
      <c r="A1846" s="1" t="s">
        <v>12</v>
      </c>
      <c r="B1846" s="1" t="s">
        <v>13</v>
      </c>
      <c r="C1846" s="6">
        <v>747755</v>
      </c>
      <c r="D1846" s="6">
        <v>123897.26</v>
      </c>
      <c r="E1846" s="6">
        <v>123897.26</v>
      </c>
      <c r="F1846" s="6">
        <v>45119.144999999997</v>
      </c>
      <c r="G1846" s="7" t="s">
        <v>22</v>
      </c>
      <c r="H1846" s="1">
        <f t="shared" si="28"/>
        <v>0.16569231900823131</v>
      </c>
    </row>
    <row r="1847" spans="1:8" x14ac:dyDescent="0.25">
      <c r="A1847" s="1" t="s">
        <v>12</v>
      </c>
      <c r="B1847" s="1" t="s">
        <v>13</v>
      </c>
      <c r="C1847" s="6">
        <v>9737323</v>
      </c>
      <c r="D1847" s="6">
        <v>3029642.6074999999</v>
      </c>
      <c r="E1847" s="6">
        <v>2072293.895</v>
      </c>
      <c r="F1847" s="6">
        <v>1905177.2450000001</v>
      </c>
      <c r="G1847" s="7" t="s">
        <v>22</v>
      </c>
      <c r="H1847" s="1">
        <f t="shared" si="28"/>
        <v>0.31113711720356818</v>
      </c>
    </row>
    <row r="1848" spans="1:8" x14ac:dyDescent="0.25">
      <c r="A1848" s="1" t="s">
        <v>12</v>
      </c>
      <c r="B1848" s="1" t="s">
        <v>13</v>
      </c>
      <c r="C1848" s="6">
        <v>392743</v>
      </c>
      <c r="D1848" s="6">
        <v>61430.404999999999</v>
      </c>
      <c r="E1848" s="6">
        <v>61430.404999999999</v>
      </c>
      <c r="F1848" s="6">
        <v>61430.404999999999</v>
      </c>
      <c r="G1848" s="7" t="s">
        <v>22</v>
      </c>
      <c r="H1848" s="1">
        <f t="shared" si="28"/>
        <v>0.15641374894014662</v>
      </c>
    </row>
    <row r="1849" spans="1:8" x14ac:dyDescent="0.25">
      <c r="A1849" s="1" t="s">
        <v>12</v>
      </c>
      <c r="B1849" s="1" t="s">
        <v>13</v>
      </c>
      <c r="C1849" s="6">
        <v>709461</v>
      </c>
      <c r="D1849" s="6">
        <v>308143.505</v>
      </c>
      <c r="E1849" s="6">
        <v>261930.93</v>
      </c>
      <c r="F1849" s="6">
        <v>247951.8</v>
      </c>
      <c r="G1849" s="7" t="s">
        <v>22</v>
      </c>
      <c r="H1849" s="1">
        <f t="shared" si="28"/>
        <v>0.43433466392092024</v>
      </c>
    </row>
    <row r="1850" spans="1:8" x14ac:dyDescent="0.25">
      <c r="A1850" s="1" t="s">
        <v>12</v>
      </c>
      <c r="B1850" s="1" t="s">
        <v>13</v>
      </c>
      <c r="C1850" s="6">
        <v>2335675</v>
      </c>
      <c r="D1850" s="6">
        <v>417450.61499999999</v>
      </c>
      <c r="E1850" s="6">
        <v>297965.74249999999</v>
      </c>
      <c r="F1850" s="6">
        <v>272417.55249999999</v>
      </c>
      <c r="G1850" s="7" t="s">
        <v>22</v>
      </c>
      <c r="H1850" s="1">
        <f t="shared" si="28"/>
        <v>0.17872804007406853</v>
      </c>
    </row>
    <row r="1851" spans="1:8" x14ac:dyDescent="0.25">
      <c r="A1851" s="1" t="s">
        <v>12</v>
      </c>
      <c r="B1851" s="1" t="s">
        <v>13</v>
      </c>
      <c r="C1851" s="6">
        <v>2080634</v>
      </c>
      <c r="D1851" s="6">
        <v>331639.21000000002</v>
      </c>
      <c r="E1851" s="6">
        <v>295167.83250000002</v>
      </c>
      <c r="F1851" s="6">
        <v>295167.83250000002</v>
      </c>
      <c r="G1851" s="7" t="s">
        <v>22</v>
      </c>
      <c r="H1851" s="1">
        <f t="shared" si="28"/>
        <v>0.1593933435673934</v>
      </c>
    </row>
    <row r="1852" spans="1:8" x14ac:dyDescent="0.25">
      <c r="A1852" s="1" t="s">
        <v>12</v>
      </c>
      <c r="B1852" s="1" t="s">
        <v>13</v>
      </c>
      <c r="C1852" s="6">
        <v>259450</v>
      </c>
      <c r="D1852" s="6">
        <v>308508.07500000001</v>
      </c>
      <c r="E1852" s="6">
        <v>284873.41499999998</v>
      </c>
      <c r="F1852" s="6">
        <v>270435.97499999998</v>
      </c>
      <c r="G1852" s="7" t="s">
        <v>22</v>
      </c>
      <c r="H1852" s="1">
        <f t="shared" si="28"/>
        <v>1.1890848911158221</v>
      </c>
    </row>
    <row r="1853" spans="1:8" x14ac:dyDescent="0.25">
      <c r="A1853" s="1" t="s">
        <v>12</v>
      </c>
      <c r="B1853" s="1" t="s">
        <v>13</v>
      </c>
      <c r="C1853" s="6">
        <v>922086</v>
      </c>
      <c r="D1853" s="6">
        <v>915468.27749999997</v>
      </c>
      <c r="E1853" s="6">
        <v>740980.80249999999</v>
      </c>
      <c r="F1853" s="6">
        <v>674485.05</v>
      </c>
      <c r="G1853" s="7" t="s">
        <v>22</v>
      </c>
      <c r="H1853" s="1">
        <f t="shared" si="28"/>
        <v>0.99282309621879083</v>
      </c>
    </row>
    <row r="1854" spans="1:8" x14ac:dyDescent="0.25">
      <c r="A1854" s="1" t="s">
        <v>12</v>
      </c>
      <c r="B1854" s="1" t="s">
        <v>13</v>
      </c>
      <c r="C1854" s="6">
        <v>5982655</v>
      </c>
      <c r="D1854" s="6">
        <v>6974024.665</v>
      </c>
      <c r="E1854" s="6">
        <v>5724942.1174999997</v>
      </c>
      <c r="F1854" s="6">
        <v>5332843.4924999997</v>
      </c>
      <c r="G1854" s="7" t="s">
        <v>22</v>
      </c>
      <c r="H1854" s="1">
        <f t="shared" si="28"/>
        <v>1.1657073097144997</v>
      </c>
    </row>
    <row r="1855" spans="1:8" x14ac:dyDescent="0.25">
      <c r="A1855" s="1" t="s">
        <v>12</v>
      </c>
      <c r="B1855" s="1" t="s">
        <v>13</v>
      </c>
      <c r="C1855" s="6">
        <v>108377</v>
      </c>
      <c r="D1855" s="6">
        <v>155756.41250000001</v>
      </c>
      <c r="E1855" s="6">
        <v>114712.91499999999</v>
      </c>
      <c r="F1855" s="6">
        <v>114609.28750000001</v>
      </c>
      <c r="G1855" s="7" t="s">
        <v>22</v>
      </c>
      <c r="H1855" s="1">
        <f t="shared" si="28"/>
        <v>1.4371722090480452</v>
      </c>
    </row>
    <row r="1856" spans="1:8" x14ac:dyDescent="0.25">
      <c r="A1856" s="1" t="s">
        <v>12</v>
      </c>
      <c r="B1856" s="1" t="s">
        <v>13</v>
      </c>
      <c r="C1856" s="6">
        <v>3273507</v>
      </c>
      <c r="D1856" s="6">
        <v>3633375</v>
      </c>
      <c r="E1856" s="6">
        <v>2525953.2675000001</v>
      </c>
      <c r="F1856" s="6">
        <v>2306212.09</v>
      </c>
      <c r="G1856" s="7" t="s">
        <v>22</v>
      </c>
      <c r="H1856" s="1">
        <f t="shared" si="28"/>
        <v>1.109933475016244</v>
      </c>
    </row>
    <row r="1857" spans="1:8" x14ac:dyDescent="0.25">
      <c r="A1857" s="1" t="s">
        <v>12</v>
      </c>
      <c r="B1857" s="1" t="s">
        <v>13</v>
      </c>
      <c r="C1857" s="6">
        <v>9176805</v>
      </c>
      <c r="D1857" s="6">
        <v>2666017.5074999998</v>
      </c>
      <c r="E1857" s="6">
        <v>2263927</v>
      </c>
      <c r="F1857" s="6">
        <v>2138386.0499999998</v>
      </c>
      <c r="G1857" s="7" t="s">
        <v>22</v>
      </c>
      <c r="H1857" s="1">
        <f t="shared" si="28"/>
        <v>0.29051696178571951</v>
      </c>
    </row>
    <row r="1858" spans="1:8" x14ac:dyDescent="0.25">
      <c r="A1858" s="1" t="s">
        <v>12</v>
      </c>
      <c r="B1858" s="1" t="s">
        <v>13</v>
      </c>
      <c r="C1858" s="6">
        <v>5856600</v>
      </c>
      <c r="D1858" s="6">
        <v>1181494.2775000001</v>
      </c>
      <c r="E1858" s="6">
        <v>1181494.2775000001</v>
      </c>
      <c r="F1858" s="6">
        <v>1098692.605</v>
      </c>
      <c r="G1858" s="7" t="s">
        <v>22</v>
      </c>
      <c r="H1858" s="1">
        <f t="shared" ref="H1858:H1921" si="29">IF(OR(ISNA($D1858),ISNA($C1858),$C1858=0),0,$D1858/$C1858)</f>
        <v>0.20173723278011135</v>
      </c>
    </row>
    <row r="1859" spans="1:8" x14ac:dyDescent="0.25">
      <c r="A1859" s="1" t="s">
        <v>12</v>
      </c>
      <c r="B1859" s="1" t="s">
        <v>13</v>
      </c>
      <c r="C1859" s="6">
        <v>727500</v>
      </c>
      <c r="D1859" s="6">
        <v>0</v>
      </c>
      <c r="E1859" s="6">
        <v>0</v>
      </c>
      <c r="F1859" s="6">
        <v>0</v>
      </c>
      <c r="G1859" s="7" t="s">
        <v>22</v>
      </c>
      <c r="H1859" s="1">
        <f t="shared" si="29"/>
        <v>0</v>
      </c>
    </row>
    <row r="1860" spans="1:8" x14ac:dyDescent="0.25">
      <c r="A1860" s="1" t="s">
        <v>12</v>
      </c>
      <c r="B1860" s="1" t="s">
        <v>13</v>
      </c>
      <c r="C1860" s="6">
        <v>2750</v>
      </c>
      <c r="D1860" s="6">
        <v>0</v>
      </c>
      <c r="E1860" s="6">
        <v>0</v>
      </c>
      <c r="F1860" s="6">
        <v>0</v>
      </c>
      <c r="G1860" s="7" t="s">
        <v>22</v>
      </c>
      <c r="H1860" s="1">
        <f t="shared" si="29"/>
        <v>0</v>
      </c>
    </row>
    <row r="1861" spans="1:8" x14ac:dyDescent="0.25">
      <c r="A1861" s="1" t="s">
        <v>12</v>
      </c>
      <c r="B1861" s="1" t="s">
        <v>13</v>
      </c>
      <c r="C1861" s="6">
        <v>3452338</v>
      </c>
      <c r="D1861" s="6">
        <v>47625</v>
      </c>
      <c r="E1861" s="6">
        <v>40375</v>
      </c>
      <c r="F1861" s="6">
        <v>40375</v>
      </c>
      <c r="G1861" s="7" t="s">
        <v>22</v>
      </c>
      <c r="H1861" s="1">
        <f t="shared" si="29"/>
        <v>1.3794999215024717E-2</v>
      </c>
    </row>
    <row r="1862" spans="1:8" x14ac:dyDescent="0.25">
      <c r="A1862" s="1" t="s">
        <v>12</v>
      </c>
      <c r="B1862" s="1" t="s">
        <v>13</v>
      </c>
      <c r="C1862" s="6">
        <v>15500</v>
      </c>
      <c r="D1862" s="6">
        <v>0</v>
      </c>
      <c r="E1862" s="6">
        <v>0</v>
      </c>
      <c r="F1862" s="6">
        <v>0</v>
      </c>
      <c r="G1862" s="7" t="s">
        <v>22</v>
      </c>
      <c r="H1862" s="1">
        <f t="shared" si="29"/>
        <v>0</v>
      </c>
    </row>
    <row r="1863" spans="1:8" x14ac:dyDescent="0.25">
      <c r="A1863" s="1" t="s">
        <v>12</v>
      </c>
      <c r="B1863" s="1" t="s">
        <v>13</v>
      </c>
      <c r="C1863" s="6">
        <v>15500</v>
      </c>
      <c r="D1863" s="6">
        <v>0</v>
      </c>
      <c r="E1863" s="6">
        <v>0</v>
      </c>
      <c r="F1863" s="6">
        <v>0</v>
      </c>
      <c r="G1863" s="7" t="s">
        <v>22</v>
      </c>
      <c r="H1863" s="1">
        <f t="shared" si="29"/>
        <v>0</v>
      </c>
    </row>
    <row r="1864" spans="1:8" x14ac:dyDescent="0.25">
      <c r="A1864" s="1" t="s">
        <v>12</v>
      </c>
      <c r="B1864" s="1" t="s">
        <v>13</v>
      </c>
      <c r="C1864" s="6">
        <v>442250</v>
      </c>
      <c r="D1864" s="6">
        <v>0</v>
      </c>
      <c r="E1864" s="6">
        <v>0</v>
      </c>
      <c r="F1864" s="6">
        <v>0</v>
      </c>
      <c r="G1864" s="7" t="s">
        <v>22</v>
      </c>
      <c r="H1864" s="1">
        <f t="shared" si="29"/>
        <v>0</v>
      </c>
    </row>
    <row r="1865" spans="1:8" x14ac:dyDescent="0.25">
      <c r="A1865" s="1" t="s">
        <v>12</v>
      </c>
      <c r="B1865" s="1" t="s">
        <v>13</v>
      </c>
      <c r="C1865" s="6">
        <v>242481</v>
      </c>
      <c r="D1865" s="6">
        <v>0</v>
      </c>
      <c r="E1865" s="6">
        <v>0</v>
      </c>
      <c r="F1865" s="6">
        <v>0</v>
      </c>
      <c r="G1865" s="7" t="s">
        <v>22</v>
      </c>
      <c r="H1865" s="1">
        <f t="shared" si="29"/>
        <v>0</v>
      </c>
    </row>
    <row r="1866" spans="1:8" x14ac:dyDescent="0.25">
      <c r="A1866" s="1" t="s">
        <v>12</v>
      </c>
      <c r="B1866" s="1" t="s">
        <v>14</v>
      </c>
      <c r="C1866" s="6">
        <v>10782112</v>
      </c>
      <c r="D1866" s="6">
        <v>12864437.5375</v>
      </c>
      <c r="E1866" s="6">
        <v>11189145.605</v>
      </c>
      <c r="F1866" s="6">
        <v>11189145.605</v>
      </c>
      <c r="G1866" s="7" t="s">
        <v>22</v>
      </c>
      <c r="H1866" s="1">
        <f t="shared" si="29"/>
        <v>1.1931277969937615</v>
      </c>
    </row>
    <row r="1867" spans="1:8" x14ac:dyDescent="0.25">
      <c r="A1867" s="1" t="s">
        <v>12</v>
      </c>
      <c r="B1867" s="1" t="s">
        <v>14</v>
      </c>
      <c r="C1867" s="6">
        <v>0</v>
      </c>
      <c r="D1867" s="6">
        <v>75000</v>
      </c>
      <c r="E1867" s="6">
        <v>0</v>
      </c>
      <c r="F1867" s="6">
        <v>0</v>
      </c>
      <c r="G1867" s="7" t="s">
        <v>22</v>
      </c>
      <c r="H1867" s="1">
        <f t="shared" si="29"/>
        <v>0</v>
      </c>
    </row>
    <row r="1868" spans="1:8" x14ac:dyDescent="0.25">
      <c r="A1868" s="1" t="s">
        <v>12</v>
      </c>
      <c r="B1868" s="1" t="s">
        <v>14</v>
      </c>
      <c r="C1868" s="6">
        <v>24597170</v>
      </c>
      <c r="D1868" s="6">
        <v>23454805.4175</v>
      </c>
      <c r="E1868" s="6">
        <v>21605801.285</v>
      </c>
      <c r="F1868" s="6">
        <v>21605801.285</v>
      </c>
      <c r="G1868" s="7" t="s">
        <v>22</v>
      </c>
      <c r="H1868" s="1">
        <f t="shared" si="29"/>
        <v>0.95355707252094446</v>
      </c>
    </row>
    <row r="1869" spans="1:8" x14ac:dyDescent="0.25">
      <c r="A1869" s="1" t="s">
        <v>12</v>
      </c>
      <c r="B1869" s="1" t="s">
        <v>14</v>
      </c>
      <c r="C1869" s="6">
        <v>1702980</v>
      </c>
      <c r="D1869" s="6">
        <v>1332170.5549999999</v>
      </c>
      <c r="E1869" s="6">
        <v>1098334.2825</v>
      </c>
      <c r="F1869" s="6">
        <v>1070630.8725000001</v>
      </c>
      <c r="G1869" s="7" t="s">
        <v>22</v>
      </c>
      <c r="H1869" s="1">
        <f t="shared" si="29"/>
        <v>0.7822584851260731</v>
      </c>
    </row>
    <row r="1870" spans="1:8" x14ac:dyDescent="0.25">
      <c r="A1870" s="1" t="s">
        <v>12</v>
      </c>
      <c r="B1870" s="1" t="s">
        <v>14</v>
      </c>
      <c r="C1870" s="6">
        <v>8159035</v>
      </c>
      <c r="D1870" s="6">
        <v>8853226.4525000006</v>
      </c>
      <c r="E1870" s="6">
        <v>6982873.0875000004</v>
      </c>
      <c r="F1870" s="6">
        <v>6982873.0875000004</v>
      </c>
      <c r="G1870" s="7" t="s">
        <v>22</v>
      </c>
      <c r="H1870" s="1">
        <f t="shared" si="29"/>
        <v>1.0850825437689628</v>
      </c>
    </row>
    <row r="1871" spans="1:8" x14ac:dyDescent="0.25">
      <c r="A1871" s="1" t="s">
        <v>12</v>
      </c>
      <c r="B1871" s="1" t="s">
        <v>14</v>
      </c>
      <c r="C1871" s="6">
        <v>5000</v>
      </c>
      <c r="D1871" s="6">
        <v>0</v>
      </c>
      <c r="E1871" s="6">
        <v>0</v>
      </c>
      <c r="F1871" s="6">
        <v>0</v>
      </c>
      <c r="G1871" s="7" t="s">
        <v>22</v>
      </c>
      <c r="H1871" s="1">
        <f t="shared" si="29"/>
        <v>0</v>
      </c>
    </row>
    <row r="1872" spans="1:8" x14ac:dyDescent="0.25">
      <c r="A1872" s="1" t="s">
        <v>12</v>
      </c>
      <c r="B1872" s="1" t="s">
        <v>14</v>
      </c>
      <c r="C1872" s="6">
        <v>28551864</v>
      </c>
      <c r="D1872" s="6">
        <v>27645220.704999998</v>
      </c>
      <c r="E1872" s="6">
        <v>26989708.010000002</v>
      </c>
      <c r="F1872" s="6">
        <v>25181389.182500001</v>
      </c>
      <c r="G1872" s="7" t="s">
        <v>22</v>
      </c>
      <c r="H1872" s="1">
        <f t="shared" si="29"/>
        <v>0.96824574062835256</v>
      </c>
    </row>
    <row r="1873" spans="1:8" x14ac:dyDescent="0.25">
      <c r="A1873" s="1" t="s">
        <v>12</v>
      </c>
      <c r="B1873" s="1" t="s">
        <v>14</v>
      </c>
      <c r="C1873" s="6">
        <v>76112178</v>
      </c>
      <c r="D1873" s="6">
        <v>29533339.675000001</v>
      </c>
      <c r="E1873" s="6">
        <v>22877081.885000002</v>
      </c>
      <c r="F1873" s="6">
        <v>21204241.307500001</v>
      </c>
      <c r="G1873" s="7" t="s">
        <v>22</v>
      </c>
      <c r="H1873" s="1">
        <f t="shared" si="29"/>
        <v>0.38802384127018413</v>
      </c>
    </row>
    <row r="1874" spans="1:8" x14ac:dyDescent="0.25">
      <c r="A1874" s="1" t="s">
        <v>12</v>
      </c>
      <c r="B1874" s="1" t="s">
        <v>14</v>
      </c>
      <c r="C1874" s="6">
        <v>4131529</v>
      </c>
      <c r="D1874" s="6">
        <v>36930.75</v>
      </c>
      <c r="E1874" s="6">
        <v>4387.5</v>
      </c>
      <c r="F1874" s="6">
        <v>0</v>
      </c>
      <c r="G1874" s="7" t="s">
        <v>22</v>
      </c>
      <c r="H1874" s="1">
        <f t="shared" si="29"/>
        <v>8.9387609284601408E-3</v>
      </c>
    </row>
    <row r="1875" spans="1:8" x14ac:dyDescent="0.25">
      <c r="A1875" s="1" t="s">
        <v>12</v>
      </c>
      <c r="B1875" s="1" t="s">
        <v>14</v>
      </c>
      <c r="C1875" s="6">
        <v>10047100</v>
      </c>
      <c r="D1875" s="6">
        <v>7022437.4400000004</v>
      </c>
      <c r="E1875" s="6">
        <v>4726338.4175000004</v>
      </c>
      <c r="F1875" s="6">
        <v>4140712.4925000002</v>
      </c>
      <c r="G1875" s="7" t="s">
        <v>22</v>
      </c>
      <c r="H1875" s="1">
        <f t="shared" si="29"/>
        <v>0.6989516815797594</v>
      </c>
    </row>
    <row r="1876" spans="1:8" x14ac:dyDescent="0.25">
      <c r="A1876" s="1" t="s">
        <v>12</v>
      </c>
      <c r="B1876" s="1" t="s">
        <v>14</v>
      </c>
      <c r="C1876" s="6">
        <v>29906491</v>
      </c>
      <c r="D1876" s="6">
        <v>26539708.41</v>
      </c>
      <c r="E1876" s="6">
        <v>23102358.467500001</v>
      </c>
      <c r="F1876" s="6">
        <v>23102358.467500001</v>
      </c>
      <c r="G1876" s="7" t="s">
        <v>22</v>
      </c>
      <c r="H1876" s="1">
        <f t="shared" si="29"/>
        <v>0.88742301495685338</v>
      </c>
    </row>
    <row r="1877" spans="1:8" x14ac:dyDescent="0.25">
      <c r="A1877" s="1" t="s">
        <v>12</v>
      </c>
      <c r="B1877" s="1" t="s">
        <v>14</v>
      </c>
      <c r="C1877" s="6">
        <v>2500</v>
      </c>
      <c r="D1877" s="6">
        <v>44456.364999999998</v>
      </c>
      <c r="E1877" s="6">
        <v>31214.47</v>
      </c>
      <c r="F1877" s="6">
        <v>31214.47</v>
      </c>
      <c r="G1877" s="7" t="s">
        <v>22</v>
      </c>
      <c r="H1877" s="1">
        <f t="shared" si="29"/>
        <v>17.782546</v>
      </c>
    </row>
    <row r="1878" spans="1:8" x14ac:dyDescent="0.25">
      <c r="A1878" s="1" t="s">
        <v>12</v>
      </c>
      <c r="B1878" s="1" t="s">
        <v>14</v>
      </c>
      <c r="C1878" s="6">
        <v>68616</v>
      </c>
      <c r="D1878" s="6">
        <v>114055</v>
      </c>
      <c r="E1878" s="6">
        <v>61579.177499999998</v>
      </c>
      <c r="F1878" s="6">
        <v>61579.177499999998</v>
      </c>
      <c r="G1878" s="7" t="s">
        <v>22</v>
      </c>
      <c r="H1878" s="1">
        <f t="shared" si="29"/>
        <v>1.6622216392678093</v>
      </c>
    </row>
    <row r="1879" spans="1:8" x14ac:dyDescent="0.25">
      <c r="A1879" s="1" t="s">
        <v>12</v>
      </c>
      <c r="B1879" s="1" t="s">
        <v>14</v>
      </c>
      <c r="C1879" s="6">
        <v>838503</v>
      </c>
      <c r="D1879" s="6">
        <v>251616.0275</v>
      </c>
      <c r="E1879" s="6">
        <v>251616.0275</v>
      </c>
      <c r="F1879" s="6">
        <v>251616.0275</v>
      </c>
      <c r="G1879" s="7" t="s">
        <v>22</v>
      </c>
      <c r="H1879" s="1">
        <f t="shared" si="29"/>
        <v>0.30007767115919681</v>
      </c>
    </row>
    <row r="1880" spans="1:8" x14ac:dyDescent="0.25">
      <c r="A1880" s="1" t="s">
        <v>12</v>
      </c>
      <c r="B1880" s="1" t="s">
        <v>14</v>
      </c>
      <c r="C1880" s="6">
        <v>543837</v>
      </c>
      <c r="D1880" s="6">
        <v>243552.5</v>
      </c>
      <c r="E1880" s="6">
        <v>152903.70749999999</v>
      </c>
      <c r="F1880" s="6">
        <v>152903.70749999999</v>
      </c>
      <c r="G1880" s="7" t="s">
        <v>22</v>
      </c>
      <c r="H1880" s="1">
        <f t="shared" si="29"/>
        <v>0.44784098911990172</v>
      </c>
    </row>
    <row r="1881" spans="1:8" x14ac:dyDescent="0.25">
      <c r="A1881" s="1" t="s">
        <v>12</v>
      </c>
      <c r="B1881" s="1" t="s">
        <v>14</v>
      </c>
      <c r="C1881" s="6">
        <v>2750</v>
      </c>
      <c r="D1881" s="6">
        <v>0</v>
      </c>
      <c r="E1881" s="6">
        <v>0</v>
      </c>
      <c r="F1881" s="6">
        <v>0</v>
      </c>
      <c r="G1881" s="7" t="s">
        <v>22</v>
      </c>
      <c r="H1881" s="1">
        <f t="shared" si="29"/>
        <v>0</v>
      </c>
    </row>
    <row r="1882" spans="1:8" x14ac:dyDescent="0.25">
      <c r="A1882" s="1" t="s">
        <v>12</v>
      </c>
      <c r="B1882" s="1" t="s">
        <v>15</v>
      </c>
      <c r="C1882" s="6">
        <v>0</v>
      </c>
      <c r="D1882" s="6">
        <v>10198516.33</v>
      </c>
      <c r="E1882" s="6">
        <v>8852156.9800000004</v>
      </c>
      <c r="F1882" s="6">
        <v>8423874.4399999995</v>
      </c>
      <c r="G1882" s="7" t="s">
        <v>22</v>
      </c>
      <c r="H1882" s="1">
        <f t="shared" si="29"/>
        <v>0</v>
      </c>
    </row>
    <row r="1883" spans="1:8" x14ac:dyDescent="0.25">
      <c r="A1883" s="1" t="s">
        <v>12</v>
      </c>
      <c r="B1883" s="1" t="s">
        <v>15</v>
      </c>
      <c r="C1883" s="6">
        <v>89750</v>
      </c>
      <c r="D1883" s="6">
        <v>0</v>
      </c>
      <c r="E1883" s="6">
        <v>0</v>
      </c>
      <c r="F1883" s="6">
        <v>0</v>
      </c>
      <c r="G1883" s="7" t="s">
        <v>22</v>
      </c>
      <c r="H1883" s="1">
        <f t="shared" si="29"/>
        <v>0</v>
      </c>
    </row>
    <row r="1884" spans="1:8" x14ac:dyDescent="0.25">
      <c r="A1884" s="1" t="s">
        <v>12</v>
      </c>
      <c r="B1884" s="1" t="s">
        <v>15</v>
      </c>
      <c r="C1884" s="6">
        <v>3352600</v>
      </c>
      <c r="D1884" s="6">
        <v>711238.16</v>
      </c>
      <c r="E1884" s="6">
        <v>711238.16</v>
      </c>
      <c r="F1884" s="6">
        <v>711238.16</v>
      </c>
      <c r="G1884" s="7" t="s">
        <v>22</v>
      </c>
      <c r="H1884" s="1">
        <f t="shared" si="29"/>
        <v>0.21214524846387878</v>
      </c>
    </row>
    <row r="1885" spans="1:8" x14ac:dyDescent="0.25">
      <c r="A1885" s="1" t="s">
        <v>12</v>
      </c>
      <c r="B1885" s="1" t="s">
        <v>15</v>
      </c>
      <c r="C1885" s="6">
        <v>6484225</v>
      </c>
      <c r="D1885" s="6">
        <v>0</v>
      </c>
      <c r="E1885" s="6">
        <v>0</v>
      </c>
      <c r="F1885" s="6">
        <v>0</v>
      </c>
      <c r="G1885" s="7" t="s">
        <v>22</v>
      </c>
      <c r="H1885" s="1">
        <f t="shared" si="29"/>
        <v>0</v>
      </c>
    </row>
    <row r="1886" spans="1:8" x14ac:dyDescent="0.25">
      <c r="A1886" s="1" t="s">
        <v>12</v>
      </c>
      <c r="B1886" s="1" t="s">
        <v>15</v>
      </c>
      <c r="C1886" s="6">
        <v>904727</v>
      </c>
      <c r="D1886" s="6">
        <v>0</v>
      </c>
      <c r="E1886" s="6">
        <v>0</v>
      </c>
      <c r="F1886" s="6">
        <v>0</v>
      </c>
      <c r="G1886" s="7" t="s">
        <v>22</v>
      </c>
      <c r="H1886" s="1">
        <f t="shared" si="29"/>
        <v>0</v>
      </c>
    </row>
    <row r="1887" spans="1:8" x14ac:dyDescent="0.25">
      <c r="A1887" s="1" t="s">
        <v>12</v>
      </c>
      <c r="B1887" s="1" t="s">
        <v>15</v>
      </c>
      <c r="C1887" s="6">
        <v>1002319</v>
      </c>
      <c r="D1887" s="6">
        <v>0</v>
      </c>
      <c r="E1887" s="6">
        <v>0</v>
      </c>
      <c r="F1887" s="6">
        <v>0</v>
      </c>
      <c r="G1887" s="7" t="s">
        <v>22</v>
      </c>
      <c r="H1887" s="1">
        <f t="shared" si="29"/>
        <v>0</v>
      </c>
    </row>
    <row r="1888" spans="1:8" x14ac:dyDescent="0.25">
      <c r="A1888" s="1" t="s">
        <v>12</v>
      </c>
      <c r="B1888" s="1" t="s">
        <v>15</v>
      </c>
      <c r="C1888" s="6">
        <v>538757</v>
      </c>
      <c r="D1888" s="6">
        <v>0</v>
      </c>
      <c r="E1888" s="6">
        <v>0</v>
      </c>
      <c r="F1888" s="6">
        <v>0</v>
      </c>
      <c r="G1888" s="7" t="s">
        <v>22</v>
      </c>
      <c r="H1888" s="1">
        <f t="shared" si="29"/>
        <v>0</v>
      </c>
    </row>
    <row r="1889" spans="1:8" x14ac:dyDescent="0.25">
      <c r="A1889" s="1" t="s">
        <v>12</v>
      </c>
      <c r="B1889" s="1" t="s">
        <v>15</v>
      </c>
      <c r="C1889" s="6">
        <v>69125</v>
      </c>
      <c r="D1889" s="6">
        <v>0</v>
      </c>
      <c r="E1889" s="6">
        <v>0</v>
      </c>
      <c r="F1889" s="6">
        <v>0</v>
      </c>
      <c r="G1889" s="7" t="s">
        <v>22</v>
      </c>
      <c r="H1889" s="1">
        <f t="shared" si="29"/>
        <v>0</v>
      </c>
    </row>
    <row r="1890" spans="1:8" x14ac:dyDescent="0.25">
      <c r="A1890" s="1" t="s">
        <v>12</v>
      </c>
      <c r="B1890" s="1" t="s">
        <v>15</v>
      </c>
      <c r="C1890" s="6">
        <v>1250250</v>
      </c>
      <c r="D1890" s="6">
        <v>633209.75</v>
      </c>
      <c r="E1890" s="6">
        <v>347038.80499999999</v>
      </c>
      <c r="F1890" s="6">
        <v>347038.80499999999</v>
      </c>
      <c r="G1890" s="7" t="s">
        <v>22</v>
      </c>
      <c r="H1890" s="1">
        <f t="shared" si="29"/>
        <v>0.50646650669866022</v>
      </c>
    </row>
    <row r="1891" spans="1:8" x14ac:dyDescent="0.25">
      <c r="A1891" s="1" t="s">
        <v>12</v>
      </c>
      <c r="B1891" s="1" t="s">
        <v>15</v>
      </c>
      <c r="C1891" s="6">
        <v>9882500</v>
      </c>
      <c r="D1891" s="6">
        <v>52045.487500000003</v>
      </c>
      <c r="E1891" s="6">
        <v>0</v>
      </c>
      <c r="F1891" s="6">
        <v>0</v>
      </c>
      <c r="G1891" s="7" t="s">
        <v>22</v>
      </c>
      <c r="H1891" s="1">
        <f t="shared" si="29"/>
        <v>5.2664292942069318E-3</v>
      </c>
    </row>
    <row r="1892" spans="1:8" x14ac:dyDescent="0.25">
      <c r="A1892" s="1" t="s">
        <v>12</v>
      </c>
      <c r="B1892" s="1" t="s">
        <v>15</v>
      </c>
      <c r="C1892" s="6">
        <v>3710000</v>
      </c>
      <c r="D1892" s="6">
        <v>137497.5</v>
      </c>
      <c r="E1892" s="6">
        <v>0</v>
      </c>
      <c r="F1892" s="6">
        <v>0</v>
      </c>
      <c r="G1892" s="7" t="s">
        <v>22</v>
      </c>
      <c r="H1892" s="1">
        <f t="shared" si="29"/>
        <v>3.7061320754716978E-2</v>
      </c>
    </row>
    <row r="1893" spans="1:8" x14ac:dyDescent="0.25">
      <c r="A1893" s="1" t="s">
        <v>12</v>
      </c>
      <c r="B1893" s="1" t="s">
        <v>15</v>
      </c>
      <c r="C1893" s="6">
        <v>1250000</v>
      </c>
      <c r="D1893" s="6">
        <v>0</v>
      </c>
      <c r="E1893" s="6">
        <v>0</v>
      </c>
      <c r="F1893" s="6">
        <v>0</v>
      </c>
      <c r="G1893" s="7" t="s">
        <v>22</v>
      </c>
      <c r="H1893" s="1">
        <f t="shared" si="29"/>
        <v>0</v>
      </c>
    </row>
    <row r="1894" spans="1:8" x14ac:dyDescent="0.25">
      <c r="A1894" s="1" t="s">
        <v>12</v>
      </c>
      <c r="B1894" s="1" t="s">
        <v>15</v>
      </c>
      <c r="C1894" s="6">
        <v>291675</v>
      </c>
      <c r="D1894" s="6">
        <v>0</v>
      </c>
      <c r="E1894" s="6">
        <v>0</v>
      </c>
      <c r="F1894" s="6">
        <v>0</v>
      </c>
      <c r="G1894" s="7" t="s">
        <v>22</v>
      </c>
      <c r="H1894" s="1">
        <f t="shared" si="29"/>
        <v>0</v>
      </c>
    </row>
    <row r="1895" spans="1:8" x14ac:dyDescent="0.25">
      <c r="A1895" s="1" t="s">
        <v>12</v>
      </c>
      <c r="B1895" s="1" t="s">
        <v>15</v>
      </c>
      <c r="C1895" s="6">
        <v>2000</v>
      </c>
      <c r="D1895" s="6">
        <v>0</v>
      </c>
      <c r="E1895" s="6">
        <v>0</v>
      </c>
      <c r="F1895" s="6">
        <v>0</v>
      </c>
      <c r="G1895" s="7" t="s">
        <v>22</v>
      </c>
      <c r="H1895" s="1">
        <f t="shared" si="29"/>
        <v>0</v>
      </c>
    </row>
    <row r="1896" spans="1:8" x14ac:dyDescent="0.25">
      <c r="A1896" s="1" t="s">
        <v>12</v>
      </c>
      <c r="B1896" s="1" t="s">
        <v>15</v>
      </c>
      <c r="C1896" s="6">
        <v>2000</v>
      </c>
      <c r="D1896" s="6">
        <v>0</v>
      </c>
      <c r="E1896" s="6">
        <v>0</v>
      </c>
      <c r="F1896" s="6">
        <v>0</v>
      </c>
      <c r="G1896" s="7" t="s">
        <v>22</v>
      </c>
      <c r="H1896" s="1">
        <f t="shared" si="29"/>
        <v>0</v>
      </c>
    </row>
    <row r="1897" spans="1:8" x14ac:dyDescent="0.25">
      <c r="A1897" s="1" t="s">
        <v>12</v>
      </c>
      <c r="B1897" s="1" t="s">
        <v>15</v>
      </c>
      <c r="C1897" s="6">
        <v>2000</v>
      </c>
      <c r="D1897" s="6">
        <v>0</v>
      </c>
      <c r="E1897" s="6">
        <v>0</v>
      </c>
      <c r="F1897" s="6">
        <v>0</v>
      </c>
      <c r="G1897" s="7" t="s">
        <v>22</v>
      </c>
      <c r="H1897" s="1">
        <f t="shared" si="29"/>
        <v>0</v>
      </c>
    </row>
    <row r="1898" spans="1:8" x14ac:dyDescent="0.25">
      <c r="A1898" s="1" t="s">
        <v>12</v>
      </c>
      <c r="B1898" s="1" t="s">
        <v>15</v>
      </c>
      <c r="C1898" s="6">
        <v>4199405</v>
      </c>
      <c r="D1898" s="6">
        <v>15000.4</v>
      </c>
      <c r="E1898" s="6">
        <v>0</v>
      </c>
      <c r="F1898" s="6">
        <v>0</v>
      </c>
      <c r="G1898" s="7" t="s">
        <v>22</v>
      </c>
      <c r="H1898" s="1">
        <f t="shared" si="29"/>
        <v>3.5720298470854799E-3</v>
      </c>
    </row>
    <row r="1899" spans="1:8" x14ac:dyDescent="0.25">
      <c r="A1899" s="1" t="s">
        <v>12</v>
      </c>
      <c r="B1899" s="1" t="s">
        <v>15</v>
      </c>
      <c r="C1899" s="6">
        <v>4025600</v>
      </c>
      <c r="D1899" s="6">
        <v>2440127.71</v>
      </c>
      <c r="E1899" s="6">
        <v>540791.37</v>
      </c>
      <c r="F1899" s="6">
        <v>35096.717499999999</v>
      </c>
      <c r="G1899" s="7" t="s">
        <v>22</v>
      </c>
      <c r="H1899" s="1">
        <f t="shared" si="29"/>
        <v>0.606152551172496</v>
      </c>
    </row>
    <row r="1900" spans="1:8" x14ac:dyDescent="0.25">
      <c r="A1900" s="1" t="s">
        <v>12</v>
      </c>
      <c r="B1900" s="1" t="s">
        <v>15</v>
      </c>
      <c r="C1900" s="6">
        <v>23350873</v>
      </c>
      <c r="D1900" s="6">
        <v>1888397.73</v>
      </c>
      <c r="E1900" s="6">
        <v>1682956.395</v>
      </c>
      <c r="F1900" s="6">
        <v>1590301.88</v>
      </c>
      <c r="G1900" s="7" t="s">
        <v>22</v>
      </c>
      <c r="H1900" s="1">
        <f t="shared" si="29"/>
        <v>8.0870540900119664E-2</v>
      </c>
    </row>
    <row r="1901" spans="1:8" x14ac:dyDescent="0.25">
      <c r="A1901" s="1" t="s">
        <v>12</v>
      </c>
      <c r="B1901" s="1" t="s">
        <v>15</v>
      </c>
      <c r="C1901" s="6">
        <v>875000</v>
      </c>
      <c r="D1901" s="6">
        <v>2951.8</v>
      </c>
      <c r="E1901" s="6">
        <v>0</v>
      </c>
      <c r="F1901" s="6">
        <v>0</v>
      </c>
      <c r="G1901" s="7" t="s">
        <v>22</v>
      </c>
      <c r="H1901" s="1">
        <f t="shared" si="29"/>
        <v>3.3734857142857146E-3</v>
      </c>
    </row>
    <row r="1902" spans="1:8" x14ac:dyDescent="0.25">
      <c r="A1902" s="1" t="s">
        <v>12</v>
      </c>
      <c r="B1902" s="1" t="s">
        <v>15</v>
      </c>
      <c r="C1902" s="6">
        <v>32922498</v>
      </c>
      <c r="D1902" s="6">
        <v>28761428.512499999</v>
      </c>
      <c r="E1902" s="6">
        <v>28414093.184999999</v>
      </c>
      <c r="F1902" s="6">
        <v>26379572.530000001</v>
      </c>
      <c r="G1902" s="7" t="s">
        <v>22</v>
      </c>
      <c r="H1902" s="1">
        <f t="shared" si="29"/>
        <v>0.87361015292642741</v>
      </c>
    </row>
    <row r="1903" spans="1:8" x14ac:dyDescent="0.25">
      <c r="A1903" s="1" t="s">
        <v>12</v>
      </c>
      <c r="B1903" s="1" t="s">
        <v>15</v>
      </c>
      <c r="C1903" s="6">
        <v>1995368</v>
      </c>
      <c r="D1903" s="6">
        <v>2678089.4175</v>
      </c>
      <c r="E1903" s="6">
        <v>2285706.7574999998</v>
      </c>
      <c r="F1903" s="6">
        <v>2242793.0825</v>
      </c>
      <c r="G1903" s="7" t="s">
        <v>22</v>
      </c>
      <c r="H1903" s="1">
        <f t="shared" si="29"/>
        <v>1.3421531354116132</v>
      </c>
    </row>
    <row r="1904" spans="1:8" x14ac:dyDescent="0.25">
      <c r="A1904" s="1" t="s">
        <v>12</v>
      </c>
      <c r="B1904" s="1" t="s">
        <v>15</v>
      </c>
      <c r="C1904" s="6">
        <v>50517</v>
      </c>
      <c r="D1904" s="6">
        <v>53859.677499999998</v>
      </c>
      <c r="E1904" s="6">
        <v>21358.605</v>
      </c>
      <c r="F1904" s="6">
        <v>21358.605</v>
      </c>
      <c r="G1904" s="7" t="s">
        <v>22</v>
      </c>
      <c r="H1904" s="1">
        <f t="shared" si="29"/>
        <v>1.0661693588297008</v>
      </c>
    </row>
    <row r="1905" spans="1:8" x14ac:dyDescent="0.25">
      <c r="A1905" s="1" t="s">
        <v>12</v>
      </c>
      <c r="B1905" s="1" t="s">
        <v>15</v>
      </c>
      <c r="C1905" s="6">
        <v>455893</v>
      </c>
      <c r="D1905" s="6">
        <v>15773.39</v>
      </c>
      <c r="E1905" s="6">
        <v>14939.39</v>
      </c>
      <c r="F1905" s="6">
        <v>14939.39</v>
      </c>
      <c r="G1905" s="7" t="s">
        <v>22</v>
      </c>
      <c r="H1905" s="1">
        <f t="shared" si="29"/>
        <v>3.4598886142143001E-2</v>
      </c>
    </row>
    <row r="1906" spans="1:8" x14ac:dyDescent="0.25">
      <c r="A1906" s="1" t="s">
        <v>12</v>
      </c>
      <c r="B1906" s="1" t="s">
        <v>15</v>
      </c>
      <c r="C1906" s="6">
        <v>254142</v>
      </c>
      <c r="D1906" s="6">
        <v>0</v>
      </c>
      <c r="E1906" s="6">
        <v>0</v>
      </c>
      <c r="F1906" s="6">
        <v>0</v>
      </c>
      <c r="G1906" s="7" t="s">
        <v>22</v>
      </c>
      <c r="H1906" s="1">
        <f t="shared" si="29"/>
        <v>0</v>
      </c>
    </row>
    <row r="1907" spans="1:8" x14ac:dyDescent="0.25">
      <c r="A1907" s="1" t="s">
        <v>12</v>
      </c>
      <c r="B1907" s="1" t="s">
        <v>15</v>
      </c>
      <c r="C1907" s="6">
        <v>4013950</v>
      </c>
      <c r="D1907" s="6">
        <v>3874882.2124999999</v>
      </c>
      <c r="E1907" s="6">
        <v>3791301.2250000001</v>
      </c>
      <c r="F1907" s="6">
        <v>3525941.77</v>
      </c>
      <c r="G1907" s="7" t="s">
        <v>22</v>
      </c>
      <c r="H1907" s="1">
        <f t="shared" si="29"/>
        <v>0.9653538814633964</v>
      </c>
    </row>
    <row r="1908" spans="1:8" x14ac:dyDescent="0.25">
      <c r="A1908" s="1" t="s">
        <v>12</v>
      </c>
      <c r="B1908" s="1" t="s">
        <v>15</v>
      </c>
      <c r="C1908" s="6">
        <v>46079838</v>
      </c>
      <c r="D1908" s="6">
        <v>33606435.104999997</v>
      </c>
      <c r="E1908" s="6">
        <v>28670188.912500001</v>
      </c>
      <c r="F1908" s="6">
        <v>24788944.7225</v>
      </c>
      <c r="G1908" s="7" t="s">
        <v>22</v>
      </c>
      <c r="H1908" s="1">
        <f t="shared" si="29"/>
        <v>0.72930888135934846</v>
      </c>
    </row>
    <row r="1909" spans="1:8" x14ac:dyDescent="0.25">
      <c r="A1909" s="1" t="s">
        <v>12</v>
      </c>
      <c r="B1909" s="1" t="s">
        <v>15</v>
      </c>
      <c r="C1909" s="6">
        <v>360000</v>
      </c>
      <c r="D1909" s="6">
        <v>0</v>
      </c>
      <c r="E1909" s="6">
        <v>0</v>
      </c>
      <c r="F1909" s="6">
        <v>0</v>
      </c>
      <c r="G1909" s="7" t="s">
        <v>22</v>
      </c>
      <c r="H1909" s="1">
        <f t="shared" si="29"/>
        <v>0</v>
      </c>
    </row>
    <row r="1910" spans="1:8" x14ac:dyDescent="0.25">
      <c r="A1910" s="1" t="s">
        <v>12</v>
      </c>
      <c r="B1910" s="1" t="s">
        <v>15</v>
      </c>
      <c r="C1910" s="6">
        <v>187347416</v>
      </c>
      <c r="D1910" s="6">
        <v>162135502.78999999</v>
      </c>
      <c r="E1910" s="6">
        <v>161625017.19499999</v>
      </c>
      <c r="F1910" s="6">
        <v>149986632.435</v>
      </c>
      <c r="G1910" s="7" t="s">
        <v>22</v>
      </c>
      <c r="H1910" s="1">
        <f t="shared" si="29"/>
        <v>0.86542694984381308</v>
      </c>
    </row>
    <row r="1911" spans="1:8" x14ac:dyDescent="0.25">
      <c r="A1911" s="1" t="s">
        <v>12</v>
      </c>
      <c r="B1911" s="1" t="s">
        <v>15</v>
      </c>
      <c r="C1911" s="6">
        <v>200000</v>
      </c>
      <c r="D1911" s="6">
        <v>20539.857499999998</v>
      </c>
      <c r="E1911" s="6">
        <v>20539.857499999998</v>
      </c>
      <c r="F1911" s="6">
        <v>20539.857499999998</v>
      </c>
      <c r="G1911" s="7" t="s">
        <v>22</v>
      </c>
      <c r="H1911" s="1">
        <f t="shared" si="29"/>
        <v>0.10269928749999999</v>
      </c>
    </row>
    <row r="1912" spans="1:8" x14ac:dyDescent="0.25">
      <c r="A1912" s="1" t="s">
        <v>12</v>
      </c>
      <c r="B1912" s="1" t="s">
        <v>15</v>
      </c>
      <c r="C1912" s="6">
        <v>7789000</v>
      </c>
      <c r="D1912" s="6">
        <v>1025550.0875</v>
      </c>
      <c r="E1912" s="6">
        <v>562358.88500000001</v>
      </c>
      <c r="F1912" s="6">
        <v>512121.04749999999</v>
      </c>
      <c r="G1912" s="7" t="s">
        <v>22</v>
      </c>
      <c r="H1912" s="1">
        <f t="shared" si="29"/>
        <v>0.13166646392348183</v>
      </c>
    </row>
    <row r="1913" spans="1:8" x14ac:dyDescent="0.25">
      <c r="A1913" s="1" t="s">
        <v>12</v>
      </c>
      <c r="B1913" s="1" t="s">
        <v>15</v>
      </c>
      <c r="C1913" s="6">
        <v>17689887</v>
      </c>
      <c r="D1913" s="6">
        <v>16370261.535</v>
      </c>
      <c r="E1913" s="6">
        <v>15757402.175000001</v>
      </c>
      <c r="F1913" s="6">
        <v>14607640.699999999</v>
      </c>
      <c r="G1913" s="7" t="s">
        <v>22</v>
      </c>
      <c r="H1913" s="1">
        <f t="shared" si="29"/>
        <v>0.92540226712584428</v>
      </c>
    </row>
    <row r="1914" spans="1:8" x14ac:dyDescent="0.25">
      <c r="A1914" s="1" t="s">
        <v>12</v>
      </c>
      <c r="B1914" s="1" t="s">
        <v>15</v>
      </c>
      <c r="C1914" s="6">
        <v>12023216</v>
      </c>
      <c r="D1914" s="6">
        <v>11122076.9275</v>
      </c>
      <c r="E1914" s="6">
        <v>9766647.8424999993</v>
      </c>
      <c r="F1914" s="6">
        <v>9123434.3399999999</v>
      </c>
      <c r="G1914" s="7" t="s">
        <v>22</v>
      </c>
      <c r="H1914" s="1">
        <f t="shared" si="29"/>
        <v>0.92505008040278081</v>
      </c>
    </row>
    <row r="1915" spans="1:8" x14ac:dyDescent="0.25">
      <c r="A1915" s="1" t="s">
        <v>12</v>
      </c>
      <c r="B1915" s="1" t="s">
        <v>15</v>
      </c>
      <c r="C1915" s="6">
        <v>38706227</v>
      </c>
      <c r="D1915" s="6">
        <v>38005828.034999996</v>
      </c>
      <c r="E1915" s="6">
        <v>35327324.827500001</v>
      </c>
      <c r="F1915" s="6">
        <v>32683191.8475</v>
      </c>
      <c r="G1915" s="7" t="s">
        <v>22</v>
      </c>
      <c r="H1915" s="1">
        <f t="shared" si="29"/>
        <v>0.98190474713538978</v>
      </c>
    </row>
    <row r="1916" spans="1:8" x14ac:dyDescent="0.25">
      <c r="A1916" s="1" t="s">
        <v>12</v>
      </c>
      <c r="B1916" s="1" t="s">
        <v>15</v>
      </c>
      <c r="C1916" s="6">
        <v>2357993</v>
      </c>
      <c r="D1916" s="6">
        <v>1512277.6</v>
      </c>
      <c r="E1916" s="6">
        <v>1059216.4950000001</v>
      </c>
      <c r="F1916" s="6">
        <v>1010243.7075</v>
      </c>
      <c r="G1916" s="7" t="s">
        <v>22</v>
      </c>
      <c r="H1916" s="1">
        <f t="shared" si="29"/>
        <v>0.64134100482910683</v>
      </c>
    </row>
    <row r="1917" spans="1:8" x14ac:dyDescent="0.25">
      <c r="A1917" s="1" t="s">
        <v>12</v>
      </c>
      <c r="B1917" s="1" t="s">
        <v>15</v>
      </c>
      <c r="C1917" s="6">
        <v>577655</v>
      </c>
      <c r="D1917" s="6">
        <v>357512.54499999998</v>
      </c>
      <c r="E1917" s="6">
        <v>191731.51500000001</v>
      </c>
      <c r="F1917" s="6">
        <v>188509.56</v>
      </c>
      <c r="G1917" s="7" t="s">
        <v>22</v>
      </c>
      <c r="H1917" s="1">
        <f t="shared" si="29"/>
        <v>0.6189032294362552</v>
      </c>
    </row>
    <row r="1918" spans="1:8" x14ac:dyDescent="0.25">
      <c r="A1918" s="1" t="s">
        <v>12</v>
      </c>
      <c r="B1918" s="1" t="s">
        <v>15</v>
      </c>
      <c r="C1918" s="6">
        <v>1315641</v>
      </c>
      <c r="D1918" s="6">
        <v>776706.75249999994</v>
      </c>
      <c r="E1918" s="6">
        <v>600580.505</v>
      </c>
      <c r="F1918" s="6">
        <v>565458.77249999996</v>
      </c>
      <c r="G1918" s="7" t="s">
        <v>22</v>
      </c>
      <c r="H1918" s="1">
        <f t="shared" si="29"/>
        <v>0.59036374854538587</v>
      </c>
    </row>
    <row r="1919" spans="1:8" x14ac:dyDescent="0.25">
      <c r="A1919" s="1" t="s">
        <v>12</v>
      </c>
      <c r="B1919" s="1" t="s">
        <v>15</v>
      </c>
      <c r="C1919" s="6">
        <v>4763925</v>
      </c>
      <c r="D1919" s="6">
        <v>5933412.6100000003</v>
      </c>
      <c r="E1919" s="6">
        <v>4829199.1100000003</v>
      </c>
      <c r="F1919" s="6">
        <v>3867794.3075000001</v>
      </c>
      <c r="G1919" s="7" t="s">
        <v>22</v>
      </c>
      <c r="H1919" s="1">
        <f t="shared" si="29"/>
        <v>1.2454882497100606</v>
      </c>
    </row>
    <row r="1920" spans="1:8" x14ac:dyDescent="0.25">
      <c r="A1920" s="1" t="s">
        <v>12</v>
      </c>
      <c r="B1920" s="1" t="s">
        <v>15</v>
      </c>
      <c r="C1920" s="6">
        <v>3957500</v>
      </c>
      <c r="D1920" s="6">
        <v>4957486.8975</v>
      </c>
      <c r="E1920" s="6">
        <v>1226109.3975</v>
      </c>
      <c r="F1920" s="6">
        <v>1226109.3975</v>
      </c>
      <c r="G1920" s="7" t="s">
        <v>22</v>
      </c>
      <c r="H1920" s="1">
        <f t="shared" si="29"/>
        <v>1.2526814649399873</v>
      </c>
    </row>
    <row r="1921" spans="1:8" x14ac:dyDescent="0.25">
      <c r="A1921" s="1" t="s">
        <v>12</v>
      </c>
      <c r="B1921" s="1" t="s">
        <v>15</v>
      </c>
      <c r="C1921" s="6">
        <v>2360600</v>
      </c>
      <c r="D1921" s="6">
        <v>2065401.4424999999</v>
      </c>
      <c r="E1921" s="6">
        <v>1820008.0325</v>
      </c>
      <c r="F1921" s="6">
        <v>1557769.2275</v>
      </c>
      <c r="G1921" s="7" t="s">
        <v>22</v>
      </c>
      <c r="H1921" s="1">
        <f t="shared" si="29"/>
        <v>0.87494765843429634</v>
      </c>
    </row>
    <row r="1922" spans="1:8" x14ac:dyDescent="0.25">
      <c r="A1922" s="1" t="s">
        <v>12</v>
      </c>
      <c r="B1922" s="1" t="s">
        <v>15</v>
      </c>
      <c r="C1922" s="6">
        <v>28750</v>
      </c>
      <c r="D1922" s="6">
        <v>280.72000000000003</v>
      </c>
      <c r="E1922" s="6">
        <v>0</v>
      </c>
      <c r="F1922" s="6">
        <v>0</v>
      </c>
      <c r="G1922" s="7" t="s">
        <v>22</v>
      </c>
      <c r="H1922" s="1">
        <f t="shared" ref="H1922:H1985" si="30">IF(OR(ISNA($D1922),ISNA($C1922),$C1922=0),0,$D1922/$C1922)</f>
        <v>9.7641739130434786E-3</v>
      </c>
    </row>
    <row r="1923" spans="1:8" x14ac:dyDescent="0.25">
      <c r="A1923" s="1" t="s">
        <v>12</v>
      </c>
      <c r="B1923" s="1" t="s">
        <v>15</v>
      </c>
      <c r="C1923" s="6">
        <v>500000</v>
      </c>
      <c r="D1923" s="6">
        <v>0</v>
      </c>
      <c r="E1923" s="6">
        <v>0</v>
      </c>
      <c r="F1923" s="6">
        <v>0</v>
      </c>
      <c r="G1923" s="7" t="s">
        <v>22</v>
      </c>
      <c r="H1923" s="1">
        <f t="shared" si="30"/>
        <v>0</v>
      </c>
    </row>
    <row r="1924" spans="1:8" x14ac:dyDescent="0.25">
      <c r="A1924" s="1" t="s">
        <v>12</v>
      </c>
      <c r="B1924" s="1" t="s">
        <v>15</v>
      </c>
      <c r="C1924" s="6">
        <v>375000</v>
      </c>
      <c r="D1924" s="6">
        <v>0</v>
      </c>
      <c r="E1924" s="6">
        <v>0</v>
      </c>
      <c r="F1924" s="6">
        <v>0</v>
      </c>
      <c r="G1924" s="7" t="s">
        <v>22</v>
      </c>
      <c r="H1924" s="1">
        <f t="shared" si="30"/>
        <v>0</v>
      </c>
    </row>
    <row r="1925" spans="1:8" x14ac:dyDescent="0.25">
      <c r="A1925" s="1" t="s">
        <v>12</v>
      </c>
      <c r="B1925" s="1" t="s">
        <v>15</v>
      </c>
      <c r="C1925" s="6">
        <v>4197525</v>
      </c>
      <c r="D1925" s="6">
        <v>3404415.1549999998</v>
      </c>
      <c r="E1925" s="6">
        <v>3145111.7075</v>
      </c>
      <c r="F1925" s="6">
        <v>2926663.7174999998</v>
      </c>
      <c r="G1925" s="7" t="s">
        <v>22</v>
      </c>
      <c r="H1925" s="1">
        <f t="shared" si="30"/>
        <v>0.81105297883872041</v>
      </c>
    </row>
    <row r="1926" spans="1:8" x14ac:dyDescent="0.25">
      <c r="A1926" s="1" t="s">
        <v>12</v>
      </c>
      <c r="B1926" s="1" t="s">
        <v>15</v>
      </c>
      <c r="C1926" s="6">
        <v>88298000</v>
      </c>
      <c r="D1926" s="6">
        <v>109280317.14</v>
      </c>
      <c r="E1926" s="6">
        <v>93489058.197500005</v>
      </c>
      <c r="F1926" s="6">
        <v>91015072.007499993</v>
      </c>
      <c r="G1926" s="7" t="s">
        <v>22</v>
      </c>
      <c r="H1926" s="1">
        <f t="shared" si="30"/>
        <v>1.2376307180230584</v>
      </c>
    </row>
    <row r="1927" spans="1:8" x14ac:dyDescent="0.25">
      <c r="A1927" s="1" t="s">
        <v>12</v>
      </c>
      <c r="B1927" s="1" t="s">
        <v>15</v>
      </c>
      <c r="C1927" s="6">
        <v>127500</v>
      </c>
      <c r="D1927" s="6">
        <v>0</v>
      </c>
      <c r="E1927" s="6">
        <v>0</v>
      </c>
      <c r="F1927" s="6">
        <v>0</v>
      </c>
      <c r="G1927" s="7" t="s">
        <v>22</v>
      </c>
      <c r="H1927" s="1">
        <f t="shared" si="30"/>
        <v>0</v>
      </c>
    </row>
    <row r="1928" spans="1:8" x14ac:dyDescent="0.25">
      <c r="A1928" s="1" t="s">
        <v>12</v>
      </c>
      <c r="B1928" s="1" t="s">
        <v>15</v>
      </c>
      <c r="C1928" s="6">
        <v>5862825</v>
      </c>
      <c r="D1928" s="6">
        <v>6185716.6074999999</v>
      </c>
      <c r="E1928" s="6">
        <v>4635621.5650000004</v>
      </c>
      <c r="F1928" s="6">
        <v>3801877.8075000001</v>
      </c>
      <c r="G1928" s="7" t="s">
        <v>22</v>
      </c>
      <c r="H1928" s="1">
        <f t="shared" si="30"/>
        <v>1.0550744065360982</v>
      </c>
    </row>
    <row r="1929" spans="1:8" x14ac:dyDescent="0.25">
      <c r="A1929" s="1" t="s">
        <v>12</v>
      </c>
      <c r="B1929" s="1" t="s">
        <v>15</v>
      </c>
      <c r="C1929" s="6">
        <v>21714300</v>
      </c>
      <c r="D1929" s="6">
        <v>24266635.4925</v>
      </c>
      <c r="E1929" s="6">
        <v>20073827.5825</v>
      </c>
      <c r="F1929" s="6">
        <v>16151125.4625</v>
      </c>
      <c r="G1929" s="7" t="s">
        <v>22</v>
      </c>
      <c r="H1929" s="1">
        <f t="shared" si="30"/>
        <v>1.1175416887719152</v>
      </c>
    </row>
    <row r="1930" spans="1:8" x14ac:dyDescent="0.25">
      <c r="A1930" s="1" t="s">
        <v>12</v>
      </c>
      <c r="B1930" s="1" t="s">
        <v>15</v>
      </c>
      <c r="C1930" s="6">
        <v>3306950</v>
      </c>
      <c r="D1930" s="6">
        <v>2821522.6349999998</v>
      </c>
      <c r="E1930" s="6">
        <v>2573110.1375000002</v>
      </c>
      <c r="F1930" s="6">
        <v>2573110.1375000002</v>
      </c>
      <c r="G1930" s="7" t="s">
        <v>22</v>
      </c>
      <c r="H1930" s="1">
        <f t="shared" si="30"/>
        <v>0.85320994723234389</v>
      </c>
    </row>
    <row r="1931" spans="1:8" x14ac:dyDescent="0.25">
      <c r="A1931" s="1" t="s">
        <v>12</v>
      </c>
      <c r="B1931" s="1" t="s">
        <v>15</v>
      </c>
      <c r="C1931" s="6">
        <v>852250</v>
      </c>
      <c r="D1931" s="6">
        <v>0</v>
      </c>
      <c r="E1931" s="6">
        <v>0</v>
      </c>
      <c r="F1931" s="6">
        <v>0</v>
      </c>
      <c r="G1931" s="7" t="s">
        <v>22</v>
      </c>
      <c r="H1931" s="1">
        <f t="shared" si="30"/>
        <v>0</v>
      </c>
    </row>
    <row r="1932" spans="1:8" x14ac:dyDescent="0.25">
      <c r="A1932" s="1" t="s">
        <v>12</v>
      </c>
      <c r="B1932" s="1" t="s">
        <v>15</v>
      </c>
      <c r="C1932" s="6">
        <v>4814752</v>
      </c>
      <c r="D1932" s="6">
        <v>3853311.9775</v>
      </c>
      <c r="E1932" s="6">
        <v>3517432.5175000001</v>
      </c>
      <c r="F1932" s="6">
        <v>3234100.8675000002</v>
      </c>
      <c r="G1932" s="7" t="s">
        <v>22</v>
      </c>
      <c r="H1932" s="1">
        <f t="shared" si="30"/>
        <v>0.80031369788101236</v>
      </c>
    </row>
    <row r="1933" spans="1:8" x14ac:dyDescent="0.25">
      <c r="A1933" s="1" t="s">
        <v>12</v>
      </c>
      <c r="B1933" s="1" t="s">
        <v>15</v>
      </c>
      <c r="C1933" s="6">
        <v>303994750</v>
      </c>
      <c r="D1933" s="6">
        <v>351500184.08499998</v>
      </c>
      <c r="E1933" s="6">
        <v>315964406.94749999</v>
      </c>
      <c r="F1933" s="6">
        <v>309634943.50999999</v>
      </c>
      <c r="G1933" s="7" t="s">
        <v>22</v>
      </c>
      <c r="H1933" s="1">
        <f t="shared" si="30"/>
        <v>1.1562705740312949</v>
      </c>
    </row>
    <row r="1934" spans="1:8" x14ac:dyDescent="0.25">
      <c r="A1934" s="1" t="s">
        <v>12</v>
      </c>
      <c r="B1934" s="1" t="s">
        <v>15</v>
      </c>
      <c r="C1934" s="6">
        <v>11955000</v>
      </c>
      <c r="D1934" s="6">
        <v>9793324.9700000007</v>
      </c>
      <c r="E1934" s="6">
        <v>8369587.7800000003</v>
      </c>
      <c r="F1934" s="6">
        <v>7808668.8250000002</v>
      </c>
      <c r="G1934" s="7" t="s">
        <v>22</v>
      </c>
      <c r="H1934" s="1">
        <f t="shared" si="30"/>
        <v>0.81918234797156009</v>
      </c>
    </row>
    <row r="1935" spans="1:8" x14ac:dyDescent="0.25">
      <c r="A1935" s="1" t="s">
        <v>12</v>
      </c>
      <c r="B1935" s="1" t="s">
        <v>15</v>
      </c>
      <c r="C1935" s="6">
        <v>76766250</v>
      </c>
      <c r="D1935" s="6">
        <v>73159324.564999998</v>
      </c>
      <c r="E1935" s="6">
        <v>67870718.780000001</v>
      </c>
      <c r="F1935" s="6">
        <v>67870718.780000001</v>
      </c>
      <c r="G1935" s="7" t="s">
        <v>22</v>
      </c>
      <c r="H1935" s="1">
        <f t="shared" si="30"/>
        <v>0.95301417699835533</v>
      </c>
    </row>
    <row r="1936" spans="1:8" x14ac:dyDescent="0.25">
      <c r="A1936" s="1" t="s">
        <v>12</v>
      </c>
      <c r="B1936" s="1" t="s">
        <v>15</v>
      </c>
      <c r="C1936" s="6">
        <v>27028499</v>
      </c>
      <c r="D1936" s="6">
        <v>25279861.844999999</v>
      </c>
      <c r="E1936" s="6">
        <v>23126088.239999998</v>
      </c>
      <c r="F1936" s="6">
        <v>23126088.239999998</v>
      </c>
      <c r="G1936" s="7" t="s">
        <v>22</v>
      </c>
      <c r="H1936" s="1">
        <f t="shared" si="30"/>
        <v>0.93530394880603618</v>
      </c>
    </row>
    <row r="1937" spans="1:8" x14ac:dyDescent="0.25">
      <c r="A1937" s="1" t="s">
        <v>12</v>
      </c>
      <c r="B1937" s="1" t="s">
        <v>15</v>
      </c>
      <c r="C1937" s="6">
        <v>7445625</v>
      </c>
      <c r="D1937" s="6">
        <v>7223126.6875</v>
      </c>
      <c r="E1937" s="6">
        <v>6007455.8324999996</v>
      </c>
      <c r="F1937" s="6">
        <v>5084351.33</v>
      </c>
      <c r="G1937" s="7" t="s">
        <v>22</v>
      </c>
      <c r="H1937" s="1">
        <f t="shared" si="30"/>
        <v>0.97011690590111643</v>
      </c>
    </row>
    <row r="1938" spans="1:8" x14ac:dyDescent="0.25">
      <c r="A1938" s="1" t="s">
        <v>12</v>
      </c>
      <c r="B1938" s="1" t="s">
        <v>15</v>
      </c>
      <c r="C1938" s="6">
        <v>155250</v>
      </c>
      <c r="D1938" s="6">
        <v>77885.464999999997</v>
      </c>
      <c r="E1938" s="6">
        <v>51104.407500000001</v>
      </c>
      <c r="F1938" s="6">
        <v>45493.08</v>
      </c>
      <c r="G1938" s="7" t="s">
        <v>22</v>
      </c>
      <c r="H1938" s="1">
        <f t="shared" si="30"/>
        <v>0.50167771336553946</v>
      </c>
    </row>
    <row r="1939" spans="1:8" x14ac:dyDescent="0.25">
      <c r="A1939" s="1" t="s">
        <v>12</v>
      </c>
      <c r="B1939" s="1" t="s">
        <v>15</v>
      </c>
      <c r="C1939" s="6">
        <v>855100</v>
      </c>
      <c r="D1939" s="6">
        <v>546080.73</v>
      </c>
      <c r="E1939" s="6">
        <v>508682.98499999999</v>
      </c>
      <c r="F1939" s="6">
        <v>494010.86</v>
      </c>
      <c r="G1939" s="7" t="s">
        <v>22</v>
      </c>
      <c r="H1939" s="1">
        <f t="shared" si="30"/>
        <v>0.63861622032510812</v>
      </c>
    </row>
    <row r="1940" spans="1:8" x14ac:dyDescent="0.25">
      <c r="A1940" s="1" t="s">
        <v>12</v>
      </c>
      <c r="B1940" s="1" t="s">
        <v>15</v>
      </c>
      <c r="C1940" s="6">
        <v>4061175</v>
      </c>
      <c r="D1940" s="6">
        <v>2784662.0525000002</v>
      </c>
      <c r="E1940" s="6">
        <v>2644677.52</v>
      </c>
      <c r="F1940" s="6">
        <v>2619858.5350000001</v>
      </c>
      <c r="G1940" s="7" t="s">
        <v>22</v>
      </c>
      <c r="H1940" s="1">
        <f t="shared" si="30"/>
        <v>0.6856789112756777</v>
      </c>
    </row>
    <row r="1941" spans="1:8" x14ac:dyDescent="0.25">
      <c r="A1941" s="1" t="s">
        <v>12</v>
      </c>
      <c r="B1941" s="1" t="s">
        <v>15</v>
      </c>
      <c r="C1941" s="6">
        <v>20233000</v>
      </c>
      <c r="D1941" s="6">
        <v>21373624.9025</v>
      </c>
      <c r="E1941" s="6">
        <v>21364007.760000002</v>
      </c>
      <c r="F1941" s="6">
        <v>19699935.5425</v>
      </c>
      <c r="G1941" s="7" t="s">
        <v>22</v>
      </c>
      <c r="H1941" s="1">
        <f t="shared" si="30"/>
        <v>1.0563744824049819</v>
      </c>
    </row>
    <row r="1942" spans="1:8" x14ac:dyDescent="0.25">
      <c r="A1942" s="1" t="s">
        <v>12</v>
      </c>
      <c r="B1942" s="1" t="s">
        <v>15</v>
      </c>
      <c r="C1942" s="6">
        <v>3008450</v>
      </c>
      <c r="D1942" s="6">
        <v>2336537.6775000002</v>
      </c>
      <c r="E1942" s="6">
        <v>1997884.365</v>
      </c>
      <c r="F1942" s="6">
        <v>1996769.7975000001</v>
      </c>
      <c r="G1942" s="7" t="s">
        <v>22</v>
      </c>
      <c r="H1942" s="1">
        <f t="shared" si="30"/>
        <v>0.77665830494108268</v>
      </c>
    </row>
    <row r="1943" spans="1:8" x14ac:dyDescent="0.25">
      <c r="A1943" s="1" t="s">
        <v>12</v>
      </c>
      <c r="B1943" s="1" t="s">
        <v>15</v>
      </c>
      <c r="C1943" s="6">
        <v>935000</v>
      </c>
      <c r="D1943" s="6">
        <v>533248.4325</v>
      </c>
      <c r="E1943" s="6">
        <v>522279.08500000002</v>
      </c>
      <c r="F1943" s="6">
        <v>495404.49</v>
      </c>
      <c r="G1943" s="7" t="s">
        <v>22</v>
      </c>
      <c r="H1943" s="1">
        <f t="shared" si="30"/>
        <v>0.57031917914438501</v>
      </c>
    </row>
    <row r="1944" spans="1:8" x14ac:dyDescent="0.25">
      <c r="A1944" s="1" t="s">
        <v>12</v>
      </c>
      <c r="B1944" s="1" t="s">
        <v>15</v>
      </c>
      <c r="C1944" s="6">
        <v>12500</v>
      </c>
      <c r="D1944" s="6">
        <v>1746</v>
      </c>
      <c r="E1944" s="6">
        <v>1746</v>
      </c>
      <c r="F1944" s="6">
        <v>1746</v>
      </c>
      <c r="G1944" s="7" t="s">
        <v>22</v>
      </c>
      <c r="H1944" s="1">
        <f t="shared" si="30"/>
        <v>0.13968</v>
      </c>
    </row>
    <row r="1945" spans="1:8" x14ac:dyDescent="0.25">
      <c r="A1945" s="1" t="s">
        <v>7</v>
      </c>
      <c r="B1945" s="1" t="s">
        <v>8</v>
      </c>
      <c r="C1945" s="6">
        <v>10000</v>
      </c>
      <c r="D1945" s="6">
        <v>0</v>
      </c>
      <c r="E1945" s="6">
        <v>0</v>
      </c>
      <c r="F1945" s="6">
        <v>0</v>
      </c>
      <c r="G1945" s="7" t="s">
        <v>23</v>
      </c>
      <c r="H1945" s="1">
        <f t="shared" si="30"/>
        <v>0</v>
      </c>
    </row>
    <row r="1946" spans="1:8" x14ac:dyDescent="0.25">
      <c r="A1946" s="1" t="s">
        <v>7</v>
      </c>
      <c r="B1946" s="1" t="s">
        <v>8</v>
      </c>
      <c r="C1946" s="6">
        <v>350000</v>
      </c>
      <c r="D1946" s="6">
        <v>0</v>
      </c>
      <c r="E1946" s="6">
        <v>0</v>
      </c>
      <c r="F1946" s="6">
        <v>0</v>
      </c>
      <c r="G1946" s="7" t="s">
        <v>23</v>
      </c>
      <c r="H1946" s="1">
        <f t="shared" si="30"/>
        <v>0</v>
      </c>
    </row>
    <row r="1947" spans="1:8" x14ac:dyDescent="0.25">
      <c r="A1947" s="1" t="s">
        <v>7</v>
      </c>
      <c r="B1947" s="1" t="s">
        <v>8</v>
      </c>
      <c r="C1947" s="6">
        <v>3696184</v>
      </c>
      <c r="D1947" s="6">
        <v>976215.9</v>
      </c>
      <c r="E1947" s="6">
        <v>204245.75</v>
      </c>
      <c r="F1947" s="6">
        <v>204245.75</v>
      </c>
      <c r="G1947" s="7" t="s">
        <v>23</v>
      </c>
      <c r="H1947" s="1">
        <f t="shared" si="30"/>
        <v>0.26411453001257512</v>
      </c>
    </row>
    <row r="1948" spans="1:8" x14ac:dyDescent="0.25">
      <c r="A1948" s="1" t="s">
        <v>7</v>
      </c>
      <c r="B1948" s="1" t="s">
        <v>8</v>
      </c>
      <c r="C1948" s="6">
        <v>4471</v>
      </c>
      <c r="D1948" s="6">
        <v>3037.5</v>
      </c>
      <c r="E1948" s="6">
        <v>3037.5</v>
      </c>
      <c r="F1948" s="6">
        <v>3037.5</v>
      </c>
      <c r="G1948" s="7" t="s">
        <v>23</v>
      </c>
      <c r="H1948" s="1">
        <f t="shared" si="30"/>
        <v>0.67937821516439278</v>
      </c>
    </row>
    <row r="1949" spans="1:8" x14ac:dyDescent="0.25">
      <c r="A1949" s="1" t="s">
        <v>7</v>
      </c>
      <c r="B1949" s="1" t="s">
        <v>8</v>
      </c>
      <c r="C1949" s="6">
        <v>25227</v>
      </c>
      <c r="D1949" s="6">
        <v>5486</v>
      </c>
      <c r="E1949" s="6">
        <v>2486.25</v>
      </c>
      <c r="F1949" s="6">
        <v>0</v>
      </c>
      <c r="G1949" s="7" t="s">
        <v>23</v>
      </c>
      <c r="H1949" s="1">
        <f t="shared" si="30"/>
        <v>0.21746541404051214</v>
      </c>
    </row>
    <row r="1950" spans="1:8" x14ac:dyDescent="0.25">
      <c r="A1950" s="1" t="s">
        <v>7</v>
      </c>
      <c r="B1950" s="1" t="s">
        <v>8</v>
      </c>
      <c r="C1950" s="6">
        <v>4437</v>
      </c>
      <c r="D1950" s="6">
        <v>2100</v>
      </c>
      <c r="E1950" s="6">
        <v>1225</v>
      </c>
      <c r="F1950" s="6">
        <v>1225</v>
      </c>
      <c r="G1950" s="7" t="s">
        <v>23</v>
      </c>
      <c r="H1950" s="1">
        <f t="shared" si="30"/>
        <v>0.47329276538201487</v>
      </c>
    </row>
    <row r="1951" spans="1:8" x14ac:dyDescent="0.25">
      <c r="A1951" s="1" t="s">
        <v>7</v>
      </c>
      <c r="B1951" s="1" t="s">
        <v>8</v>
      </c>
      <c r="C1951" s="6">
        <v>4568</v>
      </c>
      <c r="D1951" s="6">
        <v>0</v>
      </c>
      <c r="E1951" s="6">
        <v>0</v>
      </c>
      <c r="F1951" s="6">
        <v>0</v>
      </c>
      <c r="G1951" s="7" t="s">
        <v>23</v>
      </c>
      <c r="H1951" s="1">
        <f t="shared" si="30"/>
        <v>0</v>
      </c>
    </row>
    <row r="1952" spans="1:8" x14ac:dyDescent="0.25">
      <c r="A1952" s="1" t="s">
        <v>7</v>
      </c>
      <c r="B1952" s="1" t="s">
        <v>8</v>
      </c>
      <c r="C1952" s="6">
        <v>57500</v>
      </c>
      <c r="D1952" s="6">
        <v>17256.692500000001</v>
      </c>
      <c r="E1952" s="6">
        <v>14009.42</v>
      </c>
      <c r="F1952" s="6">
        <v>13557.452499999999</v>
      </c>
      <c r="G1952" s="7" t="s">
        <v>23</v>
      </c>
      <c r="H1952" s="1">
        <f t="shared" si="30"/>
        <v>0.30011639130434786</v>
      </c>
    </row>
    <row r="1953" spans="1:8" x14ac:dyDescent="0.25">
      <c r="A1953" s="1" t="s">
        <v>7</v>
      </c>
      <c r="B1953" s="1" t="s">
        <v>8</v>
      </c>
      <c r="C1953" s="6">
        <v>795044</v>
      </c>
      <c r="D1953" s="6">
        <v>628362.76500000001</v>
      </c>
      <c r="E1953" s="6">
        <v>626983.04</v>
      </c>
      <c r="F1953" s="6">
        <v>619387.58250000002</v>
      </c>
      <c r="G1953" s="7" t="s">
        <v>23</v>
      </c>
      <c r="H1953" s="1">
        <f t="shared" si="30"/>
        <v>0.79034967247095755</v>
      </c>
    </row>
    <row r="1954" spans="1:8" x14ac:dyDescent="0.25">
      <c r="A1954" s="1" t="s">
        <v>7</v>
      </c>
      <c r="B1954" s="1" t="s">
        <v>8</v>
      </c>
      <c r="C1954" s="6">
        <v>38000</v>
      </c>
      <c r="D1954" s="6">
        <v>412.5</v>
      </c>
      <c r="E1954" s="6">
        <v>0</v>
      </c>
      <c r="F1954" s="6">
        <v>0</v>
      </c>
      <c r="G1954" s="7" t="s">
        <v>23</v>
      </c>
      <c r="H1954" s="1">
        <f t="shared" si="30"/>
        <v>1.0855263157894738E-2</v>
      </c>
    </row>
    <row r="1955" spans="1:8" x14ac:dyDescent="0.25">
      <c r="A1955" s="1" t="s">
        <v>7</v>
      </c>
      <c r="B1955" s="1" t="s">
        <v>8</v>
      </c>
      <c r="C1955" s="6">
        <v>257500</v>
      </c>
      <c r="D1955" s="6">
        <v>74000</v>
      </c>
      <c r="E1955" s="6">
        <v>37449.6325</v>
      </c>
      <c r="F1955" s="6">
        <v>33641.517500000002</v>
      </c>
      <c r="G1955" s="7" t="s">
        <v>23</v>
      </c>
      <c r="H1955" s="1">
        <f t="shared" si="30"/>
        <v>0.287378640776699</v>
      </c>
    </row>
    <row r="1956" spans="1:8" x14ac:dyDescent="0.25">
      <c r="A1956" s="1" t="s">
        <v>7</v>
      </c>
      <c r="B1956" s="1" t="s">
        <v>8</v>
      </c>
      <c r="C1956" s="6">
        <v>12500</v>
      </c>
      <c r="D1956" s="6">
        <v>0</v>
      </c>
      <c r="E1956" s="6">
        <v>0</v>
      </c>
      <c r="F1956" s="6">
        <v>0</v>
      </c>
      <c r="G1956" s="7" t="s">
        <v>23</v>
      </c>
      <c r="H1956" s="1">
        <f t="shared" si="30"/>
        <v>0</v>
      </c>
    </row>
    <row r="1957" spans="1:8" x14ac:dyDescent="0.25">
      <c r="A1957" s="1" t="s">
        <v>7</v>
      </c>
      <c r="B1957" s="1" t="s">
        <v>8</v>
      </c>
      <c r="C1957" s="6">
        <v>12500</v>
      </c>
      <c r="D1957" s="6">
        <v>0</v>
      </c>
      <c r="E1957" s="6">
        <v>0</v>
      </c>
      <c r="F1957" s="6">
        <v>0</v>
      </c>
      <c r="G1957" s="7" t="s">
        <v>23</v>
      </c>
      <c r="H1957" s="1">
        <f t="shared" si="30"/>
        <v>0</v>
      </c>
    </row>
    <row r="1958" spans="1:8" x14ac:dyDescent="0.25">
      <c r="A1958" s="1" t="s">
        <v>7</v>
      </c>
      <c r="B1958" s="1" t="s">
        <v>8</v>
      </c>
      <c r="C1958" s="6">
        <v>25000</v>
      </c>
      <c r="D1958" s="6">
        <v>0</v>
      </c>
      <c r="E1958" s="6">
        <v>0</v>
      </c>
      <c r="F1958" s="6">
        <v>0</v>
      </c>
      <c r="G1958" s="7" t="s">
        <v>23</v>
      </c>
      <c r="H1958" s="1">
        <f t="shared" si="30"/>
        <v>0</v>
      </c>
    </row>
    <row r="1959" spans="1:8" x14ac:dyDescent="0.25">
      <c r="A1959" s="1" t="s">
        <v>7</v>
      </c>
      <c r="B1959" s="1" t="s">
        <v>8</v>
      </c>
      <c r="C1959" s="6">
        <v>6727382</v>
      </c>
      <c r="D1959" s="6">
        <v>6652868.0750000002</v>
      </c>
      <c r="E1959" s="6">
        <v>5953943.6299999999</v>
      </c>
      <c r="F1959" s="6">
        <v>5903818.8449999997</v>
      </c>
      <c r="G1959" s="7" t="s">
        <v>23</v>
      </c>
      <c r="H1959" s="1">
        <f t="shared" si="30"/>
        <v>0.9889237856568871</v>
      </c>
    </row>
    <row r="1960" spans="1:8" x14ac:dyDescent="0.25">
      <c r="A1960" s="1" t="s">
        <v>7</v>
      </c>
      <c r="B1960" s="1" t="s">
        <v>8</v>
      </c>
      <c r="C1960" s="6">
        <v>174715</v>
      </c>
      <c r="D1960" s="6">
        <v>13615.5</v>
      </c>
      <c r="E1960" s="6">
        <v>0</v>
      </c>
      <c r="F1960" s="6">
        <v>0</v>
      </c>
      <c r="G1960" s="7" t="s">
        <v>23</v>
      </c>
      <c r="H1960" s="1">
        <f t="shared" si="30"/>
        <v>7.792977134189967E-2</v>
      </c>
    </row>
    <row r="1961" spans="1:8" x14ac:dyDescent="0.25">
      <c r="A1961" s="1" t="s">
        <v>7</v>
      </c>
      <c r="B1961" s="1" t="s">
        <v>8</v>
      </c>
      <c r="C1961" s="6">
        <v>48000</v>
      </c>
      <c r="D1961" s="6">
        <v>0</v>
      </c>
      <c r="E1961" s="6">
        <v>0</v>
      </c>
      <c r="F1961" s="6">
        <v>0</v>
      </c>
      <c r="G1961" s="7" t="s">
        <v>23</v>
      </c>
      <c r="H1961" s="1">
        <f t="shared" si="30"/>
        <v>0</v>
      </c>
    </row>
    <row r="1962" spans="1:8" x14ac:dyDescent="0.25">
      <c r="A1962" s="1" t="s">
        <v>7</v>
      </c>
      <c r="B1962" s="1" t="s">
        <v>8</v>
      </c>
      <c r="C1962" s="6">
        <v>347300</v>
      </c>
      <c r="D1962" s="6">
        <v>128154.94500000001</v>
      </c>
      <c r="E1962" s="6">
        <v>127222.9375</v>
      </c>
      <c r="F1962" s="6">
        <v>127222.9375</v>
      </c>
      <c r="G1962" s="7" t="s">
        <v>23</v>
      </c>
      <c r="H1962" s="1">
        <f t="shared" si="30"/>
        <v>0.36900358479700551</v>
      </c>
    </row>
    <row r="1963" spans="1:8" x14ac:dyDescent="0.25">
      <c r="A1963" s="1" t="s">
        <v>7</v>
      </c>
      <c r="B1963" s="1" t="s">
        <v>8</v>
      </c>
      <c r="C1963" s="6">
        <v>858214</v>
      </c>
      <c r="D1963" s="6">
        <v>817612.30249999999</v>
      </c>
      <c r="E1963" s="6">
        <v>750024.55249999999</v>
      </c>
      <c r="F1963" s="6">
        <v>750024.55249999999</v>
      </c>
      <c r="G1963" s="7" t="s">
        <v>23</v>
      </c>
      <c r="H1963" s="1">
        <f t="shared" si="30"/>
        <v>0.95269047405425689</v>
      </c>
    </row>
    <row r="1964" spans="1:8" x14ac:dyDescent="0.25">
      <c r="A1964" s="1" t="s">
        <v>7</v>
      </c>
      <c r="B1964" s="1" t="s">
        <v>8</v>
      </c>
      <c r="C1964" s="6">
        <v>281867</v>
      </c>
      <c r="D1964" s="6">
        <v>119830.83500000001</v>
      </c>
      <c r="E1964" s="6">
        <v>23684.317500000001</v>
      </c>
      <c r="F1964" s="6">
        <v>17994.837500000001</v>
      </c>
      <c r="G1964" s="7" t="s">
        <v>23</v>
      </c>
      <c r="H1964" s="1">
        <f t="shared" si="30"/>
        <v>0.42513254478175877</v>
      </c>
    </row>
    <row r="1965" spans="1:8" x14ac:dyDescent="0.25">
      <c r="A1965" s="1" t="s">
        <v>7</v>
      </c>
      <c r="B1965" s="1" t="s">
        <v>8</v>
      </c>
      <c r="C1965" s="6">
        <v>118197</v>
      </c>
      <c r="D1965" s="6">
        <v>39538.4925</v>
      </c>
      <c r="E1965" s="6">
        <v>22800</v>
      </c>
      <c r="F1965" s="6">
        <v>22750</v>
      </c>
      <c r="G1965" s="7" t="s">
        <v>23</v>
      </c>
      <c r="H1965" s="1">
        <f t="shared" si="30"/>
        <v>0.3345135028807838</v>
      </c>
    </row>
    <row r="1966" spans="1:8" x14ac:dyDescent="0.25">
      <c r="A1966" s="1" t="s">
        <v>7</v>
      </c>
      <c r="B1966" s="1" t="s">
        <v>8</v>
      </c>
      <c r="C1966" s="6">
        <v>90000</v>
      </c>
      <c r="D1966" s="6">
        <v>0</v>
      </c>
      <c r="E1966" s="6">
        <v>0</v>
      </c>
      <c r="F1966" s="6">
        <v>0</v>
      </c>
      <c r="G1966" s="7" t="s">
        <v>23</v>
      </c>
      <c r="H1966" s="1">
        <f t="shared" si="30"/>
        <v>0</v>
      </c>
    </row>
    <row r="1967" spans="1:8" x14ac:dyDescent="0.25">
      <c r="A1967" s="1" t="s">
        <v>7</v>
      </c>
      <c r="B1967" s="1" t="s">
        <v>8</v>
      </c>
      <c r="C1967" s="6">
        <v>115000</v>
      </c>
      <c r="D1967" s="6">
        <v>0</v>
      </c>
      <c r="E1967" s="6">
        <v>0</v>
      </c>
      <c r="F1967" s="6">
        <v>0</v>
      </c>
      <c r="G1967" s="7" t="s">
        <v>23</v>
      </c>
      <c r="H1967" s="1">
        <f t="shared" si="30"/>
        <v>0</v>
      </c>
    </row>
    <row r="1968" spans="1:8" x14ac:dyDescent="0.25">
      <c r="A1968" s="1" t="s">
        <v>7</v>
      </c>
      <c r="B1968" s="1" t="s">
        <v>8</v>
      </c>
      <c r="C1968" s="6">
        <v>408285</v>
      </c>
      <c r="D1968" s="6">
        <v>537847.32999999996</v>
      </c>
      <c r="E1968" s="6">
        <v>536710.6825</v>
      </c>
      <c r="F1968" s="6">
        <v>531754.59750000003</v>
      </c>
      <c r="G1968" s="7" t="s">
        <v>23</v>
      </c>
      <c r="H1968" s="1">
        <f t="shared" si="30"/>
        <v>1.3173330639136875</v>
      </c>
    </row>
    <row r="1969" spans="1:8" x14ac:dyDescent="0.25">
      <c r="A1969" s="1" t="s">
        <v>7</v>
      </c>
      <c r="B1969" s="1" t="s">
        <v>8</v>
      </c>
      <c r="C1969" s="6">
        <v>1429538</v>
      </c>
      <c r="D1969" s="6">
        <v>978705.46750000003</v>
      </c>
      <c r="E1969" s="6">
        <v>977978.32</v>
      </c>
      <c r="F1969" s="6">
        <v>964006.31499999994</v>
      </c>
      <c r="G1969" s="7" t="s">
        <v>23</v>
      </c>
      <c r="H1969" s="1">
        <f t="shared" si="30"/>
        <v>0.68463060618185734</v>
      </c>
    </row>
    <row r="1970" spans="1:8" x14ac:dyDescent="0.25">
      <c r="A1970" s="1" t="s">
        <v>7</v>
      </c>
      <c r="B1970" s="1" t="s">
        <v>8</v>
      </c>
      <c r="C1970" s="6">
        <v>1295</v>
      </c>
      <c r="D1970" s="6">
        <v>0</v>
      </c>
      <c r="E1970" s="6">
        <v>0</v>
      </c>
      <c r="F1970" s="6">
        <v>0</v>
      </c>
      <c r="G1970" s="7" t="s">
        <v>23</v>
      </c>
      <c r="H1970" s="1">
        <f t="shared" si="30"/>
        <v>0</v>
      </c>
    </row>
    <row r="1971" spans="1:8" x14ac:dyDescent="0.25">
      <c r="A1971" s="1" t="s">
        <v>7</v>
      </c>
      <c r="B1971" s="1" t="s">
        <v>8</v>
      </c>
      <c r="C1971" s="6">
        <v>20250</v>
      </c>
      <c r="D1971" s="6">
        <v>24797.0625</v>
      </c>
      <c r="E1971" s="6">
        <v>0</v>
      </c>
      <c r="F1971" s="6">
        <v>0</v>
      </c>
      <c r="G1971" s="7" t="s">
        <v>23</v>
      </c>
      <c r="H1971" s="1">
        <f t="shared" si="30"/>
        <v>1.2245462962962963</v>
      </c>
    </row>
    <row r="1972" spans="1:8" x14ac:dyDescent="0.25">
      <c r="A1972" s="1" t="s">
        <v>7</v>
      </c>
      <c r="B1972" s="1" t="s">
        <v>8</v>
      </c>
      <c r="C1972" s="6">
        <v>109865</v>
      </c>
      <c r="D1972" s="6">
        <v>12723.205</v>
      </c>
      <c r="E1972" s="6">
        <v>12099.372499999999</v>
      </c>
      <c r="F1972" s="6">
        <v>12099.372499999999</v>
      </c>
      <c r="G1972" s="7" t="s">
        <v>23</v>
      </c>
      <c r="H1972" s="1">
        <f t="shared" si="30"/>
        <v>0.11580762754289355</v>
      </c>
    </row>
    <row r="1973" spans="1:8" x14ac:dyDescent="0.25">
      <c r="A1973" s="1" t="s">
        <v>7</v>
      </c>
      <c r="B1973" s="1" t="s">
        <v>8</v>
      </c>
      <c r="C1973" s="6">
        <v>2877500</v>
      </c>
      <c r="D1973" s="6">
        <v>1828683.2150000001</v>
      </c>
      <c r="E1973" s="6">
        <v>1828683.2150000001</v>
      </c>
      <c r="F1973" s="6">
        <v>1828683.2150000001</v>
      </c>
      <c r="G1973" s="7" t="s">
        <v>23</v>
      </c>
      <c r="H1973" s="1">
        <f t="shared" si="30"/>
        <v>0.6355111086012164</v>
      </c>
    </row>
    <row r="1974" spans="1:8" x14ac:dyDescent="0.25">
      <c r="A1974" s="1" t="s">
        <v>7</v>
      </c>
      <c r="B1974" s="1" t="s">
        <v>8</v>
      </c>
      <c r="C1974" s="6">
        <v>66000</v>
      </c>
      <c r="D1974" s="6">
        <v>0</v>
      </c>
      <c r="E1974" s="6">
        <v>0</v>
      </c>
      <c r="F1974" s="6">
        <v>0</v>
      </c>
      <c r="G1974" s="7" t="s">
        <v>23</v>
      </c>
      <c r="H1974" s="1">
        <f t="shared" si="30"/>
        <v>0</v>
      </c>
    </row>
    <row r="1975" spans="1:8" x14ac:dyDescent="0.25">
      <c r="A1975" s="1" t="s">
        <v>7</v>
      </c>
      <c r="B1975" s="1" t="s">
        <v>8</v>
      </c>
      <c r="C1975" s="6">
        <v>2304712</v>
      </c>
      <c r="D1975" s="6">
        <v>1483925.1775</v>
      </c>
      <c r="E1975" s="6">
        <v>1318716.8225</v>
      </c>
      <c r="F1975" s="6">
        <v>1300919.0725</v>
      </c>
      <c r="G1975" s="7" t="s">
        <v>23</v>
      </c>
      <c r="H1975" s="1">
        <f t="shared" si="30"/>
        <v>0.64386577476925533</v>
      </c>
    </row>
    <row r="1976" spans="1:8" x14ac:dyDescent="0.25">
      <c r="A1976" s="1" t="s">
        <v>7</v>
      </c>
      <c r="B1976" s="1" t="s">
        <v>8</v>
      </c>
      <c r="C1976" s="6">
        <v>35750</v>
      </c>
      <c r="D1976" s="6">
        <v>0</v>
      </c>
      <c r="E1976" s="6">
        <v>0</v>
      </c>
      <c r="F1976" s="6">
        <v>0</v>
      </c>
      <c r="G1976" s="7" t="s">
        <v>23</v>
      </c>
      <c r="H1976" s="1">
        <f t="shared" si="30"/>
        <v>0</v>
      </c>
    </row>
    <row r="1977" spans="1:8" x14ac:dyDescent="0.25">
      <c r="A1977" s="1" t="s">
        <v>7</v>
      </c>
      <c r="B1977" s="1" t="s">
        <v>8</v>
      </c>
      <c r="C1977" s="6">
        <v>58000</v>
      </c>
      <c r="D1977" s="6">
        <v>74999.740000000005</v>
      </c>
      <c r="E1977" s="6">
        <v>21195.915000000001</v>
      </c>
      <c r="F1977" s="6">
        <v>595</v>
      </c>
      <c r="G1977" s="7" t="s">
        <v>23</v>
      </c>
      <c r="H1977" s="1">
        <f t="shared" si="30"/>
        <v>1.2930989655172416</v>
      </c>
    </row>
    <row r="1978" spans="1:8" x14ac:dyDescent="0.25">
      <c r="A1978" s="1" t="s">
        <v>7</v>
      </c>
      <c r="B1978" s="1" t="s">
        <v>8</v>
      </c>
      <c r="C1978" s="6">
        <v>12500</v>
      </c>
      <c r="D1978" s="6">
        <v>50207.75</v>
      </c>
      <c r="E1978" s="6">
        <v>50195.75</v>
      </c>
      <c r="F1978" s="6">
        <v>50195.75</v>
      </c>
      <c r="G1978" s="7" t="s">
        <v>23</v>
      </c>
      <c r="H1978" s="1">
        <f t="shared" si="30"/>
        <v>4.0166199999999996</v>
      </c>
    </row>
    <row r="1979" spans="1:8" x14ac:dyDescent="0.25">
      <c r="A1979" s="1" t="s">
        <v>7</v>
      </c>
      <c r="B1979" s="1" t="s">
        <v>8</v>
      </c>
      <c r="C1979" s="6">
        <v>200000</v>
      </c>
      <c r="D1979" s="6">
        <v>750</v>
      </c>
      <c r="E1979" s="6">
        <v>750</v>
      </c>
      <c r="F1979" s="6">
        <v>750</v>
      </c>
      <c r="G1979" s="7" t="s">
        <v>23</v>
      </c>
      <c r="H1979" s="1">
        <f t="shared" si="30"/>
        <v>3.7499999999999999E-3</v>
      </c>
    </row>
    <row r="1980" spans="1:8" x14ac:dyDescent="0.25">
      <c r="A1980" s="1" t="s">
        <v>7</v>
      </c>
      <c r="B1980" s="1" t="s">
        <v>8</v>
      </c>
      <c r="C1980" s="6">
        <v>1250</v>
      </c>
      <c r="D1980" s="6">
        <v>0</v>
      </c>
      <c r="E1980" s="6">
        <v>0</v>
      </c>
      <c r="F1980" s="6">
        <v>0</v>
      </c>
      <c r="G1980" s="7" t="s">
        <v>23</v>
      </c>
      <c r="H1980" s="1">
        <f t="shared" si="30"/>
        <v>0</v>
      </c>
    </row>
    <row r="1981" spans="1:8" x14ac:dyDescent="0.25">
      <c r="A1981" s="1" t="s">
        <v>7</v>
      </c>
      <c r="B1981" s="1" t="s">
        <v>8</v>
      </c>
      <c r="C1981" s="6">
        <v>35660</v>
      </c>
      <c r="D1981" s="6">
        <v>15915.73</v>
      </c>
      <c r="E1981" s="6">
        <v>9363.0949999999993</v>
      </c>
      <c r="F1981" s="6">
        <v>9363.0949999999993</v>
      </c>
      <c r="G1981" s="7" t="s">
        <v>23</v>
      </c>
      <c r="H1981" s="1">
        <f t="shared" si="30"/>
        <v>0.44631884464385863</v>
      </c>
    </row>
    <row r="1982" spans="1:8" x14ac:dyDescent="0.25">
      <c r="A1982" s="1" t="s">
        <v>7</v>
      </c>
      <c r="B1982" s="1" t="s">
        <v>8</v>
      </c>
      <c r="C1982" s="6">
        <v>63750</v>
      </c>
      <c r="D1982" s="6">
        <v>0</v>
      </c>
      <c r="E1982" s="6">
        <v>0</v>
      </c>
      <c r="F1982" s="6">
        <v>0</v>
      </c>
      <c r="G1982" s="7" t="s">
        <v>23</v>
      </c>
      <c r="H1982" s="1">
        <f t="shared" si="30"/>
        <v>0</v>
      </c>
    </row>
    <row r="1983" spans="1:8" x14ac:dyDescent="0.25">
      <c r="A1983" s="1" t="s">
        <v>7</v>
      </c>
      <c r="B1983" s="1" t="s">
        <v>8</v>
      </c>
      <c r="C1983" s="6">
        <v>563840</v>
      </c>
      <c r="D1983" s="6">
        <v>814623.05249999999</v>
      </c>
      <c r="E1983" s="6">
        <v>65922.824999999997</v>
      </c>
      <c r="F1983" s="6">
        <v>65922.824999999997</v>
      </c>
      <c r="G1983" s="7" t="s">
        <v>23</v>
      </c>
      <c r="H1983" s="1">
        <f t="shared" si="30"/>
        <v>1.4447769801716799</v>
      </c>
    </row>
    <row r="1984" spans="1:8" x14ac:dyDescent="0.25">
      <c r="A1984" s="1" t="s">
        <v>7</v>
      </c>
      <c r="B1984" s="1" t="s">
        <v>8</v>
      </c>
      <c r="C1984" s="6">
        <v>0</v>
      </c>
      <c r="D1984" s="6">
        <v>86546.012499999997</v>
      </c>
      <c r="E1984" s="6">
        <v>86546.012499999997</v>
      </c>
      <c r="F1984" s="6">
        <v>86546.012499999997</v>
      </c>
      <c r="G1984" s="7" t="s">
        <v>23</v>
      </c>
      <c r="H1984" s="1">
        <f t="shared" si="30"/>
        <v>0</v>
      </c>
    </row>
    <row r="1985" spans="1:8" x14ac:dyDescent="0.25">
      <c r="A1985" s="1" t="s">
        <v>7</v>
      </c>
      <c r="B1985" s="1" t="s">
        <v>8</v>
      </c>
      <c r="C1985" s="6">
        <v>17175</v>
      </c>
      <c r="D1985" s="6">
        <v>11211.29</v>
      </c>
      <c r="E1985" s="6">
        <v>7850.04</v>
      </c>
      <c r="F1985" s="6">
        <v>6100.04</v>
      </c>
      <c r="G1985" s="7" t="s">
        <v>23</v>
      </c>
      <c r="H1985" s="1">
        <f t="shared" si="30"/>
        <v>0.65276797671033482</v>
      </c>
    </row>
    <row r="1986" spans="1:8" x14ac:dyDescent="0.25">
      <c r="A1986" s="1" t="s">
        <v>7</v>
      </c>
      <c r="B1986" s="1" t="s">
        <v>8</v>
      </c>
      <c r="C1986" s="6">
        <v>2750</v>
      </c>
      <c r="D1986" s="6">
        <v>0</v>
      </c>
      <c r="E1986" s="6">
        <v>0</v>
      </c>
      <c r="F1986" s="6">
        <v>0</v>
      </c>
      <c r="G1986" s="7" t="s">
        <v>23</v>
      </c>
      <c r="H1986" s="1">
        <f t="shared" ref="H1986:H2049" si="31">IF(OR(ISNA($D1986),ISNA($C1986),$C1986=0),0,$D1986/$C1986)</f>
        <v>0</v>
      </c>
    </row>
    <row r="1987" spans="1:8" x14ac:dyDescent="0.25">
      <c r="A1987" s="1" t="s">
        <v>7</v>
      </c>
      <c r="B1987" s="1" t="s">
        <v>10</v>
      </c>
      <c r="C1987" s="6">
        <v>117410</v>
      </c>
      <c r="D1987" s="6">
        <v>107356.23</v>
      </c>
      <c r="E1987" s="6">
        <v>102041.72</v>
      </c>
      <c r="F1987" s="6">
        <v>95549.8</v>
      </c>
      <c r="G1987" s="7" t="s">
        <v>23</v>
      </c>
      <c r="H1987" s="1">
        <f t="shared" si="31"/>
        <v>0.91437041137892849</v>
      </c>
    </row>
    <row r="1988" spans="1:8" x14ac:dyDescent="0.25">
      <c r="A1988" s="1" t="s">
        <v>7</v>
      </c>
      <c r="B1988" s="1" t="s">
        <v>10</v>
      </c>
      <c r="C1988" s="6">
        <v>4697417</v>
      </c>
      <c r="D1988" s="6">
        <v>288502.39</v>
      </c>
      <c r="E1988" s="6">
        <v>106121.2075</v>
      </c>
      <c r="F1988" s="6">
        <v>46553.995000000003</v>
      </c>
      <c r="G1988" s="7" t="s">
        <v>23</v>
      </c>
      <c r="H1988" s="1">
        <f t="shared" si="31"/>
        <v>6.1417240581366314E-2</v>
      </c>
    </row>
    <row r="1989" spans="1:8" x14ac:dyDescent="0.25">
      <c r="A1989" s="1" t="s">
        <v>7</v>
      </c>
      <c r="B1989" s="1" t="s">
        <v>10</v>
      </c>
      <c r="C1989" s="6">
        <v>120750</v>
      </c>
      <c r="D1989" s="6">
        <v>0</v>
      </c>
      <c r="E1989" s="6">
        <v>0</v>
      </c>
      <c r="F1989" s="6">
        <v>0</v>
      </c>
      <c r="G1989" s="7" t="s">
        <v>23</v>
      </c>
      <c r="H1989" s="1">
        <f t="shared" si="31"/>
        <v>0</v>
      </c>
    </row>
    <row r="1990" spans="1:8" x14ac:dyDescent="0.25">
      <c r="A1990" s="1" t="s">
        <v>7</v>
      </c>
      <c r="B1990" s="1" t="s">
        <v>10</v>
      </c>
      <c r="C1990" s="6">
        <v>2500</v>
      </c>
      <c r="D1990" s="6">
        <v>149625</v>
      </c>
      <c r="E1990" s="6">
        <v>149625</v>
      </c>
      <c r="F1990" s="6">
        <v>149625</v>
      </c>
      <c r="G1990" s="7" t="s">
        <v>23</v>
      </c>
      <c r="H1990" s="1">
        <f t="shared" si="31"/>
        <v>59.85</v>
      </c>
    </row>
    <row r="1991" spans="1:8" x14ac:dyDescent="0.25">
      <c r="A1991" s="1" t="s">
        <v>7</v>
      </c>
      <c r="B1991" s="1" t="s">
        <v>10</v>
      </c>
      <c r="C1991" s="6">
        <v>1321753</v>
      </c>
      <c r="D1991" s="6">
        <v>1424676.13</v>
      </c>
      <c r="E1991" s="6">
        <v>1369086.9325000001</v>
      </c>
      <c r="F1991" s="6">
        <v>1353040.4750000001</v>
      </c>
      <c r="G1991" s="7" t="s">
        <v>23</v>
      </c>
      <c r="H1991" s="1">
        <f t="shared" si="31"/>
        <v>1.0778686562466662</v>
      </c>
    </row>
    <row r="1992" spans="1:8" x14ac:dyDescent="0.25">
      <c r="A1992" s="1" t="s">
        <v>7</v>
      </c>
      <c r="B1992" s="1" t="s">
        <v>10</v>
      </c>
      <c r="C1992" s="6">
        <v>2500</v>
      </c>
      <c r="D1992" s="6">
        <v>0</v>
      </c>
      <c r="E1992" s="6">
        <v>0</v>
      </c>
      <c r="F1992" s="6">
        <v>0</v>
      </c>
      <c r="G1992" s="7" t="s">
        <v>23</v>
      </c>
      <c r="H1992" s="1">
        <f t="shared" si="31"/>
        <v>0</v>
      </c>
    </row>
    <row r="1993" spans="1:8" x14ac:dyDescent="0.25">
      <c r="A1993" s="1" t="s">
        <v>7</v>
      </c>
      <c r="B1993" s="1" t="s">
        <v>10</v>
      </c>
      <c r="C1993" s="6">
        <v>1140000</v>
      </c>
      <c r="D1993" s="6">
        <v>0</v>
      </c>
      <c r="E1993" s="6">
        <v>0</v>
      </c>
      <c r="F1993" s="6">
        <v>0</v>
      </c>
      <c r="G1993" s="7" t="s">
        <v>23</v>
      </c>
      <c r="H1993" s="1">
        <f t="shared" si="31"/>
        <v>0</v>
      </c>
    </row>
    <row r="1994" spans="1:8" x14ac:dyDescent="0.25">
      <c r="A1994" s="1" t="s">
        <v>7</v>
      </c>
      <c r="B1994" s="1" t="s">
        <v>10</v>
      </c>
      <c r="C1994" s="6">
        <v>770000</v>
      </c>
      <c r="D1994" s="6">
        <v>385995.4</v>
      </c>
      <c r="E1994" s="6">
        <v>385995.4</v>
      </c>
      <c r="F1994" s="6">
        <v>385995.4</v>
      </c>
      <c r="G1994" s="7" t="s">
        <v>23</v>
      </c>
      <c r="H1994" s="1">
        <f t="shared" si="31"/>
        <v>0.50129272727272733</v>
      </c>
    </row>
    <row r="1995" spans="1:8" x14ac:dyDescent="0.25">
      <c r="A1995" s="1" t="s">
        <v>7</v>
      </c>
      <c r="B1995" s="1" t="s">
        <v>10</v>
      </c>
      <c r="C1995" s="6">
        <v>1006454</v>
      </c>
      <c r="D1995" s="6">
        <v>0</v>
      </c>
      <c r="E1995" s="6">
        <v>0</v>
      </c>
      <c r="F1995" s="6">
        <v>0</v>
      </c>
      <c r="G1995" s="7" t="s">
        <v>23</v>
      </c>
      <c r="H1995" s="1">
        <f t="shared" si="31"/>
        <v>0</v>
      </c>
    </row>
    <row r="1996" spans="1:8" x14ac:dyDescent="0.25">
      <c r="A1996" s="1" t="s">
        <v>7</v>
      </c>
      <c r="B1996" s="1" t="s">
        <v>10</v>
      </c>
      <c r="C1996" s="6">
        <v>963365</v>
      </c>
      <c r="D1996" s="6">
        <v>33110.65</v>
      </c>
      <c r="E1996" s="6">
        <v>33110.65</v>
      </c>
      <c r="F1996" s="6">
        <v>33110.65</v>
      </c>
      <c r="G1996" s="7" t="s">
        <v>23</v>
      </c>
      <c r="H1996" s="1">
        <f t="shared" si="31"/>
        <v>3.4369787152325443E-2</v>
      </c>
    </row>
    <row r="1997" spans="1:8" x14ac:dyDescent="0.25">
      <c r="A1997" s="1" t="s">
        <v>7</v>
      </c>
      <c r="B1997" s="1" t="s">
        <v>10</v>
      </c>
      <c r="C1997" s="6">
        <v>1951451</v>
      </c>
      <c r="D1997" s="6">
        <v>1048996.0874999999</v>
      </c>
      <c r="E1997" s="6">
        <v>942821.96750000003</v>
      </c>
      <c r="F1997" s="6">
        <v>939814.3125</v>
      </c>
      <c r="G1997" s="7" t="s">
        <v>23</v>
      </c>
      <c r="H1997" s="1">
        <f t="shared" si="31"/>
        <v>0.53754672164456085</v>
      </c>
    </row>
    <row r="1998" spans="1:8" x14ac:dyDescent="0.25">
      <c r="A1998" s="1" t="s">
        <v>7</v>
      </c>
      <c r="B1998" s="1" t="s">
        <v>10</v>
      </c>
      <c r="C1998" s="6">
        <v>187500</v>
      </c>
      <c r="D1998" s="6">
        <v>15799.62</v>
      </c>
      <c r="E1998" s="6">
        <v>7397.2325000000001</v>
      </c>
      <c r="F1998" s="6">
        <v>1209.7325000000001</v>
      </c>
      <c r="G1998" s="7" t="s">
        <v>23</v>
      </c>
      <c r="H1998" s="1">
        <f t="shared" si="31"/>
        <v>8.4264640000000002E-2</v>
      </c>
    </row>
    <row r="1999" spans="1:8" x14ac:dyDescent="0.25">
      <c r="A1999" s="1" t="s">
        <v>7</v>
      </c>
      <c r="B1999" s="1" t="s">
        <v>10</v>
      </c>
      <c r="C1999" s="6">
        <v>274046</v>
      </c>
      <c r="D1999" s="6">
        <v>11579.775</v>
      </c>
      <c r="E1999" s="6">
        <v>11325.275</v>
      </c>
      <c r="F1999" s="6">
        <v>9769.0249999999996</v>
      </c>
      <c r="G1999" s="7" t="s">
        <v>23</v>
      </c>
      <c r="H1999" s="1">
        <f t="shared" si="31"/>
        <v>4.2254858673361408E-2</v>
      </c>
    </row>
    <row r="2000" spans="1:8" x14ac:dyDescent="0.25">
      <c r="A2000" s="1" t="s">
        <v>7</v>
      </c>
      <c r="B2000" s="1" t="s">
        <v>10</v>
      </c>
      <c r="C2000" s="6">
        <v>8812</v>
      </c>
      <c r="D2000" s="6">
        <v>0</v>
      </c>
      <c r="E2000" s="6">
        <v>0</v>
      </c>
      <c r="F2000" s="6">
        <v>0</v>
      </c>
      <c r="G2000" s="7" t="s">
        <v>23</v>
      </c>
      <c r="H2000" s="1">
        <f t="shared" si="31"/>
        <v>0</v>
      </c>
    </row>
    <row r="2001" spans="1:8" x14ac:dyDescent="0.25">
      <c r="A2001" s="1" t="s">
        <v>7</v>
      </c>
      <c r="B2001" s="1" t="s">
        <v>10</v>
      </c>
      <c r="C2001" s="6">
        <v>38799</v>
      </c>
      <c r="D2001" s="6">
        <v>0</v>
      </c>
      <c r="E2001" s="6">
        <v>0</v>
      </c>
      <c r="F2001" s="6">
        <v>0</v>
      </c>
      <c r="G2001" s="7" t="s">
        <v>23</v>
      </c>
      <c r="H2001" s="1">
        <f t="shared" si="31"/>
        <v>0</v>
      </c>
    </row>
    <row r="2002" spans="1:8" x14ac:dyDescent="0.25">
      <c r="A2002" s="1" t="s">
        <v>7</v>
      </c>
      <c r="B2002" s="1" t="s">
        <v>10</v>
      </c>
      <c r="C2002" s="6">
        <v>5000</v>
      </c>
      <c r="D2002" s="6">
        <v>0</v>
      </c>
      <c r="E2002" s="6">
        <v>0</v>
      </c>
      <c r="F2002" s="6">
        <v>0</v>
      </c>
      <c r="G2002" s="7" t="s">
        <v>23</v>
      </c>
      <c r="H2002" s="1">
        <f t="shared" si="31"/>
        <v>0</v>
      </c>
    </row>
    <row r="2003" spans="1:8" x14ac:dyDescent="0.25">
      <c r="A2003" s="1" t="s">
        <v>7</v>
      </c>
      <c r="B2003" s="1" t="s">
        <v>10</v>
      </c>
      <c r="C2003" s="6">
        <v>7500</v>
      </c>
      <c r="D2003" s="6">
        <v>0</v>
      </c>
      <c r="E2003" s="6">
        <v>0</v>
      </c>
      <c r="F2003" s="6">
        <v>0</v>
      </c>
      <c r="G2003" s="7" t="s">
        <v>23</v>
      </c>
      <c r="H2003" s="1">
        <f t="shared" si="31"/>
        <v>0</v>
      </c>
    </row>
    <row r="2004" spans="1:8" x14ac:dyDescent="0.25">
      <c r="A2004" s="1" t="s">
        <v>7</v>
      </c>
      <c r="B2004" s="1" t="s">
        <v>10</v>
      </c>
      <c r="C2004" s="6">
        <v>300000</v>
      </c>
      <c r="D2004" s="6">
        <v>214205</v>
      </c>
      <c r="E2004" s="6">
        <v>214205</v>
      </c>
      <c r="F2004" s="6">
        <v>214205</v>
      </c>
      <c r="G2004" s="7" t="s">
        <v>23</v>
      </c>
      <c r="H2004" s="1">
        <f t="shared" si="31"/>
        <v>0.71401666666666663</v>
      </c>
    </row>
    <row r="2005" spans="1:8" x14ac:dyDescent="0.25">
      <c r="A2005" s="1" t="s">
        <v>7</v>
      </c>
      <c r="B2005" s="1" t="s">
        <v>10</v>
      </c>
      <c r="C2005" s="6">
        <v>50000</v>
      </c>
      <c r="D2005" s="6">
        <v>22502.255000000001</v>
      </c>
      <c r="E2005" s="6">
        <v>22502.255000000001</v>
      </c>
      <c r="F2005" s="6">
        <v>22502.255000000001</v>
      </c>
      <c r="G2005" s="7" t="s">
        <v>23</v>
      </c>
      <c r="H2005" s="1">
        <f t="shared" si="31"/>
        <v>0.45004510000000003</v>
      </c>
    </row>
    <row r="2006" spans="1:8" x14ac:dyDescent="0.25">
      <c r="A2006" s="1" t="s">
        <v>7</v>
      </c>
      <c r="B2006" s="1" t="s">
        <v>10</v>
      </c>
      <c r="C2006" s="6">
        <v>1290077</v>
      </c>
      <c r="D2006" s="6">
        <v>1232163.6675</v>
      </c>
      <c r="E2006" s="6">
        <v>1232163.6675</v>
      </c>
      <c r="F2006" s="6">
        <v>1232163.6675</v>
      </c>
      <c r="G2006" s="7" t="s">
        <v>23</v>
      </c>
      <c r="H2006" s="1">
        <f t="shared" si="31"/>
        <v>0.95510862336124125</v>
      </c>
    </row>
    <row r="2007" spans="1:8" x14ac:dyDescent="0.25">
      <c r="A2007" s="1" t="s">
        <v>7</v>
      </c>
      <c r="B2007" s="1" t="s">
        <v>10</v>
      </c>
      <c r="C2007" s="6">
        <v>130988</v>
      </c>
      <c r="D2007" s="6">
        <v>0</v>
      </c>
      <c r="E2007" s="6">
        <v>0</v>
      </c>
      <c r="F2007" s="6">
        <v>0</v>
      </c>
      <c r="G2007" s="7" t="s">
        <v>23</v>
      </c>
      <c r="H2007" s="1">
        <f t="shared" si="31"/>
        <v>0</v>
      </c>
    </row>
    <row r="2008" spans="1:8" x14ac:dyDescent="0.25">
      <c r="A2008" s="1" t="s">
        <v>7</v>
      </c>
      <c r="B2008" s="1" t="s">
        <v>10</v>
      </c>
      <c r="C2008" s="6">
        <v>104386</v>
      </c>
      <c r="D2008" s="6">
        <v>3485.7150000000001</v>
      </c>
      <c r="E2008" s="6">
        <v>1743.7149999999999</v>
      </c>
      <c r="F2008" s="6">
        <v>1743.7149999999999</v>
      </c>
      <c r="G2008" s="7" t="s">
        <v>23</v>
      </c>
      <c r="H2008" s="1">
        <f t="shared" si="31"/>
        <v>3.3392552641158778E-2</v>
      </c>
    </row>
    <row r="2009" spans="1:8" x14ac:dyDescent="0.25">
      <c r="A2009" s="1" t="s">
        <v>7</v>
      </c>
      <c r="B2009" s="1" t="s">
        <v>10</v>
      </c>
      <c r="C2009" s="6">
        <v>660985</v>
      </c>
      <c r="D2009" s="6">
        <v>751289.47250000003</v>
      </c>
      <c r="E2009" s="6">
        <v>751289.47250000003</v>
      </c>
      <c r="F2009" s="6">
        <v>751289.47250000003</v>
      </c>
      <c r="G2009" s="7" t="s">
        <v>23</v>
      </c>
      <c r="H2009" s="1">
        <f t="shared" si="31"/>
        <v>1.1366210617487538</v>
      </c>
    </row>
    <row r="2010" spans="1:8" x14ac:dyDescent="0.25">
      <c r="A2010" s="1" t="s">
        <v>7</v>
      </c>
      <c r="B2010" s="1" t="s">
        <v>10</v>
      </c>
      <c r="C2010" s="6">
        <v>46265</v>
      </c>
      <c r="D2010" s="6">
        <v>64362.252500000002</v>
      </c>
      <c r="E2010" s="6">
        <v>59608.077499999999</v>
      </c>
      <c r="F2010" s="6">
        <v>50737.902499999997</v>
      </c>
      <c r="G2010" s="7" t="s">
        <v>23</v>
      </c>
      <c r="H2010" s="1">
        <f t="shared" si="31"/>
        <v>1.3911650815951584</v>
      </c>
    </row>
    <row r="2011" spans="1:8" x14ac:dyDescent="0.25">
      <c r="A2011" s="1" t="s">
        <v>7</v>
      </c>
      <c r="B2011" s="1" t="s">
        <v>10</v>
      </c>
      <c r="C2011" s="6">
        <v>44545</v>
      </c>
      <c r="D2011" s="6">
        <v>85043.342499999999</v>
      </c>
      <c r="E2011" s="6">
        <v>83977.842499999999</v>
      </c>
      <c r="F2011" s="6">
        <v>47846.037499999999</v>
      </c>
      <c r="G2011" s="7" t="s">
        <v>23</v>
      </c>
      <c r="H2011" s="1">
        <f t="shared" si="31"/>
        <v>1.9091557413851161</v>
      </c>
    </row>
    <row r="2012" spans="1:8" x14ac:dyDescent="0.25">
      <c r="A2012" s="1" t="s">
        <v>7</v>
      </c>
      <c r="B2012" s="1" t="s">
        <v>10</v>
      </c>
      <c r="C2012" s="6">
        <v>38537</v>
      </c>
      <c r="D2012" s="6">
        <v>20234.172500000001</v>
      </c>
      <c r="E2012" s="6">
        <v>20234.172500000001</v>
      </c>
      <c r="F2012" s="6">
        <v>20234.172500000001</v>
      </c>
      <c r="G2012" s="7" t="s">
        <v>23</v>
      </c>
      <c r="H2012" s="1">
        <f t="shared" si="31"/>
        <v>0.52505832057503177</v>
      </c>
    </row>
    <row r="2013" spans="1:8" x14ac:dyDescent="0.25">
      <c r="A2013" s="1" t="s">
        <v>7</v>
      </c>
      <c r="B2013" s="1" t="s">
        <v>10</v>
      </c>
      <c r="C2013" s="6">
        <v>145000</v>
      </c>
      <c r="D2013" s="6">
        <v>440250</v>
      </c>
      <c r="E2013" s="6">
        <v>234800</v>
      </c>
      <c r="F2013" s="6">
        <v>0</v>
      </c>
      <c r="G2013" s="7" t="s">
        <v>23</v>
      </c>
      <c r="H2013" s="1">
        <f t="shared" si="31"/>
        <v>3.0362068965517239</v>
      </c>
    </row>
    <row r="2014" spans="1:8" x14ac:dyDescent="0.25">
      <c r="A2014" s="1" t="s">
        <v>7</v>
      </c>
      <c r="B2014" s="1" t="s">
        <v>11</v>
      </c>
      <c r="C2014" s="6">
        <v>65500</v>
      </c>
      <c r="D2014" s="6">
        <v>5690.9</v>
      </c>
      <c r="E2014" s="6">
        <v>3059.4</v>
      </c>
      <c r="F2014" s="6">
        <v>3059.4</v>
      </c>
      <c r="G2014" s="7" t="s">
        <v>23</v>
      </c>
      <c r="H2014" s="1">
        <f t="shared" si="31"/>
        <v>8.6883969465648844E-2</v>
      </c>
    </row>
    <row r="2015" spans="1:8" x14ac:dyDescent="0.25">
      <c r="A2015" s="1" t="s">
        <v>7</v>
      </c>
      <c r="B2015" s="1" t="s">
        <v>11</v>
      </c>
      <c r="C2015" s="6">
        <v>26500</v>
      </c>
      <c r="D2015" s="6">
        <v>478.85</v>
      </c>
      <c r="E2015" s="6">
        <v>478.85</v>
      </c>
      <c r="F2015" s="6">
        <v>478.85</v>
      </c>
      <c r="G2015" s="7" t="s">
        <v>23</v>
      </c>
      <c r="H2015" s="1">
        <f t="shared" si="31"/>
        <v>1.806981132075472E-2</v>
      </c>
    </row>
    <row r="2016" spans="1:8" x14ac:dyDescent="0.25">
      <c r="A2016" s="1" t="s">
        <v>7</v>
      </c>
      <c r="B2016" s="1" t="s">
        <v>11</v>
      </c>
      <c r="C2016" s="6">
        <v>13250</v>
      </c>
      <c r="D2016" s="6">
        <v>3094</v>
      </c>
      <c r="E2016" s="6">
        <v>1380</v>
      </c>
      <c r="F2016" s="6">
        <v>1380</v>
      </c>
      <c r="G2016" s="7" t="s">
        <v>23</v>
      </c>
      <c r="H2016" s="1">
        <f t="shared" si="31"/>
        <v>0.23350943396226415</v>
      </c>
    </row>
    <row r="2017" spans="1:8" x14ac:dyDescent="0.25">
      <c r="A2017" s="1" t="s">
        <v>7</v>
      </c>
      <c r="B2017" s="1" t="s">
        <v>11</v>
      </c>
      <c r="C2017" s="6">
        <v>8713868</v>
      </c>
      <c r="D2017" s="6">
        <v>9557480.6199999992</v>
      </c>
      <c r="E2017" s="6">
        <v>7159760.6299999999</v>
      </c>
      <c r="F2017" s="6">
        <v>6543688.4199999999</v>
      </c>
      <c r="G2017" s="7" t="s">
        <v>23</v>
      </c>
      <c r="H2017" s="1">
        <f t="shared" si="31"/>
        <v>1.0968126462324193</v>
      </c>
    </row>
    <row r="2018" spans="1:8" x14ac:dyDescent="0.25">
      <c r="A2018" s="1" t="s">
        <v>7</v>
      </c>
      <c r="B2018" s="1" t="s">
        <v>11</v>
      </c>
      <c r="C2018" s="6">
        <v>8759860</v>
      </c>
      <c r="D2018" s="6">
        <v>8309278.4100000001</v>
      </c>
      <c r="E2018" s="6">
        <v>6889741.8200000003</v>
      </c>
      <c r="F2018" s="6">
        <v>6426532</v>
      </c>
      <c r="G2018" s="7" t="s">
        <v>23</v>
      </c>
      <c r="H2018" s="1">
        <f t="shared" si="31"/>
        <v>0.94856292338005399</v>
      </c>
    </row>
    <row r="2019" spans="1:8" x14ac:dyDescent="0.25">
      <c r="A2019" s="1" t="s">
        <v>7</v>
      </c>
      <c r="B2019" s="1" t="s">
        <v>11</v>
      </c>
      <c r="C2019" s="6">
        <v>11596697</v>
      </c>
      <c r="D2019" s="6">
        <v>11006338.74</v>
      </c>
      <c r="E2019" s="6">
        <v>7810429.7599999998</v>
      </c>
      <c r="F2019" s="6">
        <v>7147201.9199999999</v>
      </c>
      <c r="G2019" s="7" t="s">
        <v>23</v>
      </c>
      <c r="H2019" s="1">
        <f t="shared" si="31"/>
        <v>0.94909255109450563</v>
      </c>
    </row>
    <row r="2020" spans="1:8" x14ac:dyDescent="0.25">
      <c r="A2020" s="1" t="s">
        <v>7</v>
      </c>
      <c r="B2020" s="1" t="s">
        <v>11</v>
      </c>
      <c r="C2020" s="6">
        <v>256346</v>
      </c>
      <c r="D2020" s="6">
        <v>268510.07750000001</v>
      </c>
      <c r="E2020" s="6">
        <v>221292.3475</v>
      </c>
      <c r="F2020" s="6">
        <v>218364.4675</v>
      </c>
      <c r="G2020" s="7" t="s">
        <v>23</v>
      </c>
      <c r="H2020" s="1">
        <f t="shared" si="31"/>
        <v>1.0474517936694936</v>
      </c>
    </row>
    <row r="2021" spans="1:8" x14ac:dyDescent="0.25">
      <c r="A2021" s="1" t="s">
        <v>7</v>
      </c>
      <c r="B2021" s="1" t="s">
        <v>11</v>
      </c>
      <c r="C2021" s="6">
        <v>1000</v>
      </c>
      <c r="D2021" s="6">
        <v>0</v>
      </c>
      <c r="E2021" s="6">
        <v>0</v>
      </c>
      <c r="F2021" s="6">
        <v>0</v>
      </c>
      <c r="G2021" s="7" t="s">
        <v>23</v>
      </c>
      <c r="H2021" s="1">
        <f t="shared" si="31"/>
        <v>0</v>
      </c>
    </row>
    <row r="2022" spans="1:8" x14ac:dyDescent="0.25">
      <c r="A2022" s="1" t="s">
        <v>7</v>
      </c>
      <c r="B2022" s="1" t="s">
        <v>11</v>
      </c>
      <c r="C2022" s="6">
        <v>10168925</v>
      </c>
      <c r="D2022" s="6">
        <v>8916194.4000000004</v>
      </c>
      <c r="E2022" s="6">
        <v>7358396.79</v>
      </c>
      <c r="F2022" s="6">
        <v>6865523.2699999996</v>
      </c>
      <c r="G2022" s="7" t="s">
        <v>23</v>
      </c>
      <c r="H2022" s="1">
        <f t="shared" si="31"/>
        <v>0.87680796151018914</v>
      </c>
    </row>
    <row r="2023" spans="1:8" x14ac:dyDescent="0.25">
      <c r="A2023" s="1" t="s">
        <v>7</v>
      </c>
      <c r="B2023" s="1" t="s">
        <v>11</v>
      </c>
      <c r="C2023" s="6">
        <v>3387281</v>
      </c>
      <c r="D2023" s="6">
        <v>3411672.32</v>
      </c>
      <c r="E2023" s="6">
        <v>2875214.07</v>
      </c>
      <c r="F2023" s="6">
        <v>2803728.72</v>
      </c>
      <c r="G2023" s="7" t="s">
        <v>23</v>
      </c>
      <c r="H2023" s="1">
        <f t="shared" si="31"/>
        <v>1.0072008551991996</v>
      </c>
    </row>
    <row r="2024" spans="1:8" x14ac:dyDescent="0.25">
      <c r="A2024" s="1" t="s">
        <v>7</v>
      </c>
      <c r="B2024" s="1" t="s">
        <v>11</v>
      </c>
      <c r="C2024" s="6">
        <v>1000000</v>
      </c>
      <c r="D2024" s="6">
        <v>1003316.57</v>
      </c>
      <c r="E2024" s="6">
        <v>844325.33</v>
      </c>
      <c r="F2024" s="6">
        <v>805892.63</v>
      </c>
      <c r="G2024" s="7" t="s">
        <v>23</v>
      </c>
      <c r="H2024" s="1">
        <f t="shared" si="31"/>
        <v>1.00331657</v>
      </c>
    </row>
    <row r="2025" spans="1:8" x14ac:dyDescent="0.25">
      <c r="A2025" s="1" t="s">
        <v>7</v>
      </c>
      <c r="B2025" s="1" t="s">
        <v>11</v>
      </c>
      <c r="C2025" s="6">
        <v>1000</v>
      </c>
      <c r="D2025" s="6">
        <v>0</v>
      </c>
      <c r="E2025" s="6">
        <v>0</v>
      </c>
      <c r="F2025" s="6">
        <v>0</v>
      </c>
      <c r="G2025" s="7" t="s">
        <v>23</v>
      </c>
      <c r="H2025" s="1">
        <f t="shared" si="31"/>
        <v>0</v>
      </c>
    </row>
    <row r="2026" spans="1:8" x14ac:dyDescent="0.25">
      <c r="A2026" s="1" t="s">
        <v>7</v>
      </c>
      <c r="B2026" s="1" t="s">
        <v>11</v>
      </c>
      <c r="C2026" s="6">
        <v>1000</v>
      </c>
      <c r="D2026" s="6">
        <v>0</v>
      </c>
      <c r="E2026" s="6">
        <v>0</v>
      </c>
      <c r="F2026" s="6">
        <v>0</v>
      </c>
      <c r="G2026" s="7" t="s">
        <v>23</v>
      </c>
      <c r="H2026" s="1">
        <f t="shared" si="31"/>
        <v>0</v>
      </c>
    </row>
    <row r="2027" spans="1:8" x14ac:dyDescent="0.25">
      <c r="A2027" s="1" t="s">
        <v>7</v>
      </c>
      <c r="B2027" s="1" t="s">
        <v>11</v>
      </c>
      <c r="C2027" s="6">
        <v>58780</v>
      </c>
      <c r="D2027" s="6">
        <v>40087.827499999999</v>
      </c>
      <c r="E2027" s="6">
        <v>34513.4</v>
      </c>
      <c r="F2027" s="6">
        <v>31977.866999999998</v>
      </c>
      <c r="G2027" s="7" t="s">
        <v>23</v>
      </c>
      <c r="H2027" s="1">
        <f t="shared" si="31"/>
        <v>0.68199774583191564</v>
      </c>
    </row>
    <row r="2028" spans="1:8" x14ac:dyDescent="0.25">
      <c r="A2028" s="1" t="s">
        <v>7</v>
      </c>
      <c r="B2028" s="1" t="s">
        <v>11</v>
      </c>
      <c r="C2028" s="6">
        <v>17000</v>
      </c>
      <c r="D2028" s="6">
        <v>0</v>
      </c>
      <c r="E2028" s="6">
        <v>0</v>
      </c>
      <c r="F2028" s="6">
        <v>0</v>
      </c>
      <c r="G2028" s="7" t="s">
        <v>23</v>
      </c>
      <c r="H2028" s="1">
        <f t="shared" si="31"/>
        <v>0</v>
      </c>
    </row>
    <row r="2029" spans="1:8" x14ac:dyDescent="0.25">
      <c r="A2029" s="1" t="s">
        <v>7</v>
      </c>
      <c r="B2029" s="1" t="s">
        <v>11</v>
      </c>
      <c r="C2029" s="6">
        <v>5000</v>
      </c>
      <c r="D2029" s="6">
        <v>0</v>
      </c>
      <c r="E2029" s="6">
        <v>0</v>
      </c>
      <c r="F2029" s="6">
        <v>0</v>
      </c>
      <c r="G2029" s="7" t="s">
        <v>23</v>
      </c>
      <c r="H2029" s="1">
        <f t="shared" si="31"/>
        <v>0</v>
      </c>
    </row>
    <row r="2030" spans="1:8" x14ac:dyDescent="0.25">
      <c r="A2030" s="1" t="s">
        <v>7</v>
      </c>
      <c r="B2030" s="1" t="s">
        <v>11</v>
      </c>
      <c r="C2030" s="6">
        <v>20625</v>
      </c>
      <c r="D2030" s="6">
        <v>10054.577499999999</v>
      </c>
      <c r="E2030" s="6">
        <v>8863.3225000000002</v>
      </c>
      <c r="F2030" s="6">
        <v>7393.8975</v>
      </c>
      <c r="G2030" s="7" t="s">
        <v>23</v>
      </c>
      <c r="H2030" s="1">
        <f t="shared" si="31"/>
        <v>0.48749466666666663</v>
      </c>
    </row>
    <row r="2031" spans="1:8" x14ac:dyDescent="0.25">
      <c r="A2031" s="1" t="s">
        <v>7</v>
      </c>
      <c r="B2031" s="1" t="s">
        <v>11</v>
      </c>
      <c r="C2031" s="6">
        <v>225000</v>
      </c>
      <c r="D2031" s="6">
        <v>3478</v>
      </c>
      <c r="E2031" s="6">
        <v>3478</v>
      </c>
      <c r="F2031" s="6">
        <v>3478</v>
      </c>
      <c r="G2031" s="7" t="s">
        <v>23</v>
      </c>
      <c r="H2031" s="1">
        <f t="shared" si="31"/>
        <v>1.5457777777777779E-2</v>
      </c>
    </row>
    <row r="2032" spans="1:8" x14ac:dyDescent="0.25">
      <c r="A2032" s="1" t="s">
        <v>7</v>
      </c>
      <c r="B2032" s="1" t="s">
        <v>11</v>
      </c>
      <c r="C2032" s="6">
        <v>25000</v>
      </c>
      <c r="D2032" s="6">
        <v>0</v>
      </c>
      <c r="E2032" s="6">
        <v>0</v>
      </c>
      <c r="F2032" s="6">
        <v>0</v>
      </c>
      <c r="G2032" s="7" t="s">
        <v>23</v>
      </c>
      <c r="H2032" s="1">
        <f t="shared" si="31"/>
        <v>0</v>
      </c>
    </row>
    <row r="2033" spans="1:8" x14ac:dyDescent="0.25">
      <c r="A2033" s="1" t="s">
        <v>7</v>
      </c>
      <c r="B2033" s="1" t="s">
        <v>11</v>
      </c>
      <c r="C2033" s="6">
        <v>5000</v>
      </c>
      <c r="D2033" s="6">
        <v>0</v>
      </c>
      <c r="E2033" s="6">
        <v>0</v>
      </c>
      <c r="F2033" s="6">
        <v>0</v>
      </c>
      <c r="G2033" s="7" t="s">
        <v>23</v>
      </c>
      <c r="H2033" s="1">
        <f t="shared" si="31"/>
        <v>0</v>
      </c>
    </row>
    <row r="2034" spans="1:8" x14ac:dyDescent="0.25">
      <c r="A2034" s="1" t="s">
        <v>7</v>
      </c>
      <c r="B2034" s="1" t="s">
        <v>11</v>
      </c>
      <c r="C2034" s="6">
        <v>98359226</v>
      </c>
      <c r="D2034" s="6">
        <v>172847229.00999999</v>
      </c>
      <c r="E2034" s="6">
        <v>152062035.08000001</v>
      </c>
      <c r="F2034" s="6">
        <v>151889994.41</v>
      </c>
      <c r="G2034" s="7" t="s">
        <v>23</v>
      </c>
      <c r="H2034" s="1">
        <f t="shared" si="31"/>
        <v>1.757305705211629</v>
      </c>
    </row>
    <row r="2035" spans="1:8" x14ac:dyDescent="0.25">
      <c r="A2035" s="1" t="s">
        <v>7</v>
      </c>
      <c r="B2035" s="1" t="s">
        <v>11</v>
      </c>
      <c r="C2035" s="6">
        <v>8000</v>
      </c>
      <c r="D2035" s="6">
        <v>0</v>
      </c>
      <c r="E2035" s="6">
        <v>0</v>
      </c>
      <c r="F2035" s="6">
        <v>0</v>
      </c>
      <c r="G2035" s="7" t="s">
        <v>23</v>
      </c>
      <c r="H2035" s="1">
        <f t="shared" si="31"/>
        <v>0</v>
      </c>
    </row>
    <row r="2036" spans="1:8" x14ac:dyDescent="0.25">
      <c r="A2036" s="1" t="s">
        <v>7</v>
      </c>
      <c r="B2036" s="1" t="s">
        <v>11</v>
      </c>
      <c r="C2036" s="6">
        <v>5000</v>
      </c>
      <c r="D2036" s="6">
        <v>0</v>
      </c>
      <c r="E2036" s="6">
        <v>0</v>
      </c>
      <c r="F2036" s="6">
        <v>0</v>
      </c>
      <c r="G2036" s="7" t="s">
        <v>23</v>
      </c>
      <c r="H2036" s="1">
        <f t="shared" si="31"/>
        <v>0</v>
      </c>
    </row>
    <row r="2037" spans="1:8" x14ac:dyDescent="0.25">
      <c r="A2037" s="1" t="s">
        <v>7</v>
      </c>
      <c r="B2037" s="1" t="s">
        <v>11</v>
      </c>
      <c r="C2037" s="6">
        <v>855205</v>
      </c>
      <c r="D2037" s="6">
        <v>1041994.85</v>
      </c>
      <c r="E2037" s="6">
        <v>971474.22</v>
      </c>
      <c r="F2037" s="6">
        <v>904311.72</v>
      </c>
      <c r="G2037" s="7" t="s">
        <v>23</v>
      </c>
      <c r="H2037" s="1">
        <f t="shared" si="31"/>
        <v>1.2184152922398723</v>
      </c>
    </row>
    <row r="2038" spans="1:8" x14ac:dyDescent="0.25">
      <c r="A2038" s="1" t="s">
        <v>7</v>
      </c>
      <c r="B2038" s="1" t="s">
        <v>11</v>
      </c>
      <c r="C2038" s="6">
        <v>5000</v>
      </c>
      <c r="D2038" s="6">
        <v>0</v>
      </c>
      <c r="E2038" s="6">
        <v>0</v>
      </c>
      <c r="F2038" s="6">
        <v>0</v>
      </c>
      <c r="G2038" s="7" t="s">
        <v>23</v>
      </c>
      <c r="H2038" s="1">
        <f t="shared" si="31"/>
        <v>0</v>
      </c>
    </row>
    <row r="2039" spans="1:8" x14ac:dyDescent="0.25">
      <c r="A2039" s="1" t="s">
        <v>7</v>
      </c>
      <c r="B2039" s="1" t="s">
        <v>11</v>
      </c>
      <c r="C2039" s="6">
        <v>29000</v>
      </c>
      <c r="D2039" s="6">
        <v>6561</v>
      </c>
      <c r="E2039" s="6">
        <v>6561</v>
      </c>
      <c r="F2039" s="6">
        <v>6561</v>
      </c>
      <c r="G2039" s="7" t="s">
        <v>23</v>
      </c>
      <c r="H2039" s="1">
        <f t="shared" si="31"/>
        <v>0.22624137931034483</v>
      </c>
    </row>
    <row r="2040" spans="1:8" x14ac:dyDescent="0.25">
      <c r="A2040" s="1" t="s">
        <v>7</v>
      </c>
      <c r="B2040" s="1" t="s">
        <v>11</v>
      </c>
      <c r="C2040" s="6">
        <v>80000</v>
      </c>
      <c r="D2040" s="6">
        <v>0</v>
      </c>
      <c r="E2040" s="6">
        <v>0</v>
      </c>
      <c r="F2040" s="6">
        <v>0</v>
      </c>
      <c r="G2040" s="7" t="s">
        <v>23</v>
      </c>
      <c r="H2040" s="1">
        <f t="shared" si="31"/>
        <v>0</v>
      </c>
    </row>
    <row r="2041" spans="1:8" x14ac:dyDescent="0.25">
      <c r="A2041" s="1" t="s">
        <v>7</v>
      </c>
      <c r="B2041" s="1" t="s">
        <v>11</v>
      </c>
      <c r="C2041" s="6">
        <v>23000</v>
      </c>
      <c r="D2041" s="6">
        <v>311859.63</v>
      </c>
      <c r="E2041" s="6">
        <v>295445.96999999997</v>
      </c>
      <c r="F2041" s="6">
        <v>295445.96999999997</v>
      </c>
      <c r="G2041" s="7" t="s">
        <v>23</v>
      </c>
      <c r="H2041" s="1">
        <f t="shared" si="31"/>
        <v>13.559114347826087</v>
      </c>
    </row>
    <row r="2042" spans="1:8" x14ac:dyDescent="0.25">
      <c r="A2042" s="1" t="s">
        <v>7</v>
      </c>
      <c r="B2042" s="1" t="s">
        <v>11</v>
      </c>
      <c r="C2042" s="6">
        <v>28211</v>
      </c>
      <c r="D2042" s="6">
        <v>0</v>
      </c>
      <c r="E2042" s="6">
        <v>0</v>
      </c>
      <c r="F2042" s="6">
        <v>0</v>
      </c>
      <c r="G2042" s="7" t="s">
        <v>23</v>
      </c>
      <c r="H2042" s="1">
        <f t="shared" si="31"/>
        <v>0</v>
      </c>
    </row>
    <row r="2043" spans="1:8" x14ac:dyDescent="0.25">
      <c r="A2043" s="1" t="s">
        <v>7</v>
      </c>
      <c r="B2043" s="1" t="s">
        <v>11</v>
      </c>
      <c r="C2043" s="6">
        <v>5000</v>
      </c>
      <c r="D2043" s="6">
        <v>0</v>
      </c>
      <c r="E2043" s="6">
        <v>0</v>
      </c>
      <c r="F2043" s="6">
        <v>0</v>
      </c>
      <c r="G2043" s="7" t="s">
        <v>23</v>
      </c>
      <c r="H2043" s="1">
        <f t="shared" si="31"/>
        <v>0</v>
      </c>
    </row>
    <row r="2044" spans="1:8" x14ac:dyDescent="0.25">
      <c r="A2044" s="1" t="s">
        <v>7</v>
      </c>
      <c r="B2044" s="1" t="s">
        <v>11</v>
      </c>
      <c r="C2044" s="6">
        <v>5000</v>
      </c>
      <c r="D2044" s="6">
        <v>0</v>
      </c>
      <c r="E2044" s="6">
        <v>0</v>
      </c>
      <c r="F2044" s="6">
        <v>0</v>
      </c>
      <c r="G2044" s="7" t="s">
        <v>23</v>
      </c>
      <c r="H2044" s="1">
        <f t="shared" si="31"/>
        <v>0</v>
      </c>
    </row>
    <row r="2045" spans="1:8" x14ac:dyDescent="0.25">
      <c r="A2045" s="1" t="s">
        <v>7</v>
      </c>
      <c r="B2045" s="1" t="s">
        <v>11</v>
      </c>
      <c r="C2045" s="6">
        <v>7880</v>
      </c>
      <c r="D2045" s="6">
        <v>0</v>
      </c>
      <c r="E2045" s="6">
        <v>0</v>
      </c>
      <c r="F2045" s="6">
        <v>0</v>
      </c>
      <c r="G2045" s="7" t="s">
        <v>23</v>
      </c>
      <c r="H2045" s="1">
        <f t="shared" si="31"/>
        <v>0</v>
      </c>
    </row>
    <row r="2046" spans="1:8" x14ac:dyDescent="0.25">
      <c r="A2046" s="1" t="s">
        <v>7</v>
      </c>
      <c r="B2046" s="1" t="s">
        <v>11</v>
      </c>
      <c r="C2046" s="6">
        <v>20000</v>
      </c>
      <c r="D2046" s="6">
        <v>0</v>
      </c>
      <c r="E2046" s="6">
        <v>0</v>
      </c>
      <c r="F2046" s="6">
        <v>0</v>
      </c>
      <c r="G2046" s="7" t="s">
        <v>23</v>
      </c>
      <c r="H2046" s="1">
        <f t="shared" si="31"/>
        <v>0</v>
      </c>
    </row>
    <row r="2047" spans="1:8" x14ac:dyDescent="0.25">
      <c r="A2047" s="1" t="s">
        <v>7</v>
      </c>
      <c r="B2047" s="1" t="s">
        <v>11</v>
      </c>
      <c r="C2047" s="6">
        <v>254400</v>
      </c>
      <c r="D2047" s="6">
        <v>0</v>
      </c>
      <c r="E2047" s="6">
        <v>0</v>
      </c>
      <c r="F2047" s="6">
        <v>0</v>
      </c>
      <c r="G2047" s="7" t="s">
        <v>23</v>
      </c>
      <c r="H2047" s="1">
        <f t="shared" si="31"/>
        <v>0</v>
      </c>
    </row>
    <row r="2048" spans="1:8" x14ac:dyDescent="0.25">
      <c r="A2048" s="1" t="s">
        <v>7</v>
      </c>
      <c r="B2048" s="1" t="s">
        <v>11</v>
      </c>
      <c r="C2048" s="6">
        <v>107000</v>
      </c>
      <c r="D2048" s="6">
        <v>0</v>
      </c>
      <c r="E2048" s="6">
        <v>0</v>
      </c>
      <c r="F2048" s="6">
        <v>0</v>
      </c>
      <c r="G2048" s="7" t="s">
        <v>23</v>
      </c>
      <c r="H2048" s="1">
        <f t="shared" si="31"/>
        <v>0</v>
      </c>
    </row>
    <row r="2049" spans="1:8" x14ac:dyDescent="0.25">
      <c r="A2049" s="1" t="s">
        <v>7</v>
      </c>
      <c r="B2049" s="1" t="s">
        <v>11</v>
      </c>
      <c r="C2049" s="6">
        <v>17286028</v>
      </c>
      <c r="D2049" s="6">
        <v>4234602.68</v>
      </c>
      <c r="E2049" s="6">
        <v>3645007.34</v>
      </c>
      <c r="F2049" s="6">
        <v>3645007.34</v>
      </c>
      <c r="G2049" s="7" t="s">
        <v>23</v>
      </c>
      <c r="H2049" s="1">
        <f t="shared" si="31"/>
        <v>0.24497256859701949</v>
      </c>
    </row>
    <row r="2050" spans="1:8" x14ac:dyDescent="0.25">
      <c r="A2050" s="1" t="s">
        <v>7</v>
      </c>
      <c r="B2050" s="1" t="s">
        <v>11</v>
      </c>
      <c r="C2050" s="6">
        <v>299000</v>
      </c>
      <c r="D2050" s="6">
        <v>2003685.12</v>
      </c>
      <c r="E2050" s="6">
        <v>1429199.21</v>
      </c>
      <c r="F2050" s="6">
        <v>1429199.21</v>
      </c>
      <c r="G2050" s="7" t="s">
        <v>23</v>
      </c>
      <c r="H2050" s="1">
        <f t="shared" ref="H2050:H2113" si="32">IF(OR(ISNA($D2050),ISNA($C2050),$C2050=0),0,$D2050/$C2050)</f>
        <v>6.7012880267558534</v>
      </c>
    </row>
    <row r="2051" spans="1:8" x14ac:dyDescent="0.25">
      <c r="A2051" s="1" t="s">
        <v>7</v>
      </c>
      <c r="B2051" s="1" t="s">
        <v>11</v>
      </c>
      <c r="C2051" s="6">
        <v>26129618</v>
      </c>
      <c r="D2051" s="6">
        <v>48332800.609999999</v>
      </c>
      <c r="E2051" s="6">
        <v>48332800.609999999</v>
      </c>
      <c r="F2051" s="6">
        <v>48332800.609999999</v>
      </c>
      <c r="G2051" s="7" t="s">
        <v>23</v>
      </c>
      <c r="H2051" s="1">
        <f t="shared" si="32"/>
        <v>1.8497323845300762</v>
      </c>
    </row>
    <row r="2052" spans="1:8" x14ac:dyDescent="0.25">
      <c r="A2052" s="1" t="s">
        <v>7</v>
      </c>
      <c r="B2052" s="1" t="s">
        <v>11</v>
      </c>
      <c r="C2052" s="6">
        <v>5558143</v>
      </c>
      <c r="D2052" s="6">
        <v>0</v>
      </c>
      <c r="E2052" s="6">
        <v>0</v>
      </c>
      <c r="F2052" s="6">
        <v>0</v>
      </c>
      <c r="G2052" s="7" t="s">
        <v>23</v>
      </c>
      <c r="H2052" s="1">
        <f t="shared" si="32"/>
        <v>0</v>
      </c>
    </row>
    <row r="2053" spans="1:8" x14ac:dyDescent="0.25">
      <c r="A2053" s="1" t="s">
        <v>7</v>
      </c>
      <c r="B2053" s="1" t="s">
        <v>11</v>
      </c>
      <c r="C2053" s="6">
        <v>10000000</v>
      </c>
      <c r="D2053" s="6">
        <v>31288019.899999999</v>
      </c>
      <c r="E2053" s="6">
        <v>30358645.940000001</v>
      </c>
      <c r="F2053" s="6">
        <v>30358645.940000001</v>
      </c>
      <c r="G2053" s="7" t="s">
        <v>23</v>
      </c>
      <c r="H2053" s="1">
        <f t="shared" si="32"/>
        <v>3.1288019899999999</v>
      </c>
    </row>
    <row r="2054" spans="1:8" x14ac:dyDescent="0.25">
      <c r="A2054" s="1" t="s">
        <v>7</v>
      </c>
      <c r="B2054" s="1" t="s">
        <v>11</v>
      </c>
      <c r="C2054" s="6">
        <v>238298665</v>
      </c>
      <c r="D2054" s="6">
        <v>96160699.069999993</v>
      </c>
      <c r="E2054" s="6">
        <v>96160699.069999993</v>
      </c>
      <c r="F2054" s="6">
        <v>96160699.069999993</v>
      </c>
      <c r="G2054" s="7" t="s">
        <v>23</v>
      </c>
      <c r="H2054" s="1">
        <f t="shared" si="32"/>
        <v>0.40353016274765952</v>
      </c>
    </row>
    <row r="2055" spans="1:8" x14ac:dyDescent="0.25">
      <c r="A2055" s="1" t="s">
        <v>7</v>
      </c>
      <c r="B2055" s="1" t="s">
        <v>11</v>
      </c>
      <c r="C2055" s="6">
        <v>3097745</v>
      </c>
      <c r="D2055" s="6">
        <v>2042341</v>
      </c>
      <c r="E2055" s="6">
        <v>2042341</v>
      </c>
      <c r="F2055" s="6">
        <v>2042341</v>
      </c>
      <c r="G2055" s="7" t="s">
        <v>23</v>
      </c>
      <c r="H2055" s="1">
        <f t="shared" si="32"/>
        <v>0.65929926446495757</v>
      </c>
    </row>
    <row r="2056" spans="1:8" x14ac:dyDescent="0.25">
      <c r="A2056" s="1" t="s">
        <v>7</v>
      </c>
      <c r="B2056" s="1" t="s">
        <v>11</v>
      </c>
      <c r="C2056" s="6">
        <v>540000</v>
      </c>
      <c r="D2056" s="6">
        <v>0</v>
      </c>
      <c r="E2056" s="6">
        <v>0</v>
      </c>
      <c r="F2056" s="6">
        <v>0</v>
      </c>
      <c r="G2056" s="7" t="s">
        <v>23</v>
      </c>
      <c r="H2056" s="1">
        <f t="shared" si="32"/>
        <v>0</v>
      </c>
    </row>
    <row r="2057" spans="1:8" x14ac:dyDescent="0.25">
      <c r="A2057" s="1" t="s">
        <v>7</v>
      </c>
      <c r="B2057" s="1" t="s">
        <v>11</v>
      </c>
      <c r="C2057" s="6">
        <v>799271086</v>
      </c>
      <c r="D2057" s="6">
        <v>743757617.37</v>
      </c>
      <c r="E2057" s="6">
        <v>739497229.77999997</v>
      </c>
      <c r="F2057" s="6">
        <v>737670249.35000002</v>
      </c>
      <c r="G2057" s="7" t="s">
        <v>23</v>
      </c>
      <c r="H2057" s="1">
        <f t="shared" si="32"/>
        <v>0.93054488070146457</v>
      </c>
    </row>
    <row r="2058" spans="1:8" x14ac:dyDescent="0.25">
      <c r="A2058" s="1" t="s">
        <v>7</v>
      </c>
      <c r="B2058" s="1" t="s">
        <v>11</v>
      </c>
      <c r="C2058" s="6">
        <v>5205175</v>
      </c>
      <c r="D2058" s="6">
        <v>5166260.95</v>
      </c>
      <c r="E2058" s="6">
        <v>5166260.95</v>
      </c>
      <c r="F2058" s="6">
        <v>5166260.95</v>
      </c>
      <c r="G2058" s="7" t="s">
        <v>23</v>
      </c>
      <c r="H2058" s="1">
        <f t="shared" si="32"/>
        <v>0.99252396893476202</v>
      </c>
    </row>
    <row r="2059" spans="1:8" x14ac:dyDescent="0.25">
      <c r="A2059" s="1" t="s">
        <v>7</v>
      </c>
      <c r="B2059" s="1" t="s">
        <v>11</v>
      </c>
      <c r="C2059" s="6">
        <v>5972</v>
      </c>
      <c r="D2059" s="6">
        <v>0</v>
      </c>
      <c r="E2059" s="6">
        <v>0</v>
      </c>
      <c r="F2059" s="6">
        <v>0</v>
      </c>
      <c r="G2059" s="7" t="s">
        <v>23</v>
      </c>
      <c r="H2059" s="1">
        <f t="shared" si="32"/>
        <v>0</v>
      </c>
    </row>
    <row r="2060" spans="1:8" x14ac:dyDescent="0.25">
      <c r="A2060" s="1" t="s">
        <v>7</v>
      </c>
      <c r="B2060" s="1" t="s">
        <v>11</v>
      </c>
      <c r="C2060" s="6">
        <v>12852548</v>
      </c>
      <c r="D2060" s="6">
        <v>10886351.6</v>
      </c>
      <c r="E2060" s="6">
        <v>10542239.16</v>
      </c>
      <c r="F2060" s="6">
        <v>10453789.199999999</v>
      </c>
      <c r="G2060" s="7" t="s">
        <v>23</v>
      </c>
      <c r="H2060" s="1">
        <f t="shared" si="32"/>
        <v>0.84701894130253397</v>
      </c>
    </row>
    <row r="2061" spans="1:8" x14ac:dyDescent="0.25">
      <c r="A2061" s="1" t="s">
        <v>7</v>
      </c>
      <c r="B2061" s="1" t="s">
        <v>11</v>
      </c>
      <c r="C2061" s="6">
        <v>135000</v>
      </c>
      <c r="D2061" s="6">
        <v>0</v>
      </c>
      <c r="E2061" s="6">
        <v>0</v>
      </c>
      <c r="F2061" s="6">
        <v>0</v>
      </c>
      <c r="G2061" s="7" t="s">
        <v>23</v>
      </c>
      <c r="H2061" s="1">
        <f t="shared" si="32"/>
        <v>0</v>
      </c>
    </row>
    <row r="2062" spans="1:8" x14ac:dyDescent="0.25">
      <c r="A2062" s="1" t="s">
        <v>7</v>
      </c>
      <c r="B2062" s="1" t="s">
        <v>11</v>
      </c>
      <c r="C2062" s="6">
        <v>9062403</v>
      </c>
      <c r="D2062" s="6">
        <v>1000</v>
      </c>
      <c r="E2062" s="6">
        <v>1000</v>
      </c>
      <c r="F2062" s="6">
        <v>1000</v>
      </c>
      <c r="G2062" s="7" t="s">
        <v>23</v>
      </c>
      <c r="H2062" s="1">
        <f t="shared" si="32"/>
        <v>1.1034600866900313E-4</v>
      </c>
    </row>
    <row r="2063" spans="1:8" x14ac:dyDescent="0.25">
      <c r="A2063" s="1" t="s">
        <v>7</v>
      </c>
      <c r="B2063" s="1" t="s">
        <v>11</v>
      </c>
      <c r="C2063" s="6">
        <v>210000</v>
      </c>
      <c r="D2063" s="6">
        <v>6287.86</v>
      </c>
      <c r="E2063" s="6">
        <v>6287.86</v>
      </c>
      <c r="F2063" s="6">
        <v>6287.86</v>
      </c>
      <c r="G2063" s="7" t="s">
        <v>23</v>
      </c>
      <c r="H2063" s="1">
        <f t="shared" si="32"/>
        <v>2.9942190476190473E-2</v>
      </c>
    </row>
    <row r="2064" spans="1:8" x14ac:dyDescent="0.25">
      <c r="A2064" s="1" t="s">
        <v>7</v>
      </c>
      <c r="B2064" s="1" t="s">
        <v>11</v>
      </c>
      <c r="C2064" s="6">
        <v>7258680</v>
      </c>
      <c r="D2064" s="6">
        <v>5341920</v>
      </c>
      <c r="E2064" s="6">
        <v>5341920</v>
      </c>
      <c r="F2064" s="6">
        <v>4896780</v>
      </c>
      <c r="G2064" s="7" t="s">
        <v>23</v>
      </c>
      <c r="H2064" s="1">
        <f t="shared" si="32"/>
        <v>0.7359354593397146</v>
      </c>
    </row>
    <row r="2065" spans="1:8" x14ac:dyDescent="0.25">
      <c r="A2065" s="1" t="s">
        <v>7</v>
      </c>
      <c r="B2065" s="1" t="s">
        <v>11</v>
      </c>
      <c r="C2065" s="6">
        <v>5856568</v>
      </c>
      <c r="D2065" s="6">
        <v>0</v>
      </c>
      <c r="E2065" s="6">
        <v>0</v>
      </c>
      <c r="F2065" s="6">
        <v>0</v>
      </c>
      <c r="G2065" s="7" t="s">
        <v>23</v>
      </c>
      <c r="H2065" s="1">
        <f t="shared" si="32"/>
        <v>0</v>
      </c>
    </row>
    <row r="2066" spans="1:8" x14ac:dyDescent="0.25">
      <c r="A2066" s="1" t="s">
        <v>7</v>
      </c>
      <c r="B2066" s="1" t="s">
        <v>11</v>
      </c>
      <c r="C2066" s="6">
        <v>35000</v>
      </c>
      <c r="D2066" s="6">
        <v>0</v>
      </c>
      <c r="E2066" s="6">
        <v>0</v>
      </c>
      <c r="F2066" s="6">
        <v>0</v>
      </c>
      <c r="G2066" s="7" t="s">
        <v>23</v>
      </c>
      <c r="H2066" s="1">
        <f t="shared" si="32"/>
        <v>0</v>
      </c>
    </row>
    <row r="2067" spans="1:8" x14ac:dyDescent="0.25">
      <c r="A2067" s="1" t="s">
        <v>7</v>
      </c>
      <c r="B2067" s="1" t="s">
        <v>11</v>
      </c>
      <c r="C2067" s="6">
        <v>809000</v>
      </c>
      <c r="D2067" s="6">
        <v>0</v>
      </c>
      <c r="E2067" s="6">
        <v>0</v>
      </c>
      <c r="F2067" s="6">
        <v>0</v>
      </c>
      <c r="G2067" s="7" t="s">
        <v>23</v>
      </c>
      <c r="H2067" s="1">
        <f t="shared" si="32"/>
        <v>0</v>
      </c>
    </row>
    <row r="2068" spans="1:8" x14ac:dyDescent="0.25">
      <c r="A2068" s="1" t="s">
        <v>7</v>
      </c>
      <c r="B2068" s="1" t="s">
        <v>11</v>
      </c>
      <c r="C2068" s="6">
        <v>3053594</v>
      </c>
      <c r="D2068" s="6">
        <v>2852082.63</v>
      </c>
      <c r="E2068" s="6">
        <v>2608570.58</v>
      </c>
      <c r="F2068" s="6">
        <v>2608570.58</v>
      </c>
      <c r="G2068" s="7" t="s">
        <v>23</v>
      </c>
      <c r="H2068" s="1">
        <f t="shared" si="32"/>
        <v>0.93400846019477368</v>
      </c>
    </row>
    <row r="2069" spans="1:8" x14ac:dyDescent="0.25">
      <c r="A2069" s="1" t="s">
        <v>7</v>
      </c>
      <c r="B2069" s="1" t="s">
        <v>11</v>
      </c>
      <c r="C2069" s="6">
        <v>3900000</v>
      </c>
      <c r="D2069" s="6">
        <v>3441844.8</v>
      </c>
      <c r="E2069" s="6">
        <v>3119670.3</v>
      </c>
      <c r="F2069" s="6">
        <v>3119670.3</v>
      </c>
      <c r="G2069" s="7" t="s">
        <v>23</v>
      </c>
      <c r="H2069" s="1">
        <f t="shared" si="32"/>
        <v>0.88252430769230761</v>
      </c>
    </row>
    <row r="2070" spans="1:8" x14ac:dyDescent="0.25">
      <c r="A2070" s="1" t="s">
        <v>7</v>
      </c>
      <c r="B2070" s="1" t="s">
        <v>11</v>
      </c>
      <c r="C2070" s="6">
        <v>25000</v>
      </c>
      <c r="D2070" s="6">
        <v>7784.26</v>
      </c>
      <c r="E2070" s="6">
        <v>7784.26</v>
      </c>
      <c r="F2070" s="6">
        <v>7784.26</v>
      </c>
      <c r="G2070" s="7" t="s">
        <v>23</v>
      </c>
      <c r="H2070" s="1">
        <f t="shared" si="32"/>
        <v>0.31137039999999999</v>
      </c>
    </row>
    <row r="2071" spans="1:8" x14ac:dyDescent="0.25">
      <c r="A2071" s="1" t="s">
        <v>7</v>
      </c>
      <c r="B2071" s="1" t="s">
        <v>11</v>
      </c>
      <c r="C2071" s="6">
        <v>68000</v>
      </c>
      <c r="D2071" s="6">
        <v>0</v>
      </c>
      <c r="E2071" s="6">
        <v>0</v>
      </c>
      <c r="F2071" s="6">
        <v>0</v>
      </c>
      <c r="G2071" s="7" t="s">
        <v>23</v>
      </c>
      <c r="H2071" s="1">
        <f t="shared" si="32"/>
        <v>0</v>
      </c>
    </row>
    <row r="2072" spans="1:8" x14ac:dyDescent="0.25">
      <c r="A2072" s="1" t="s">
        <v>7</v>
      </c>
      <c r="B2072" s="1" t="s">
        <v>11</v>
      </c>
      <c r="C2072" s="6">
        <v>563650</v>
      </c>
      <c r="D2072" s="6">
        <v>0</v>
      </c>
      <c r="E2072" s="6">
        <v>0</v>
      </c>
      <c r="F2072" s="6">
        <v>0</v>
      </c>
      <c r="G2072" s="7" t="s">
        <v>23</v>
      </c>
      <c r="H2072" s="1">
        <f t="shared" si="32"/>
        <v>0</v>
      </c>
    </row>
    <row r="2073" spans="1:8" x14ac:dyDescent="0.25">
      <c r="A2073" s="1" t="s">
        <v>7</v>
      </c>
      <c r="B2073" s="1" t="s">
        <v>11</v>
      </c>
      <c r="C2073" s="6">
        <v>169600</v>
      </c>
      <c r="D2073" s="6">
        <v>0</v>
      </c>
      <c r="E2073" s="6">
        <v>0</v>
      </c>
      <c r="F2073" s="6">
        <v>0</v>
      </c>
      <c r="G2073" s="7" t="s">
        <v>23</v>
      </c>
      <c r="H2073" s="1">
        <f t="shared" si="32"/>
        <v>0</v>
      </c>
    </row>
    <row r="2074" spans="1:8" x14ac:dyDescent="0.25">
      <c r="A2074" s="1" t="s">
        <v>7</v>
      </c>
      <c r="B2074" s="1" t="s">
        <v>11</v>
      </c>
      <c r="C2074" s="6">
        <v>21463802</v>
      </c>
      <c r="D2074" s="6">
        <v>3696118.41</v>
      </c>
      <c r="E2074" s="6">
        <v>2575673.84</v>
      </c>
      <c r="F2074" s="6">
        <v>2569225.5699999998</v>
      </c>
      <c r="G2074" s="7" t="s">
        <v>23</v>
      </c>
      <c r="H2074" s="1">
        <f t="shared" si="32"/>
        <v>0.17220240896743272</v>
      </c>
    </row>
    <row r="2075" spans="1:8" x14ac:dyDescent="0.25">
      <c r="A2075" s="1" t="s">
        <v>7</v>
      </c>
      <c r="B2075" s="1" t="s">
        <v>11</v>
      </c>
      <c r="C2075" s="6">
        <v>33000</v>
      </c>
      <c r="D2075" s="6">
        <v>1033109.9</v>
      </c>
      <c r="E2075" s="6">
        <v>462411.06</v>
      </c>
      <c r="F2075" s="6">
        <v>437596.48</v>
      </c>
      <c r="G2075" s="7" t="s">
        <v>23</v>
      </c>
      <c r="H2075" s="1">
        <f t="shared" si="32"/>
        <v>31.306360606060608</v>
      </c>
    </row>
    <row r="2076" spans="1:8" x14ac:dyDescent="0.25">
      <c r="A2076" s="1" t="s">
        <v>7</v>
      </c>
      <c r="B2076" s="1" t="s">
        <v>11</v>
      </c>
      <c r="C2076" s="6">
        <v>22811052</v>
      </c>
      <c r="D2076" s="6">
        <v>10609712.859999999</v>
      </c>
      <c r="E2076" s="6">
        <v>10609712.859999999</v>
      </c>
      <c r="F2076" s="6">
        <v>10609712.859999999</v>
      </c>
      <c r="G2076" s="7" t="s">
        <v>23</v>
      </c>
      <c r="H2076" s="1">
        <f t="shared" si="32"/>
        <v>0.46511282601083015</v>
      </c>
    </row>
    <row r="2077" spans="1:8" x14ac:dyDescent="0.25">
      <c r="A2077" s="1" t="s">
        <v>7</v>
      </c>
      <c r="B2077" s="1" t="s">
        <v>11</v>
      </c>
      <c r="C2077" s="6">
        <v>4129326</v>
      </c>
      <c r="D2077" s="6">
        <v>0</v>
      </c>
      <c r="E2077" s="6">
        <v>0</v>
      </c>
      <c r="F2077" s="6">
        <v>0</v>
      </c>
      <c r="G2077" s="7" t="s">
        <v>23</v>
      </c>
      <c r="H2077" s="1">
        <f t="shared" si="32"/>
        <v>0</v>
      </c>
    </row>
    <row r="2078" spans="1:8" x14ac:dyDescent="0.25">
      <c r="A2078" s="1" t="s">
        <v>7</v>
      </c>
      <c r="B2078" s="1" t="s">
        <v>11</v>
      </c>
      <c r="C2078" s="6">
        <v>1532855</v>
      </c>
      <c r="D2078" s="6">
        <v>3871138.72</v>
      </c>
      <c r="E2078" s="6">
        <v>3871138.72</v>
      </c>
      <c r="F2078" s="6">
        <v>3871138.72</v>
      </c>
      <c r="G2078" s="7" t="s">
        <v>23</v>
      </c>
      <c r="H2078" s="1">
        <f t="shared" si="32"/>
        <v>2.5254435155314758</v>
      </c>
    </row>
    <row r="2079" spans="1:8" x14ac:dyDescent="0.25">
      <c r="A2079" s="1" t="s">
        <v>7</v>
      </c>
      <c r="B2079" s="1" t="s">
        <v>11</v>
      </c>
      <c r="C2079" s="6">
        <v>29139975</v>
      </c>
      <c r="D2079" s="6">
        <v>4605169.3499999996</v>
      </c>
      <c r="E2079" s="6">
        <v>4605169.3499999996</v>
      </c>
      <c r="F2079" s="6">
        <v>4605169.3499999996</v>
      </c>
      <c r="G2079" s="7" t="s">
        <v>23</v>
      </c>
      <c r="H2079" s="1">
        <f t="shared" si="32"/>
        <v>0.15803614622181383</v>
      </c>
    </row>
    <row r="2080" spans="1:8" x14ac:dyDescent="0.25">
      <c r="A2080" s="1" t="s">
        <v>7</v>
      </c>
      <c r="B2080" s="1" t="s">
        <v>11</v>
      </c>
      <c r="C2080" s="6">
        <v>365532</v>
      </c>
      <c r="D2080" s="6">
        <v>66549</v>
      </c>
      <c r="E2080" s="6">
        <v>66549</v>
      </c>
      <c r="F2080" s="6">
        <v>66549</v>
      </c>
      <c r="G2080" s="7" t="s">
        <v>23</v>
      </c>
      <c r="H2080" s="1">
        <f t="shared" si="32"/>
        <v>0.1820606677390762</v>
      </c>
    </row>
    <row r="2081" spans="1:8" x14ac:dyDescent="0.25">
      <c r="A2081" s="1" t="s">
        <v>7</v>
      </c>
      <c r="B2081" s="1" t="s">
        <v>11</v>
      </c>
      <c r="C2081" s="6">
        <v>318224835</v>
      </c>
      <c r="D2081" s="6">
        <v>326517175.5</v>
      </c>
      <c r="E2081" s="6">
        <v>322454637.51999998</v>
      </c>
      <c r="F2081" s="6">
        <v>322040974.16000003</v>
      </c>
      <c r="G2081" s="7" t="s">
        <v>23</v>
      </c>
      <c r="H2081" s="1">
        <f t="shared" si="32"/>
        <v>1.026058118625468</v>
      </c>
    </row>
    <row r="2082" spans="1:8" x14ac:dyDescent="0.25">
      <c r="A2082" s="1" t="s">
        <v>7</v>
      </c>
      <c r="B2082" s="1" t="s">
        <v>11</v>
      </c>
      <c r="C2082" s="6">
        <v>105696040</v>
      </c>
      <c r="D2082" s="6">
        <v>161792146.06</v>
      </c>
      <c r="E2082" s="6">
        <v>161792146.06</v>
      </c>
      <c r="F2082" s="6">
        <v>161792146.06</v>
      </c>
      <c r="G2082" s="7" t="s">
        <v>23</v>
      </c>
      <c r="H2082" s="1">
        <f t="shared" si="32"/>
        <v>1.5307304423136383</v>
      </c>
    </row>
    <row r="2083" spans="1:8" x14ac:dyDescent="0.25">
      <c r="A2083" s="1" t="s">
        <v>7</v>
      </c>
      <c r="B2083" s="1" t="s">
        <v>11</v>
      </c>
      <c r="C2083" s="6">
        <v>7969091</v>
      </c>
      <c r="D2083" s="6">
        <v>1828073.21</v>
      </c>
      <c r="E2083" s="6">
        <v>1828073.21</v>
      </c>
      <c r="F2083" s="6">
        <v>1828073.21</v>
      </c>
      <c r="G2083" s="7" t="s">
        <v>23</v>
      </c>
      <c r="H2083" s="1">
        <f t="shared" si="32"/>
        <v>0.22939544924257985</v>
      </c>
    </row>
    <row r="2084" spans="1:8" x14ac:dyDescent="0.25">
      <c r="A2084" s="1" t="s">
        <v>7</v>
      </c>
      <c r="B2084" s="1" t="s">
        <v>11</v>
      </c>
      <c r="C2084" s="6">
        <v>50000</v>
      </c>
      <c r="D2084" s="6">
        <v>0</v>
      </c>
      <c r="E2084" s="6">
        <v>0</v>
      </c>
      <c r="F2084" s="6">
        <v>0</v>
      </c>
      <c r="G2084" s="7" t="s">
        <v>23</v>
      </c>
      <c r="H2084" s="1">
        <f t="shared" si="32"/>
        <v>0</v>
      </c>
    </row>
    <row r="2085" spans="1:8" x14ac:dyDescent="0.25">
      <c r="A2085" s="1" t="s">
        <v>7</v>
      </c>
      <c r="B2085" s="1" t="s">
        <v>11</v>
      </c>
      <c r="C2085" s="6">
        <v>5250</v>
      </c>
      <c r="D2085" s="6">
        <v>0</v>
      </c>
      <c r="E2085" s="6">
        <v>0</v>
      </c>
      <c r="F2085" s="6">
        <v>0</v>
      </c>
      <c r="G2085" s="7" t="s">
        <v>23</v>
      </c>
      <c r="H2085" s="1">
        <f t="shared" si="32"/>
        <v>0</v>
      </c>
    </row>
    <row r="2086" spans="1:8" x14ac:dyDescent="0.25">
      <c r="A2086" s="1" t="s">
        <v>7</v>
      </c>
      <c r="B2086" s="1" t="s">
        <v>11</v>
      </c>
      <c r="C2086" s="6">
        <v>345662</v>
      </c>
      <c r="D2086" s="6">
        <v>0</v>
      </c>
      <c r="E2086" s="6">
        <v>0</v>
      </c>
      <c r="F2086" s="6">
        <v>0</v>
      </c>
      <c r="G2086" s="7" t="s">
        <v>23</v>
      </c>
      <c r="H2086" s="1">
        <f t="shared" si="32"/>
        <v>0</v>
      </c>
    </row>
    <row r="2087" spans="1:8" x14ac:dyDescent="0.25">
      <c r="A2087" s="1" t="s">
        <v>7</v>
      </c>
      <c r="B2087" s="1" t="s">
        <v>11</v>
      </c>
      <c r="C2087" s="6">
        <v>131419</v>
      </c>
      <c r="D2087" s="6">
        <v>0</v>
      </c>
      <c r="E2087" s="6">
        <v>0</v>
      </c>
      <c r="F2087" s="6">
        <v>0</v>
      </c>
      <c r="G2087" s="7" t="s">
        <v>23</v>
      </c>
      <c r="H2087" s="1">
        <f t="shared" si="32"/>
        <v>0</v>
      </c>
    </row>
    <row r="2088" spans="1:8" x14ac:dyDescent="0.25">
      <c r="A2088" s="1" t="s">
        <v>7</v>
      </c>
      <c r="B2088" s="1" t="s">
        <v>11</v>
      </c>
      <c r="C2088" s="6">
        <v>125000</v>
      </c>
      <c r="D2088" s="6">
        <v>50000</v>
      </c>
      <c r="E2088" s="6">
        <v>50000</v>
      </c>
      <c r="F2088" s="6">
        <v>50000</v>
      </c>
      <c r="G2088" s="7" t="s">
        <v>23</v>
      </c>
      <c r="H2088" s="1">
        <f t="shared" si="32"/>
        <v>0.4</v>
      </c>
    </row>
    <row r="2089" spans="1:8" x14ac:dyDescent="0.25">
      <c r="A2089" s="1" t="s">
        <v>7</v>
      </c>
      <c r="B2089" s="1" t="s">
        <v>11</v>
      </c>
      <c r="C2089" s="6">
        <v>591121</v>
      </c>
      <c r="D2089" s="6">
        <v>52261.125</v>
      </c>
      <c r="E2089" s="6">
        <v>52261.125</v>
      </c>
      <c r="F2089" s="6">
        <v>52261.125</v>
      </c>
      <c r="G2089" s="7" t="s">
        <v>23</v>
      </c>
      <c r="H2089" s="1">
        <f t="shared" si="32"/>
        <v>8.8410198588783004E-2</v>
      </c>
    </row>
    <row r="2090" spans="1:8" x14ac:dyDescent="0.25">
      <c r="A2090" s="1" t="s">
        <v>7</v>
      </c>
      <c r="B2090" s="1" t="s">
        <v>11</v>
      </c>
      <c r="C2090" s="6">
        <v>3750</v>
      </c>
      <c r="D2090" s="6">
        <v>1683</v>
      </c>
      <c r="E2090" s="6">
        <v>1683</v>
      </c>
      <c r="F2090" s="6">
        <v>1683</v>
      </c>
      <c r="G2090" s="7" t="s">
        <v>23</v>
      </c>
      <c r="H2090" s="1">
        <f t="shared" si="32"/>
        <v>0.44879999999999998</v>
      </c>
    </row>
    <row r="2091" spans="1:8" x14ac:dyDescent="0.25">
      <c r="A2091" s="1" t="s">
        <v>7</v>
      </c>
      <c r="B2091" s="1" t="s">
        <v>11</v>
      </c>
      <c r="C2091" s="6">
        <v>4870000</v>
      </c>
      <c r="D2091" s="6">
        <v>4504454.2249999996</v>
      </c>
      <c r="E2091" s="6">
        <v>4504454.2249999996</v>
      </c>
      <c r="F2091" s="6">
        <v>4504454.2249999996</v>
      </c>
      <c r="G2091" s="7" t="s">
        <v>23</v>
      </c>
      <c r="H2091" s="1">
        <f t="shared" si="32"/>
        <v>0.92493926591375764</v>
      </c>
    </row>
    <row r="2092" spans="1:8" x14ac:dyDescent="0.25">
      <c r="A2092" s="1" t="s">
        <v>7</v>
      </c>
      <c r="B2092" s="1" t="s">
        <v>11</v>
      </c>
      <c r="C2092" s="6">
        <v>151207</v>
      </c>
      <c r="D2092" s="6">
        <v>98048.2</v>
      </c>
      <c r="E2092" s="6">
        <v>98048.2</v>
      </c>
      <c r="F2092" s="6">
        <v>98048.2</v>
      </c>
      <c r="G2092" s="7" t="s">
        <v>23</v>
      </c>
      <c r="H2092" s="1">
        <f t="shared" si="32"/>
        <v>0.64843691098957057</v>
      </c>
    </row>
    <row r="2093" spans="1:8" x14ac:dyDescent="0.25">
      <c r="A2093" s="1" t="s">
        <v>7</v>
      </c>
      <c r="B2093" s="1" t="s">
        <v>11</v>
      </c>
      <c r="C2093" s="6">
        <v>3750</v>
      </c>
      <c r="D2093" s="6">
        <v>0</v>
      </c>
      <c r="E2093" s="6">
        <v>0</v>
      </c>
      <c r="F2093" s="6">
        <v>0</v>
      </c>
      <c r="G2093" s="7" t="s">
        <v>23</v>
      </c>
      <c r="H2093" s="1">
        <f t="shared" si="32"/>
        <v>0</v>
      </c>
    </row>
    <row r="2094" spans="1:8" x14ac:dyDescent="0.25">
      <c r="A2094" s="1" t="s">
        <v>7</v>
      </c>
      <c r="B2094" s="1" t="s">
        <v>11</v>
      </c>
      <c r="C2094" s="6">
        <v>5000</v>
      </c>
      <c r="D2094" s="6">
        <v>0</v>
      </c>
      <c r="E2094" s="6">
        <v>0</v>
      </c>
      <c r="F2094" s="6">
        <v>0</v>
      </c>
      <c r="G2094" s="7" t="s">
        <v>23</v>
      </c>
      <c r="H2094" s="1">
        <f t="shared" si="32"/>
        <v>0</v>
      </c>
    </row>
    <row r="2095" spans="1:8" x14ac:dyDescent="0.25">
      <c r="A2095" s="1" t="s">
        <v>7</v>
      </c>
      <c r="B2095" s="1" t="s">
        <v>11</v>
      </c>
      <c r="C2095" s="6">
        <v>57000</v>
      </c>
      <c r="D2095" s="6">
        <v>0</v>
      </c>
      <c r="E2095" s="6">
        <v>0</v>
      </c>
      <c r="F2095" s="6">
        <v>0</v>
      </c>
      <c r="G2095" s="7" t="s">
        <v>23</v>
      </c>
      <c r="H2095" s="1">
        <f t="shared" si="32"/>
        <v>0</v>
      </c>
    </row>
    <row r="2096" spans="1:8" x14ac:dyDescent="0.25">
      <c r="A2096" s="1" t="s">
        <v>7</v>
      </c>
      <c r="B2096" s="1" t="s">
        <v>11</v>
      </c>
      <c r="C2096" s="6">
        <v>1087988</v>
      </c>
      <c r="D2096" s="6">
        <v>62250</v>
      </c>
      <c r="E2096" s="6">
        <v>62250</v>
      </c>
      <c r="F2096" s="6">
        <v>62250</v>
      </c>
      <c r="G2096" s="7" t="s">
        <v>23</v>
      </c>
      <c r="H2096" s="1">
        <f t="shared" si="32"/>
        <v>5.7215704584977038E-2</v>
      </c>
    </row>
    <row r="2097" spans="1:8" x14ac:dyDescent="0.25">
      <c r="A2097" s="1" t="s">
        <v>7</v>
      </c>
      <c r="B2097" s="1" t="s">
        <v>11</v>
      </c>
      <c r="C2097" s="6">
        <v>375516</v>
      </c>
      <c r="D2097" s="6">
        <v>0</v>
      </c>
      <c r="E2097" s="6">
        <v>0</v>
      </c>
      <c r="F2097" s="6">
        <v>0</v>
      </c>
      <c r="G2097" s="7" t="s">
        <v>23</v>
      </c>
      <c r="H2097" s="1">
        <f t="shared" si="32"/>
        <v>0</v>
      </c>
    </row>
    <row r="2098" spans="1:8" x14ac:dyDescent="0.25">
      <c r="A2098" s="1" t="s">
        <v>7</v>
      </c>
      <c r="B2098" s="1" t="s">
        <v>11</v>
      </c>
      <c r="C2098" s="6">
        <v>254122</v>
      </c>
      <c r="D2098" s="6">
        <v>153334.6</v>
      </c>
      <c r="E2098" s="6">
        <v>153334.6</v>
      </c>
      <c r="F2098" s="6">
        <v>153334.6</v>
      </c>
      <c r="G2098" s="7" t="s">
        <v>23</v>
      </c>
      <c r="H2098" s="1">
        <f t="shared" si="32"/>
        <v>0.60338971045403389</v>
      </c>
    </row>
    <row r="2099" spans="1:8" x14ac:dyDescent="0.25">
      <c r="A2099" s="1" t="s">
        <v>7</v>
      </c>
      <c r="B2099" s="1" t="s">
        <v>11</v>
      </c>
      <c r="C2099" s="6">
        <v>15541440</v>
      </c>
      <c r="D2099" s="6">
        <v>742305.5</v>
      </c>
      <c r="E2099" s="6">
        <v>742305.5</v>
      </c>
      <c r="F2099" s="6">
        <v>742305.5</v>
      </c>
      <c r="G2099" s="7" t="s">
        <v>23</v>
      </c>
      <c r="H2099" s="1">
        <f t="shared" si="32"/>
        <v>4.7762980779129861E-2</v>
      </c>
    </row>
    <row r="2100" spans="1:8" x14ac:dyDescent="0.25">
      <c r="A2100" s="1" t="s">
        <v>7</v>
      </c>
      <c r="B2100" s="1" t="s">
        <v>11</v>
      </c>
      <c r="C2100" s="6">
        <v>117347</v>
      </c>
      <c r="D2100" s="6">
        <v>2964</v>
      </c>
      <c r="E2100" s="6">
        <v>2964</v>
      </c>
      <c r="F2100" s="6">
        <v>2964</v>
      </c>
      <c r="G2100" s="7" t="s">
        <v>23</v>
      </c>
      <c r="H2100" s="1">
        <f t="shared" si="32"/>
        <v>2.5258421604301771E-2</v>
      </c>
    </row>
    <row r="2101" spans="1:8" x14ac:dyDescent="0.25">
      <c r="A2101" s="1" t="s">
        <v>7</v>
      </c>
      <c r="B2101" s="1" t="s">
        <v>11</v>
      </c>
      <c r="C2101" s="6">
        <v>21000</v>
      </c>
      <c r="D2101" s="6">
        <v>477494.4</v>
      </c>
      <c r="E2101" s="6">
        <v>79108.429999999993</v>
      </c>
      <c r="F2101" s="6">
        <v>79108.429999999993</v>
      </c>
      <c r="G2101" s="7" t="s">
        <v>23</v>
      </c>
      <c r="H2101" s="1">
        <f t="shared" si="32"/>
        <v>22.737828571428572</v>
      </c>
    </row>
    <row r="2102" spans="1:8" x14ac:dyDescent="0.25">
      <c r="A2102" s="1" t="s">
        <v>7</v>
      </c>
      <c r="B2102" s="1" t="s">
        <v>11</v>
      </c>
      <c r="C2102" s="6">
        <v>2435168</v>
      </c>
      <c r="D2102" s="6">
        <v>6859729.4000000004</v>
      </c>
      <c r="E2102" s="6">
        <v>6276888.6299999999</v>
      </c>
      <c r="F2102" s="6">
        <v>6276888.6299999999</v>
      </c>
      <c r="G2102" s="7" t="s">
        <v>23</v>
      </c>
      <c r="H2102" s="1">
        <f t="shared" si="32"/>
        <v>2.8169429788827713</v>
      </c>
    </row>
    <row r="2103" spans="1:8" x14ac:dyDescent="0.25">
      <c r="A2103" s="1" t="s">
        <v>7</v>
      </c>
      <c r="B2103" s="1" t="s">
        <v>11</v>
      </c>
      <c r="C2103" s="6">
        <v>454740</v>
      </c>
      <c r="D2103" s="6">
        <v>360000</v>
      </c>
      <c r="E2103" s="6">
        <v>330000</v>
      </c>
      <c r="F2103" s="6">
        <v>330000</v>
      </c>
      <c r="G2103" s="7" t="s">
        <v>23</v>
      </c>
      <c r="H2103" s="1">
        <f t="shared" si="32"/>
        <v>0.79166116901965955</v>
      </c>
    </row>
    <row r="2104" spans="1:8" x14ac:dyDescent="0.25">
      <c r="A2104" s="1" t="s">
        <v>7</v>
      </c>
      <c r="B2104" s="1" t="s">
        <v>11</v>
      </c>
      <c r="C2104" s="6">
        <v>431605</v>
      </c>
      <c r="D2104" s="6">
        <v>0</v>
      </c>
      <c r="E2104" s="6">
        <v>0</v>
      </c>
      <c r="F2104" s="6">
        <v>0</v>
      </c>
      <c r="G2104" s="7" t="s">
        <v>23</v>
      </c>
      <c r="H2104" s="1">
        <f t="shared" si="32"/>
        <v>0</v>
      </c>
    </row>
    <row r="2105" spans="1:8" x14ac:dyDescent="0.25">
      <c r="A2105" s="1" t="s">
        <v>7</v>
      </c>
      <c r="B2105" s="1" t="s">
        <v>11</v>
      </c>
      <c r="C2105" s="6">
        <v>435000</v>
      </c>
      <c r="D2105" s="6">
        <v>0</v>
      </c>
      <c r="E2105" s="6">
        <v>0</v>
      </c>
      <c r="F2105" s="6">
        <v>0</v>
      </c>
      <c r="G2105" s="7" t="s">
        <v>23</v>
      </c>
      <c r="H2105" s="1">
        <f t="shared" si="32"/>
        <v>0</v>
      </c>
    </row>
    <row r="2106" spans="1:8" x14ac:dyDescent="0.25">
      <c r="A2106" s="1" t="s">
        <v>7</v>
      </c>
      <c r="B2106" s="1" t="s">
        <v>11</v>
      </c>
      <c r="C2106" s="6">
        <v>14000</v>
      </c>
      <c r="D2106" s="6">
        <v>540</v>
      </c>
      <c r="E2106" s="6">
        <v>540</v>
      </c>
      <c r="F2106" s="6">
        <v>540</v>
      </c>
      <c r="G2106" s="7" t="s">
        <v>23</v>
      </c>
      <c r="H2106" s="1">
        <f t="shared" si="32"/>
        <v>3.8571428571428569E-2</v>
      </c>
    </row>
    <row r="2107" spans="1:8" x14ac:dyDescent="0.25">
      <c r="A2107" s="1" t="s">
        <v>7</v>
      </c>
      <c r="B2107" s="1" t="s">
        <v>11</v>
      </c>
      <c r="C2107" s="6">
        <v>65274</v>
      </c>
      <c r="D2107" s="6">
        <v>0</v>
      </c>
      <c r="E2107" s="6">
        <v>0</v>
      </c>
      <c r="F2107" s="6">
        <v>0</v>
      </c>
      <c r="G2107" s="7" t="s">
        <v>23</v>
      </c>
      <c r="H2107" s="1">
        <f t="shared" si="32"/>
        <v>0</v>
      </c>
    </row>
    <row r="2108" spans="1:8" x14ac:dyDescent="0.25">
      <c r="A2108" s="1" t="s">
        <v>7</v>
      </c>
      <c r="B2108" s="1" t="s">
        <v>11</v>
      </c>
      <c r="C2108" s="6">
        <v>28087</v>
      </c>
      <c r="D2108" s="6">
        <v>1008</v>
      </c>
      <c r="E2108" s="6">
        <v>504</v>
      </c>
      <c r="F2108" s="6">
        <v>504</v>
      </c>
      <c r="G2108" s="7" t="s">
        <v>23</v>
      </c>
      <c r="H2108" s="1">
        <f t="shared" si="32"/>
        <v>3.5888489336703813E-2</v>
      </c>
    </row>
    <row r="2109" spans="1:8" x14ac:dyDescent="0.25">
      <c r="A2109" s="1" t="s">
        <v>7</v>
      </c>
      <c r="B2109" s="1" t="s">
        <v>11</v>
      </c>
      <c r="C2109" s="6">
        <v>3250</v>
      </c>
      <c r="D2109" s="6">
        <v>0</v>
      </c>
      <c r="E2109" s="6">
        <v>0</v>
      </c>
      <c r="F2109" s="6">
        <v>0</v>
      </c>
      <c r="G2109" s="7" t="s">
        <v>23</v>
      </c>
      <c r="H2109" s="1">
        <f t="shared" si="32"/>
        <v>0</v>
      </c>
    </row>
    <row r="2110" spans="1:8" x14ac:dyDescent="0.25">
      <c r="A2110" s="1" t="s">
        <v>7</v>
      </c>
      <c r="B2110" s="1" t="s">
        <v>11</v>
      </c>
      <c r="C2110" s="6">
        <v>1000</v>
      </c>
      <c r="D2110" s="6">
        <v>0</v>
      </c>
      <c r="E2110" s="6">
        <v>0</v>
      </c>
      <c r="F2110" s="6">
        <v>0</v>
      </c>
      <c r="G2110" s="7" t="s">
        <v>23</v>
      </c>
      <c r="H2110" s="1">
        <f t="shared" si="32"/>
        <v>0</v>
      </c>
    </row>
    <row r="2111" spans="1:8" x14ac:dyDescent="0.25">
      <c r="A2111" s="1" t="s">
        <v>7</v>
      </c>
      <c r="B2111" s="1" t="s">
        <v>11</v>
      </c>
      <c r="C2111" s="6">
        <v>15000</v>
      </c>
      <c r="D2111" s="6">
        <v>5862.5</v>
      </c>
      <c r="E2111" s="6">
        <v>4224.1949999999997</v>
      </c>
      <c r="F2111" s="6">
        <v>4224.1949999999997</v>
      </c>
      <c r="G2111" s="7" t="s">
        <v>23</v>
      </c>
      <c r="H2111" s="1">
        <f t="shared" si="32"/>
        <v>0.39083333333333331</v>
      </c>
    </row>
    <row r="2112" spans="1:8" x14ac:dyDescent="0.25">
      <c r="A2112" s="1" t="s">
        <v>7</v>
      </c>
      <c r="B2112" s="1" t="s">
        <v>11</v>
      </c>
      <c r="C2112" s="6">
        <v>6250</v>
      </c>
      <c r="D2112" s="6">
        <v>0</v>
      </c>
      <c r="E2112" s="6">
        <v>0</v>
      </c>
      <c r="F2112" s="6">
        <v>0</v>
      </c>
      <c r="G2112" s="7" t="s">
        <v>23</v>
      </c>
      <c r="H2112" s="1">
        <f t="shared" si="32"/>
        <v>0</v>
      </c>
    </row>
    <row r="2113" spans="1:8" x14ac:dyDescent="0.25">
      <c r="A2113" s="1" t="s">
        <v>7</v>
      </c>
      <c r="B2113" s="1" t="s">
        <v>11</v>
      </c>
      <c r="C2113" s="6">
        <v>427250</v>
      </c>
      <c r="D2113" s="6">
        <v>31042.932499999999</v>
      </c>
      <c r="E2113" s="6">
        <v>28805.967499999999</v>
      </c>
      <c r="F2113" s="6">
        <v>28805.967499999999</v>
      </c>
      <c r="G2113" s="7" t="s">
        <v>23</v>
      </c>
      <c r="H2113" s="1">
        <f t="shared" si="32"/>
        <v>7.2657536571094208E-2</v>
      </c>
    </row>
    <row r="2114" spans="1:8" x14ac:dyDescent="0.25">
      <c r="A2114" s="1" t="s">
        <v>7</v>
      </c>
      <c r="B2114" s="1" t="s">
        <v>11</v>
      </c>
      <c r="C2114" s="6">
        <v>13000</v>
      </c>
      <c r="D2114" s="6">
        <v>0</v>
      </c>
      <c r="E2114" s="6">
        <v>0</v>
      </c>
      <c r="F2114" s="6">
        <v>0</v>
      </c>
      <c r="G2114" s="7" t="s">
        <v>23</v>
      </c>
      <c r="H2114" s="1">
        <f t="shared" ref="H2114:H2177" si="33">IF(OR(ISNA($D2114),ISNA($C2114),$C2114=0),0,$D2114/$C2114)</f>
        <v>0</v>
      </c>
    </row>
    <row r="2115" spans="1:8" x14ac:dyDescent="0.25">
      <c r="A2115" s="1" t="s">
        <v>7</v>
      </c>
      <c r="B2115" s="1" t="s">
        <v>11</v>
      </c>
      <c r="C2115" s="6">
        <v>14000</v>
      </c>
      <c r="D2115" s="6">
        <v>0</v>
      </c>
      <c r="E2115" s="6">
        <v>0</v>
      </c>
      <c r="F2115" s="6">
        <v>0</v>
      </c>
      <c r="G2115" s="7" t="s">
        <v>23</v>
      </c>
      <c r="H2115" s="1">
        <f t="shared" si="33"/>
        <v>0</v>
      </c>
    </row>
    <row r="2116" spans="1:8" x14ac:dyDescent="0.25">
      <c r="A2116" s="1" t="s">
        <v>7</v>
      </c>
      <c r="B2116" s="1" t="s">
        <v>11</v>
      </c>
      <c r="C2116" s="6">
        <v>1700850</v>
      </c>
      <c r="D2116" s="6">
        <v>110500</v>
      </c>
      <c r="E2116" s="6">
        <v>55250</v>
      </c>
      <c r="F2116" s="6">
        <v>55250</v>
      </c>
      <c r="G2116" s="7" t="s">
        <v>23</v>
      </c>
      <c r="H2116" s="1">
        <f t="shared" si="33"/>
        <v>6.4967516241879061E-2</v>
      </c>
    </row>
    <row r="2117" spans="1:8" x14ac:dyDescent="0.25">
      <c r="A2117" s="1" t="s">
        <v>7</v>
      </c>
      <c r="B2117" s="1" t="s">
        <v>11</v>
      </c>
      <c r="C2117" s="6">
        <v>104125</v>
      </c>
      <c r="D2117" s="6">
        <v>0</v>
      </c>
      <c r="E2117" s="6">
        <v>0</v>
      </c>
      <c r="F2117" s="6">
        <v>0</v>
      </c>
      <c r="G2117" s="7" t="s">
        <v>23</v>
      </c>
      <c r="H2117" s="1">
        <f t="shared" si="33"/>
        <v>0</v>
      </c>
    </row>
    <row r="2118" spans="1:8" x14ac:dyDescent="0.25">
      <c r="A2118" s="1" t="s">
        <v>16</v>
      </c>
      <c r="B2118" s="1" t="s">
        <v>17</v>
      </c>
      <c r="C2118" s="6">
        <v>9750</v>
      </c>
      <c r="D2118" s="6">
        <v>0</v>
      </c>
      <c r="E2118" s="6">
        <v>0</v>
      </c>
      <c r="F2118" s="6">
        <v>0</v>
      </c>
      <c r="G2118" s="7" t="s">
        <v>23</v>
      </c>
      <c r="H2118" s="1">
        <f t="shared" si="33"/>
        <v>0</v>
      </c>
    </row>
    <row r="2119" spans="1:8" x14ac:dyDescent="0.25">
      <c r="A2119" s="1" t="s">
        <v>16</v>
      </c>
      <c r="B2119" s="1" t="s">
        <v>17</v>
      </c>
      <c r="C2119" s="6">
        <v>6000</v>
      </c>
      <c r="D2119" s="6">
        <v>0</v>
      </c>
      <c r="E2119" s="6">
        <v>0</v>
      </c>
      <c r="F2119" s="6">
        <v>0</v>
      </c>
      <c r="G2119" s="7" t="s">
        <v>23</v>
      </c>
      <c r="H2119" s="1">
        <f t="shared" si="33"/>
        <v>0</v>
      </c>
    </row>
    <row r="2120" spans="1:8" x14ac:dyDescent="0.25">
      <c r="A2120" s="1" t="s">
        <v>16</v>
      </c>
      <c r="B2120" s="1" t="s">
        <v>17</v>
      </c>
      <c r="C2120" s="6">
        <v>3250</v>
      </c>
      <c r="D2120" s="6">
        <v>74</v>
      </c>
      <c r="E2120" s="6">
        <v>0</v>
      </c>
      <c r="F2120" s="6">
        <v>0</v>
      </c>
      <c r="G2120" s="7" t="s">
        <v>23</v>
      </c>
      <c r="H2120" s="1">
        <f t="shared" si="33"/>
        <v>2.2769230769230771E-2</v>
      </c>
    </row>
    <row r="2121" spans="1:8" x14ac:dyDescent="0.25">
      <c r="A2121" s="1" t="s">
        <v>16</v>
      </c>
      <c r="B2121" s="1" t="s">
        <v>17</v>
      </c>
      <c r="C2121" s="6">
        <v>6250</v>
      </c>
      <c r="D2121" s="6">
        <v>695</v>
      </c>
      <c r="E2121" s="6">
        <v>622.5</v>
      </c>
      <c r="F2121" s="6">
        <v>622.5</v>
      </c>
      <c r="G2121" s="7" t="s">
        <v>23</v>
      </c>
      <c r="H2121" s="1">
        <f t="shared" si="33"/>
        <v>0.11119999999999999</v>
      </c>
    </row>
    <row r="2122" spans="1:8" x14ac:dyDescent="0.25">
      <c r="A2122" s="1" t="s">
        <v>16</v>
      </c>
      <c r="B2122" s="1" t="s">
        <v>17</v>
      </c>
      <c r="C2122" s="6">
        <v>2425</v>
      </c>
      <c r="D2122" s="6">
        <v>0</v>
      </c>
      <c r="E2122" s="6">
        <v>0</v>
      </c>
      <c r="F2122" s="6">
        <v>0</v>
      </c>
      <c r="G2122" s="7" t="s">
        <v>23</v>
      </c>
      <c r="H2122" s="1">
        <f t="shared" si="33"/>
        <v>0</v>
      </c>
    </row>
    <row r="2123" spans="1:8" x14ac:dyDescent="0.25">
      <c r="A2123" s="1" t="s">
        <v>16</v>
      </c>
      <c r="B2123" s="1" t="s">
        <v>17</v>
      </c>
      <c r="C2123" s="6">
        <v>94500</v>
      </c>
      <c r="D2123" s="6">
        <v>13048.655000000001</v>
      </c>
      <c r="E2123" s="6">
        <v>1959.5</v>
      </c>
      <c r="F2123" s="6">
        <v>0</v>
      </c>
      <c r="G2123" s="7" t="s">
        <v>23</v>
      </c>
      <c r="H2123" s="1">
        <f t="shared" si="33"/>
        <v>0.13808100529100531</v>
      </c>
    </row>
    <row r="2124" spans="1:8" x14ac:dyDescent="0.25">
      <c r="A2124" s="1" t="s">
        <v>16</v>
      </c>
      <c r="B2124" s="1" t="s">
        <v>17</v>
      </c>
      <c r="C2124" s="6">
        <v>7121175</v>
      </c>
      <c r="D2124" s="6">
        <v>10019317.342499999</v>
      </c>
      <c r="E2124" s="6">
        <v>9805368.0875000004</v>
      </c>
      <c r="F2124" s="6">
        <v>9766342.6524999999</v>
      </c>
      <c r="G2124" s="7" t="s">
        <v>23</v>
      </c>
      <c r="H2124" s="1">
        <f t="shared" si="33"/>
        <v>1.4069753014776352</v>
      </c>
    </row>
    <row r="2125" spans="1:8" x14ac:dyDescent="0.25">
      <c r="A2125" s="1" t="s">
        <v>16</v>
      </c>
      <c r="B2125" s="1" t="s">
        <v>17</v>
      </c>
      <c r="C2125" s="6">
        <v>250137</v>
      </c>
      <c r="D2125" s="6">
        <v>254957.625</v>
      </c>
      <c r="E2125" s="6">
        <v>247672.08</v>
      </c>
      <c r="F2125" s="6">
        <v>247672.08</v>
      </c>
      <c r="G2125" s="7" t="s">
        <v>23</v>
      </c>
      <c r="H2125" s="1">
        <f t="shared" si="33"/>
        <v>1.0192719389774403</v>
      </c>
    </row>
    <row r="2126" spans="1:8" x14ac:dyDescent="0.25">
      <c r="A2126" s="1" t="s">
        <v>16</v>
      </c>
      <c r="B2126" s="1" t="s">
        <v>17</v>
      </c>
      <c r="C2126" s="6">
        <v>4375</v>
      </c>
      <c r="D2126" s="6">
        <v>0</v>
      </c>
      <c r="E2126" s="6">
        <v>0</v>
      </c>
      <c r="F2126" s="6">
        <v>0</v>
      </c>
      <c r="G2126" s="7" t="s">
        <v>23</v>
      </c>
      <c r="H2126" s="1">
        <f t="shared" si="33"/>
        <v>0</v>
      </c>
    </row>
    <row r="2127" spans="1:8" x14ac:dyDescent="0.25">
      <c r="A2127" s="1" t="s">
        <v>16</v>
      </c>
      <c r="B2127" s="1" t="s">
        <v>17</v>
      </c>
      <c r="C2127" s="6">
        <v>505000</v>
      </c>
      <c r="D2127" s="6">
        <v>503118.88250000001</v>
      </c>
      <c r="E2127" s="6">
        <v>499185.5675</v>
      </c>
      <c r="F2127" s="6">
        <v>495817.1225</v>
      </c>
      <c r="G2127" s="7" t="s">
        <v>23</v>
      </c>
      <c r="H2127" s="1">
        <f t="shared" si="33"/>
        <v>0.99627501485148517</v>
      </c>
    </row>
    <row r="2128" spans="1:8" x14ac:dyDescent="0.25">
      <c r="A2128" s="1" t="s">
        <v>16</v>
      </c>
      <c r="B2128" s="1" t="s">
        <v>17</v>
      </c>
      <c r="C2128" s="6">
        <v>3260820</v>
      </c>
      <c r="D2128" s="6">
        <v>3260819.1</v>
      </c>
      <c r="E2128" s="6">
        <v>3150061.49</v>
      </c>
      <c r="F2128" s="6">
        <v>3150061.49</v>
      </c>
      <c r="G2128" s="7" t="s">
        <v>23</v>
      </c>
      <c r="H2128" s="1">
        <f t="shared" si="33"/>
        <v>0.99999972399580472</v>
      </c>
    </row>
    <row r="2129" spans="1:8" x14ac:dyDescent="0.25">
      <c r="A2129" s="1" t="s">
        <v>16</v>
      </c>
      <c r="B2129" s="1" t="s">
        <v>17</v>
      </c>
      <c r="C2129" s="6">
        <v>800000</v>
      </c>
      <c r="D2129" s="6">
        <v>0</v>
      </c>
      <c r="E2129" s="6">
        <v>0</v>
      </c>
      <c r="F2129" s="6">
        <v>0</v>
      </c>
      <c r="G2129" s="7" t="s">
        <v>23</v>
      </c>
      <c r="H2129" s="1">
        <f t="shared" si="33"/>
        <v>0</v>
      </c>
    </row>
    <row r="2130" spans="1:8" x14ac:dyDescent="0.25">
      <c r="A2130" s="1" t="s">
        <v>16</v>
      </c>
      <c r="B2130" s="1" t="s">
        <v>17</v>
      </c>
      <c r="C2130" s="6">
        <v>24771350</v>
      </c>
      <c r="D2130" s="6">
        <v>24629487.140000001</v>
      </c>
      <c r="E2130" s="6">
        <v>24049169.039999999</v>
      </c>
      <c r="F2130" s="6">
        <v>23874296.960000001</v>
      </c>
      <c r="G2130" s="7" t="s">
        <v>23</v>
      </c>
      <c r="H2130" s="1">
        <f t="shared" si="33"/>
        <v>0.99427310744065223</v>
      </c>
    </row>
    <row r="2131" spans="1:8" x14ac:dyDescent="0.25">
      <c r="A2131" s="1" t="s">
        <v>16</v>
      </c>
      <c r="B2131" s="1" t="s">
        <v>17</v>
      </c>
      <c r="C2131" s="6">
        <v>22500</v>
      </c>
      <c r="D2131" s="6">
        <v>0</v>
      </c>
      <c r="E2131" s="6">
        <v>0</v>
      </c>
      <c r="F2131" s="6">
        <v>0</v>
      </c>
      <c r="G2131" s="7" t="s">
        <v>23</v>
      </c>
      <c r="H2131" s="1">
        <f t="shared" si="33"/>
        <v>0</v>
      </c>
    </row>
    <row r="2132" spans="1:8" x14ac:dyDescent="0.25">
      <c r="A2132" s="1" t="s">
        <v>16</v>
      </c>
      <c r="B2132" s="1" t="s">
        <v>17</v>
      </c>
      <c r="C2132" s="6">
        <v>537651</v>
      </c>
      <c r="D2132" s="6">
        <v>721774.36</v>
      </c>
      <c r="E2132" s="6">
        <v>712007.83</v>
      </c>
      <c r="F2132" s="6">
        <v>712007.83</v>
      </c>
      <c r="G2132" s="7" t="s">
        <v>23</v>
      </c>
      <c r="H2132" s="1">
        <f t="shared" si="33"/>
        <v>1.3424588813189224</v>
      </c>
    </row>
    <row r="2133" spans="1:8" x14ac:dyDescent="0.25">
      <c r="A2133" s="1" t="s">
        <v>16</v>
      </c>
      <c r="B2133" s="1" t="s">
        <v>17</v>
      </c>
      <c r="C2133" s="6">
        <v>5510400</v>
      </c>
      <c r="D2133" s="6">
        <v>607911.23</v>
      </c>
      <c r="E2133" s="6">
        <v>529172.59</v>
      </c>
      <c r="F2133" s="6">
        <v>498926.59</v>
      </c>
      <c r="G2133" s="7" t="s">
        <v>23</v>
      </c>
      <c r="H2133" s="1">
        <f t="shared" si="33"/>
        <v>0.1103207081155633</v>
      </c>
    </row>
    <row r="2134" spans="1:8" x14ac:dyDescent="0.25">
      <c r="A2134" s="1" t="s">
        <v>16</v>
      </c>
      <c r="B2134" s="1" t="s">
        <v>17</v>
      </c>
      <c r="C2134" s="6">
        <v>4922391</v>
      </c>
      <c r="D2134" s="6">
        <v>1586205.88</v>
      </c>
      <c r="E2134" s="6">
        <v>1545039.32</v>
      </c>
      <c r="F2134" s="6">
        <v>1530719.96</v>
      </c>
      <c r="G2134" s="7" t="s">
        <v>23</v>
      </c>
      <c r="H2134" s="1">
        <f t="shared" si="33"/>
        <v>0.32224296688337029</v>
      </c>
    </row>
    <row r="2135" spans="1:8" x14ac:dyDescent="0.25">
      <c r="A2135" s="1" t="s">
        <v>16</v>
      </c>
      <c r="B2135" s="1" t="s">
        <v>17</v>
      </c>
      <c r="C2135" s="6">
        <v>500000</v>
      </c>
      <c r="D2135" s="6">
        <v>314820</v>
      </c>
      <c r="E2135" s="6">
        <v>311958</v>
      </c>
      <c r="F2135" s="6">
        <v>311958</v>
      </c>
      <c r="G2135" s="7" t="s">
        <v>23</v>
      </c>
      <c r="H2135" s="1">
        <f t="shared" si="33"/>
        <v>0.62963999999999998</v>
      </c>
    </row>
    <row r="2136" spans="1:8" x14ac:dyDescent="0.25">
      <c r="A2136" s="1" t="s">
        <v>16</v>
      </c>
      <c r="B2136" s="1" t="s">
        <v>17</v>
      </c>
      <c r="C2136" s="6">
        <v>900000</v>
      </c>
      <c r="D2136" s="6">
        <v>261479.9</v>
      </c>
      <c r="E2136" s="6">
        <v>261479.9</v>
      </c>
      <c r="F2136" s="6">
        <v>261479.9</v>
      </c>
      <c r="G2136" s="7" t="s">
        <v>23</v>
      </c>
      <c r="H2136" s="1">
        <f t="shared" si="33"/>
        <v>0.29053322222222222</v>
      </c>
    </row>
    <row r="2137" spans="1:8" x14ac:dyDescent="0.25">
      <c r="A2137" s="1" t="s">
        <v>16</v>
      </c>
      <c r="B2137" s="1" t="s">
        <v>17</v>
      </c>
      <c r="C2137" s="6">
        <v>800000</v>
      </c>
      <c r="D2137" s="6">
        <v>1863.86</v>
      </c>
      <c r="E2137" s="6">
        <v>1863.86</v>
      </c>
      <c r="F2137" s="6">
        <v>1863.86</v>
      </c>
      <c r="G2137" s="7" t="s">
        <v>23</v>
      </c>
      <c r="H2137" s="1">
        <f t="shared" si="33"/>
        <v>2.3298249999999998E-3</v>
      </c>
    </row>
    <row r="2138" spans="1:8" x14ac:dyDescent="0.25">
      <c r="A2138" s="1" t="s">
        <v>16</v>
      </c>
      <c r="B2138" s="1" t="s">
        <v>17</v>
      </c>
      <c r="C2138" s="6">
        <v>2000000</v>
      </c>
      <c r="D2138" s="6">
        <v>382613.79</v>
      </c>
      <c r="E2138" s="6">
        <v>365791.79</v>
      </c>
      <c r="F2138" s="6">
        <v>365791.79</v>
      </c>
      <c r="G2138" s="7" t="s">
        <v>23</v>
      </c>
      <c r="H2138" s="1">
        <f t="shared" si="33"/>
        <v>0.19130689499999998</v>
      </c>
    </row>
    <row r="2139" spans="1:8" x14ac:dyDescent="0.25">
      <c r="A2139" s="1" t="s">
        <v>16</v>
      </c>
      <c r="B2139" s="1" t="s">
        <v>17</v>
      </c>
      <c r="C2139" s="6">
        <v>20500</v>
      </c>
      <c r="D2139" s="6">
        <v>0</v>
      </c>
      <c r="E2139" s="6">
        <v>0</v>
      </c>
      <c r="F2139" s="6">
        <v>0</v>
      </c>
      <c r="G2139" s="7" t="s">
        <v>23</v>
      </c>
      <c r="H2139" s="1">
        <f t="shared" si="33"/>
        <v>0</v>
      </c>
    </row>
    <row r="2140" spans="1:8" x14ac:dyDescent="0.25">
      <c r="A2140" s="1" t="s">
        <v>16</v>
      </c>
      <c r="B2140" s="1" t="s">
        <v>17</v>
      </c>
      <c r="C2140" s="6">
        <v>950000</v>
      </c>
      <c r="D2140" s="6">
        <v>8455.5300000000007</v>
      </c>
      <c r="E2140" s="6">
        <v>543.03</v>
      </c>
      <c r="F2140" s="6">
        <v>543.03</v>
      </c>
      <c r="G2140" s="7" t="s">
        <v>23</v>
      </c>
      <c r="H2140" s="1">
        <f t="shared" si="33"/>
        <v>8.9005578947368436E-3</v>
      </c>
    </row>
    <row r="2141" spans="1:8" x14ac:dyDescent="0.25">
      <c r="A2141" s="1" t="s">
        <v>16</v>
      </c>
      <c r="B2141" s="1" t="s">
        <v>17</v>
      </c>
      <c r="C2141" s="6">
        <v>300000</v>
      </c>
      <c r="D2141" s="6">
        <v>102903.46</v>
      </c>
      <c r="E2141" s="6">
        <v>6544.51</v>
      </c>
      <c r="F2141" s="6">
        <v>6544.51</v>
      </c>
      <c r="G2141" s="7" t="s">
        <v>23</v>
      </c>
      <c r="H2141" s="1">
        <f t="shared" si="33"/>
        <v>0.34301153333333334</v>
      </c>
    </row>
    <row r="2142" spans="1:8" x14ac:dyDescent="0.25">
      <c r="A2142" s="1" t="s">
        <v>16</v>
      </c>
      <c r="B2142" s="1" t="s">
        <v>17</v>
      </c>
      <c r="C2142" s="6">
        <v>318098</v>
      </c>
      <c r="D2142" s="6">
        <v>0</v>
      </c>
      <c r="E2142" s="6">
        <v>0</v>
      </c>
      <c r="F2142" s="6">
        <v>0</v>
      </c>
      <c r="G2142" s="7" t="s">
        <v>23</v>
      </c>
      <c r="H2142" s="1">
        <f t="shared" si="33"/>
        <v>0</v>
      </c>
    </row>
    <row r="2143" spans="1:8" x14ac:dyDescent="0.25">
      <c r="A2143" s="1" t="s">
        <v>16</v>
      </c>
      <c r="B2143" s="1" t="s">
        <v>17</v>
      </c>
      <c r="C2143" s="6">
        <v>650000</v>
      </c>
      <c r="D2143" s="6">
        <v>0</v>
      </c>
      <c r="E2143" s="6">
        <v>0</v>
      </c>
      <c r="F2143" s="6">
        <v>0</v>
      </c>
      <c r="G2143" s="7" t="s">
        <v>23</v>
      </c>
      <c r="H2143" s="1">
        <f t="shared" si="33"/>
        <v>0</v>
      </c>
    </row>
    <row r="2144" spans="1:8" x14ac:dyDescent="0.25">
      <c r="A2144" s="1" t="s">
        <v>16</v>
      </c>
      <c r="B2144" s="1" t="s">
        <v>17</v>
      </c>
      <c r="C2144" s="6">
        <v>80000</v>
      </c>
      <c r="D2144" s="6">
        <v>0</v>
      </c>
      <c r="E2144" s="6">
        <v>0</v>
      </c>
      <c r="F2144" s="6">
        <v>0</v>
      </c>
      <c r="G2144" s="7" t="s">
        <v>23</v>
      </c>
      <c r="H2144" s="1">
        <f t="shared" si="33"/>
        <v>0</v>
      </c>
    </row>
    <row r="2145" spans="1:8" x14ac:dyDescent="0.25">
      <c r="A2145" s="1" t="s">
        <v>16</v>
      </c>
      <c r="B2145" s="1" t="s">
        <v>17</v>
      </c>
      <c r="C2145" s="6">
        <v>4755475</v>
      </c>
      <c r="D2145" s="6">
        <v>1220495.8400000001</v>
      </c>
      <c r="E2145" s="6">
        <v>357382.23</v>
      </c>
      <c r="F2145" s="6">
        <v>357382.23</v>
      </c>
      <c r="G2145" s="7" t="s">
        <v>23</v>
      </c>
      <c r="H2145" s="1">
        <f t="shared" si="33"/>
        <v>0.25665066896577104</v>
      </c>
    </row>
    <row r="2146" spans="1:8" x14ac:dyDescent="0.25">
      <c r="A2146" s="1" t="s">
        <v>16</v>
      </c>
      <c r="B2146" s="1" t="s">
        <v>17</v>
      </c>
      <c r="C2146" s="6">
        <v>7500</v>
      </c>
      <c r="D2146" s="6">
        <v>0</v>
      </c>
      <c r="E2146" s="6">
        <v>0</v>
      </c>
      <c r="F2146" s="6">
        <v>0</v>
      </c>
      <c r="G2146" s="7" t="s">
        <v>23</v>
      </c>
      <c r="H2146" s="1">
        <f t="shared" si="33"/>
        <v>0</v>
      </c>
    </row>
    <row r="2147" spans="1:8" x14ac:dyDescent="0.25">
      <c r="A2147" s="1" t="s">
        <v>16</v>
      </c>
      <c r="B2147" s="1" t="s">
        <v>17</v>
      </c>
      <c r="C2147" s="6">
        <v>6381535</v>
      </c>
      <c r="D2147" s="6">
        <v>6485484.4474999998</v>
      </c>
      <c r="E2147" s="6">
        <v>6107757.3925000001</v>
      </c>
      <c r="F2147" s="6">
        <v>6045936.6200000001</v>
      </c>
      <c r="G2147" s="7" t="s">
        <v>23</v>
      </c>
      <c r="H2147" s="1">
        <f t="shared" si="33"/>
        <v>1.0162890977640959</v>
      </c>
    </row>
    <row r="2148" spans="1:8" x14ac:dyDescent="0.25">
      <c r="A2148" s="1" t="s">
        <v>16</v>
      </c>
      <c r="B2148" s="1" t="s">
        <v>17</v>
      </c>
      <c r="C2148" s="6">
        <v>1401085</v>
      </c>
      <c r="D2148" s="6">
        <v>1610977.8774999999</v>
      </c>
      <c r="E2148" s="6">
        <v>1512502.7925</v>
      </c>
      <c r="F2148" s="6">
        <v>1450234.7825</v>
      </c>
      <c r="G2148" s="7" t="s">
        <v>23</v>
      </c>
      <c r="H2148" s="1">
        <f t="shared" si="33"/>
        <v>1.1498073832065863</v>
      </c>
    </row>
    <row r="2149" spans="1:8" x14ac:dyDescent="0.25">
      <c r="A2149" s="1" t="s">
        <v>16</v>
      </c>
      <c r="B2149" s="1" t="s">
        <v>17</v>
      </c>
      <c r="C2149" s="6">
        <v>0</v>
      </c>
      <c r="D2149" s="6">
        <v>1427183.58</v>
      </c>
      <c r="E2149" s="6">
        <v>1386500.34</v>
      </c>
      <c r="F2149" s="6">
        <v>1297011.5275000001</v>
      </c>
      <c r="G2149" s="7" t="s">
        <v>23</v>
      </c>
      <c r="H2149" s="1">
        <f t="shared" si="33"/>
        <v>0</v>
      </c>
    </row>
    <row r="2150" spans="1:8" x14ac:dyDescent="0.25">
      <c r="A2150" s="1" t="s">
        <v>16</v>
      </c>
      <c r="B2150" s="1" t="s">
        <v>17</v>
      </c>
      <c r="C2150" s="6">
        <v>17500</v>
      </c>
      <c r="D2150" s="6">
        <v>189490.70250000001</v>
      </c>
      <c r="E2150" s="6">
        <v>26688.102500000001</v>
      </c>
      <c r="F2150" s="6">
        <v>3343.58</v>
      </c>
      <c r="G2150" s="7" t="s">
        <v>23</v>
      </c>
      <c r="H2150" s="1">
        <f t="shared" si="33"/>
        <v>10.828040142857144</v>
      </c>
    </row>
    <row r="2151" spans="1:8" x14ac:dyDescent="0.25">
      <c r="A2151" s="1" t="s">
        <v>16</v>
      </c>
      <c r="B2151" s="1" t="s">
        <v>17</v>
      </c>
      <c r="C2151" s="6">
        <v>2407500</v>
      </c>
      <c r="D2151" s="6">
        <v>235121.315</v>
      </c>
      <c r="E2151" s="6">
        <v>235121.315</v>
      </c>
      <c r="F2151" s="6">
        <v>235121.315</v>
      </c>
      <c r="G2151" s="7" t="s">
        <v>23</v>
      </c>
      <c r="H2151" s="1">
        <f t="shared" si="33"/>
        <v>9.7662020768431987E-2</v>
      </c>
    </row>
    <row r="2152" spans="1:8" x14ac:dyDescent="0.25">
      <c r="A2152" s="1" t="s">
        <v>16</v>
      </c>
      <c r="B2152" s="1" t="s">
        <v>17</v>
      </c>
      <c r="C2152" s="6">
        <v>125</v>
      </c>
      <c r="D2152" s="6">
        <v>0</v>
      </c>
      <c r="E2152" s="6">
        <v>0</v>
      </c>
      <c r="F2152" s="6">
        <v>0</v>
      </c>
      <c r="G2152" s="7" t="s">
        <v>23</v>
      </c>
      <c r="H2152" s="1">
        <f t="shared" si="33"/>
        <v>0</v>
      </c>
    </row>
    <row r="2153" spans="1:8" x14ac:dyDescent="0.25">
      <c r="A2153" s="1" t="s">
        <v>16</v>
      </c>
      <c r="B2153" s="1" t="s">
        <v>17</v>
      </c>
      <c r="C2153" s="6">
        <v>72422</v>
      </c>
      <c r="D2153" s="6">
        <v>2212.94</v>
      </c>
      <c r="E2153" s="6">
        <v>1726.2974999999999</v>
      </c>
      <c r="F2153" s="6">
        <v>1596.0050000000001</v>
      </c>
      <c r="G2153" s="7" t="s">
        <v>23</v>
      </c>
      <c r="H2153" s="1">
        <f t="shared" si="33"/>
        <v>3.0556184584794678E-2</v>
      </c>
    </row>
    <row r="2154" spans="1:8" x14ac:dyDescent="0.25">
      <c r="A2154" s="1" t="s">
        <v>16</v>
      </c>
      <c r="B2154" s="1" t="s">
        <v>17</v>
      </c>
      <c r="C2154" s="6">
        <v>1980276</v>
      </c>
      <c r="D2154" s="6">
        <v>4746258.835</v>
      </c>
      <c r="E2154" s="6">
        <v>4685898.2625000002</v>
      </c>
      <c r="F2154" s="6">
        <v>4629037.7175000003</v>
      </c>
      <c r="G2154" s="7" t="s">
        <v>23</v>
      </c>
      <c r="H2154" s="1">
        <f t="shared" si="33"/>
        <v>2.3967663270170418</v>
      </c>
    </row>
    <row r="2155" spans="1:8" x14ac:dyDescent="0.25">
      <c r="A2155" s="1" t="s">
        <v>16</v>
      </c>
      <c r="B2155" s="1" t="s">
        <v>17</v>
      </c>
      <c r="C2155" s="6">
        <v>297125</v>
      </c>
      <c r="D2155" s="6">
        <v>177776.65</v>
      </c>
      <c r="E2155" s="6">
        <v>136326.9425</v>
      </c>
      <c r="F2155" s="6">
        <v>120276.06</v>
      </c>
      <c r="G2155" s="7" t="s">
        <v>23</v>
      </c>
      <c r="H2155" s="1">
        <f t="shared" si="33"/>
        <v>0.59832275978123683</v>
      </c>
    </row>
    <row r="2156" spans="1:8" x14ac:dyDescent="0.25">
      <c r="A2156" s="1" t="s">
        <v>16</v>
      </c>
      <c r="B2156" s="1" t="s">
        <v>17</v>
      </c>
      <c r="C2156" s="6">
        <v>254628</v>
      </c>
      <c r="D2156" s="6">
        <v>216623.36249999999</v>
      </c>
      <c r="E2156" s="6">
        <v>216623.36249999999</v>
      </c>
      <c r="F2156" s="6">
        <v>216623.36249999999</v>
      </c>
      <c r="G2156" s="7" t="s">
        <v>23</v>
      </c>
      <c r="H2156" s="1">
        <f t="shared" si="33"/>
        <v>0.85074446840096141</v>
      </c>
    </row>
    <row r="2157" spans="1:8" x14ac:dyDescent="0.25">
      <c r="A2157" s="1" t="s">
        <v>16</v>
      </c>
      <c r="B2157" s="1" t="s">
        <v>17</v>
      </c>
      <c r="C2157" s="6">
        <v>367840</v>
      </c>
      <c r="D2157" s="6">
        <v>269086.10499999998</v>
      </c>
      <c r="E2157" s="6">
        <v>261382.315</v>
      </c>
      <c r="F2157" s="6">
        <v>261382.315</v>
      </c>
      <c r="G2157" s="7" t="s">
        <v>23</v>
      </c>
      <c r="H2157" s="1">
        <f t="shared" si="33"/>
        <v>0.73153029849934748</v>
      </c>
    </row>
    <row r="2158" spans="1:8" x14ac:dyDescent="0.25">
      <c r="A2158" s="1" t="s">
        <v>16</v>
      </c>
      <c r="B2158" s="1" t="s">
        <v>17</v>
      </c>
      <c r="C2158" s="6">
        <v>935496</v>
      </c>
      <c r="D2158" s="6">
        <v>1041293.775</v>
      </c>
      <c r="E2158" s="6">
        <v>1006766.3625</v>
      </c>
      <c r="F2158" s="6">
        <v>1003161.3625</v>
      </c>
      <c r="G2158" s="7" t="s">
        <v>23</v>
      </c>
      <c r="H2158" s="1">
        <f t="shared" si="33"/>
        <v>1.11309270697042</v>
      </c>
    </row>
    <row r="2159" spans="1:8" x14ac:dyDescent="0.25">
      <c r="A2159" s="1" t="s">
        <v>16</v>
      </c>
      <c r="B2159" s="1" t="s">
        <v>17</v>
      </c>
      <c r="C2159" s="6">
        <v>1134501</v>
      </c>
      <c r="D2159" s="6">
        <v>1039200.515</v>
      </c>
      <c r="E2159" s="6">
        <v>1028272.99</v>
      </c>
      <c r="F2159" s="6">
        <v>1027270.49</v>
      </c>
      <c r="G2159" s="7" t="s">
        <v>23</v>
      </c>
      <c r="H2159" s="1">
        <f t="shared" si="33"/>
        <v>0.91599788365105017</v>
      </c>
    </row>
    <row r="2160" spans="1:8" x14ac:dyDescent="0.25">
      <c r="A2160" s="1" t="s">
        <v>16</v>
      </c>
      <c r="B2160" s="1" t="s">
        <v>17</v>
      </c>
      <c r="C2160" s="6">
        <v>20250</v>
      </c>
      <c r="D2160" s="6">
        <v>0</v>
      </c>
      <c r="E2160" s="6">
        <v>0</v>
      </c>
      <c r="F2160" s="6">
        <v>0</v>
      </c>
      <c r="G2160" s="7" t="s">
        <v>23</v>
      </c>
      <c r="H2160" s="1">
        <f t="shared" si="33"/>
        <v>0</v>
      </c>
    </row>
    <row r="2161" spans="1:8" x14ac:dyDescent="0.25">
      <c r="A2161" s="1" t="s">
        <v>16</v>
      </c>
      <c r="B2161" s="1" t="s">
        <v>17</v>
      </c>
      <c r="C2161" s="6">
        <v>315635</v>
      </c>
      <c r="D2161" s="6">
        <v>420224.58</v>
      </c>
      <c r="E2161" s="6">
        <v>374386.9</v>
      </c>
      <c r="F2161" s="6">
        <v>371456.9</v>
      </c>
      <c r="G2161" s="7" t="s">
        <v>23</v>
      </c>
      <c r="H2161" s="1">
        <f t="shared" si="33"/>
        <v>1.3313624281210892</v>
      </c>
    </row>
    <row r="2162" spans="1:8" x14ac:dyDescent="0.25">
      <c r="A2162" s="1" t="s">
        <v>16</v>
      </c>
      <c r="B2162" s="1" t="s">
        <v>17</v>
      </c>
      <c r="C2162" s="6">
        <v>25125</v>
      </c>
      <c r="D2162" s="6">
        <v>0</v>
      </c>
      <c r="E2162" s="6">
        <v>0</v>
      </c>
      <c r="F2162" s="6">
        <v>0</v>
      </c>
      <c r="G2162" s="7" t="s">
        <v>23</v>
      </c>
      <c r="H2162" s="1">
        <f t="shared" si="33"/>
        <v>0</v>
      </c>
    </row>
    <row r="2163" spans="1:8" x14ac:dyDescent="0.25">
      <c r="A2163" s="1" t="s">
        <v>16</v>
      </c>
      <c r="B2163" s="1" t="s">
        <v>17</v>
      </c>
      <c r="C2163" s="6">
        <v>260000</v>
      </c>
      <c r="D2163" s="6">
        <v>463445.40500000003</v>
      </c>
      <c r="E2163" s="6">
        <v>445015.34</v>
      </c>
      <c r="F2163" s="6">
        <v>443010.34</v>
      </c>
      <c r="G2163" s="7" t="s">
        <v>23</v>
      </c>
      <c r="H2163" s="1">
        <f t="shared" si="33"/>
        <v>1.782482326923077</v>
      </c>
    </row>
    <row r="2164" spans="1:8" x14ac:dyDescent="0.25">
      <c r="A2164" s="1" t="s">
        <v>16</v>
      </c>
      <c r="B2164" s="1" t="s">
        <v>17</v>
      </c>
      <c r="C2164" s="6">
        <v>250</v>
      </c>
      <c r="D2164" s="6">
        <v>0</v>
      </c>
      <c r="E2164" s="6">
        <v>0</v>
      </c>
      <c r="F2164" s="6">
        <v>0</v>
      </c>
      <c r="G2164" s="7" t="s">
        <v>23</v>
      </c>
      <c r="H2164" s="1">
        <f t="shared" si="33"/>
        <v>0</v>
      </c>
    </row>
    <row r="2165" spans="1:8" x14ac:dyDescent="0.25">
      <c r="A2165" s="1" t="s">
        <v>16</v>
      </c>
      <c r="B2165" s="1" t="s">
        <v>17</v>
      </c>
      <c r="C2165" s="6">
        <v>7500</v>
      </c>
      <c r="D2165" s="6">
        <v>0</v>
      </c>
      <c r="E2165" s="6">
        <v>0</v>
      </c>
      <c r="F2165" s="6">
        <v>0</v>
      </c>
      <c r="G2165" s="7" t="s">
        <v>23</v>
      </c>
      <c r="H2165" s="1">
        <f t="shared" si="33"/>
        <v>0</v>
      </c>
    </row>
    <row r="2166" spans="1:8" x14ac:dyDescent="0.25">
      <c r="A2166" s="1" t="s">
        <v>16</v>
      </c>
      <c r="B2166" s="1" t="s">
        <v>17</v>
      </c>
      <c r="C2166" s="6">
        <v>50000</v>
      </c>
      <c r="D2166" s="6">
        <v>0</v>
      </c>
      <c r="E2166" s="6">
        <v>0</v>
      </c>
      <c r="F2166" s="6">
        <v>0</v>
      </c>
      <c r="G2166" s="7" t="s">
        <v>23</v>
      </c>
      <c r="H2166" s="1">
        <f t="shared" si="33"/>
        <v>0</v>
      </c>
    </row>
    <row r="2167" spans="1:8" x14ac:dyDescent="0.25">
      <c r="A2167" s="1" t="s">
        <v>16</v>
      </c>
      <c r="B2167" s="1" t="s">
        <v>17</v>
      </c>
      <c r="C2167" s="6">
        <v>12631</v>
      </c>
      <c r="D2167" s="6">
        <v>0</v>
      </c>
      <c r="E2167" s="6">
        <v>0</v>
      </c>
      <c r="F2167" s="6">
        <v>0</v>
      </c>
      <c r="G2167" s="7" t="s">
        <v>23</v>
      </c>
      <c r="H2167" s="1">
        <f t="shared" si="33"/>
        <v>0</v>
      </c>
    </row>
    <row r="2168" spans="1:8" x14ac:dyDescent="0.25">
      <c r="A2168" s="1" t="s">
        <v>16</v>
      </c>
      <c r="B2168" s="1" t="s">
        <v>17</v>
      </c>
      <c r="C2168" s="6">
        <v>449760</v>
      </c>
      <c r="D2168" s="6">
        <v>0</v>
      </c>
      <c r="E2168" s="6">
        <v>0</v>
      </c>
      <c r="F2168" s="6">
        <v>0</v>
      </c>
      <c r="G2168" s="7" t="s">
        <v>23</v>
      </c>
      <c r="H2168" s="1">
        <f t="shared" si="33"/>
        <v>0</v>
      </c>
    </row>
    <row r="2169" spans="1:8" x14ac:dyDescent="0.25">
      <c r="A2169" s="1" t="s">
        <v>16</v>
      </c>
      <c r="B2169" s="1" t="s">
        <v>17</v>
      </c>
      <c r="C2169" s="6">
        <v>137495</v>
      </c>
      <c r="D2169" s="6">
        <v>0</v>
      </c>
      <c r="E2169" s="6">
        <v>0</v>
      </c>
      <c r="F2169" s="6">
        <v>0</v>
      </c>
      <c r="G2169" s="7" t="s">
        <v>23</v>
      </c>
      <c r="H2169" s="1">
        <f t="shared" si="33"/>
        <v>0</v>
      </c>
    </row>
    <row r="2170" spans="1:8" x14ac:dyDescent="0.25">
      <c r="A2170" s="1" t="s">
        <v>16</v>
      </c>
      <c r="B2170" s="1" t="s">
        <v>17</v>
      </c>
      <c r="C2170" s="6">
        <v>253526</v>
      </c>
      <c r="D2170" s="6">
        <v>53152.14</v>
      </c>
      <c r="E2170" s="6">
        <v>49142.14</v>
      </c>
      <c r="F2170" s="6">
        <v>45132.14</v>
      </c>
      <c r="G2170" s="7" t="s">
        <v>23</v>
      </c>
      <c r="H2170" s="1">
        <f t="shared" si="33"/>
        <v>0.20965163336304757</v>
      </c>
    </row>
    <row r="2171" spans="1:8" x14ac:dyDescent="0.25">
      <c r="A2171" s="1" t="s">
        <v>16</v>
      </c>
      <c r="B2171" s="1" t="s">
        <v>17</v>
      </c>
      <c r="C2171" s="6">
        <v>992833</v>
      </c>
      <c r="D2171" s="6">
        <v>4437923.4749999996</v>
      </c>
      <c r="E2171" s="6">
        <v>4326797.4574999996</v>
      </c>
      <c r="F2171" s="6">
        <v>4243054.2249999996</v>
      </c>
      <c r="G2171" s="7" t="s">
        <v>23</v>
      </c>
      <c r="H2171" s="1">
        <f t="shared" si="33"/>
        <v>4.4699596759978766</v>
      </c>
    </row>
    <row r="2172" spans="1:8" x14ac:dyDescent="0.25">
      <c r="A2172" s="1" t="s">
        <v>16</v>
      </c>
      <c r="B2172" s="1" t="s">
        <v>17</v>
      </c>
      <c r="C2172" s="6">
        <v>4863000</v>
      </c>
      <c r="D2172" s="6">
        <v>959545.97250000003</v>
      </c>
      <c r="E2172" s="6">
        <v>959545.97250000003</v>
      </c>
      <c r="F2172" s="6">
        <v>959545.97250000003</v>
      </c>
      <c r="G2172" s="7" t="s">
        <v>23</v>
      </c>
      <c r="H2172" s="1">
        <f t="shared" si="33"/>
        <v>0.19731564312152994</v>
      </c>
    </row>
    <row r="2173" spans="1:8" x14ac:dyDescent="0.25">
      <c r="A2173" s="1" t="s">
        <v>16</v>
      </c>
      <c r="B2173" s="1" t="s">
        <v>17</v>
      </c>
      <c r="C2173" s="6">
        <v>470863</v>
      </c>
      <c r="D2173" s="6">
        <v>343577.5025</v>
      </c>
      <c r="E2173" s="6">
        <v>343577.5025</v>
      </c>
      <c r="F2173" s="6">
        <v>343577.5025</v>
      </c>
      <c r="G2173" s="7" t="s">
        <v>23</v>
      </c>
      <c r="H2173" s="1">
        <f t="shared" si="33"/>
        <v>0.72967615314858036</v>
      </c>
    </row>
    <row r="2174" spans="1:8" x14ac:dyDescent="0.25">
      <c r="A2174" s="1" t="s">
        <v>16</v>
      </c>
      <c r="B2174" s="1" t="s">
        <v>17</v>
      </c>
      <c r="C2174" s="6">
        <v>1057208</v>
      </c>
      <c r="D2174" s="6">
        <v>1225259.96</v>
      </c>
      <c r="E2174" s="6">
        <v>1225259.96</v>
      </c>
      <c r="F2174" s="6">
        <v>1225259.96</v>
      </c>
      <c r="G2174" s="7" t="s">
        <v>23</v>
      </c>
      <c r="H2174" s="1">
        <f t="shared" si="33"/>
        <v>1.1589582750035943</v>
      </c>
    </row>
    <row r="2175" spans="1:8" x14ac:dyDescent="0.25">
      <c r="A2175" s="1" t="s">
        <v>16</v>
      </c>
      <c r="B2175" s="1" t="s">
        <v>17</v>
      </c>
      <c r="C2175" s="6">
        <v>585000</v>
      </c>
      <c r="D2175" s="6">
        <v>233820</v>
      </c>
      <c r="E2175" s="6">
        <v>233820</v>
      </c>
      <c r="F2175" s="6">
        <v>233820</v>
      </c>
      <c r="G2175" s="7" t="s">
        <v>23</v>
      </c>
      <c r="H2175" s="1">
        <f t="shared" si="33"/>
        <v>0.39969230769230768</v>
      </c>
    </row>
    <row r="2176" spans="1:8" x14ac:dyDescent="0.25">
      <c r="A2176" s="1" t="s">
        <v>16</v>
      </c>
      <c r="B2176" s="1" t="s">
        <v>17</v>
      </c>
      <c r="C2176" s="6">
        <v>116695</v>
      </c>
      <c r="D2176" s="6">
        <v>97856.18</v>
      </c>
      <c r="E2176" s="6">
        <v>78511.767500000002</v>
      </c>
      <c r="F2176" s="6">
        <v>78511.767500000002</v>
      </c>
      <c r="G2176" s="7" t="s">
        <v>23</v>
      </c>
      <c r="H2176" s="1">
        <f t="shared" si="33"/>
        <v>0.83856360598140445</v>
      </c>
    </row>
    <row r="2177" spans="1:8" x14ac:dyDescent="0.25">
      <c r="A2177" s="1" t="s">
        <v>16</v>
      </c>
      <c r="B2177" s="1" t="s">
        <v>17</v>
      </c>
      <c r="C2177" s="6">
        <v>250</v>
      </c>
      <c r="D2177" s="6">
        <v>124.97499999999999</v>
      </c>
      <c r="E2177" s="6">
        <v>124.97499999999999</v>
      </c>
      <c r="F2177" s="6">
        <v>124.97499999999999</v>
      </c>
      <c r="G2177" s="7" t="s">
        <v>23</v>
      </c>
      <c r="H2177" s="1">
        <f t="shared" si="33"/>
        <v>0.49989999999999996</v>
      </c>
    </row>
    <row r="2178" spans="1:8" x14ac:dyDescent="0.25">
      <c r="A2178" s="1" t="s">
        <v>16</v>
      </c>
      <c r="B2178" s="1" t="s">
        <v>17</v>
      </c>
      <c r="C2178" s="6">
        <v>9000</v>
      </c>
      <c r="D2178" s="6">
        <v>653.85</v>
      </c>
      <c r="E2178" s="6">
        <v>653.85</v>
      </c>
      <c r="F2178" s="6">
        <v>653.85</v>
      </c>
      <c r="G2178" s="7" t="s">
        <v>23</v>
      </c>
      <c r="H2178" s="1">
        <f t="shared" ref="H2178:H2241" si="34">IF(OR(ISNA($D2178),ISNA($C2178),$C2178=0),0,$D2178/$C2178)</f>
        <v>7.2650000000000006E-2</v>
      </c>
    </row>
    <row r="2179" spans="1:8" x14ac:dyDescent="0.25">
      <c r="A2179" s="1" t="s">
        <v>16</v>
      </c>
      <c r="B2179" s="1" t="s">
        <v>17</v>
      </c>
      <c r="C2179" s="6">
        <v>55382</v>
      </c>
      <c r="D2179" s="6">
        <v>60016.205000000002</v>
      </c>
      <c r="E2179" s="6">
        <v>48293.02</v>
      </c>
      <c r="F2179" s="6">
        <v>39938.375</v>
      </c>
      <c r="G2179" s="7" t="s">
        <v>23</v>
      </c>
      <c r="H2179" s="1">
        <f t="shared" si="34"/>
        <v>1.0836770972518146</v>
      </c>
    </row>
    <row r="2180" spans="1:8" x14ac:dyDescent="0.25">
      <c r="A2180" s="1" t="s">
        <v>16</v>
      </c>
      <c r="B2180" s="1" t="s">
        <v>17</v>
      </c>
      <c r="C2180" s="6">
        <v>1125</v>
      </c>
      <c r="D2180" s="6">
        <v>619.16250000000002</v>
      </c>
      <c r="E2180" s="6">
        <v>493.76249999999999</v>
      </c>
      <c r="F2180" s="6">
        <v>282.14999999999998</v>
      </c>
      <c r="G2180" s="7" t="s">
        <v>23</v>
      </c>
      <c r="H2180" s="1">
        <f t="shared" si="34"/>
        <v>0.55036666666666667</v>
      </c>
    </row>
    <row r="2181" spans="1:8" x14ac:dyDescent="0.25">
      <c r="A2181" s="1" t="s">
        <v>16</v>
      </c>
      <c r="B2181" s="1" t="s">
        <v>17</v>
      </c>
      <c r="C2181" s="6">
        <v>12500</v>
      </c>
      <c r="D2181" s="6">
        <v>3325</v>
      </c>
      <c r="E2181" s="6">
        <v>0</v>
      </c>
      <c r="F2181" s="6">
        <v>0</v>
      </c>
      <c r="G2181" s="7" t="s">
        <v>23</v>
      </c>
      <c r="H2181" s="1">
        <f t="shared" si="34"/>
        <v>0.26600000000000001</v>
      </c>
    </row>
    <row r="2182" spans="1:8" x14ac:dyDescent="0.25">
      <c r="A2182" s="1" t="s">
        <v>16</v>
      </c>
      <c r="B2182" s="1" t="s">
        <v>17</v>
      </c>
      <c r="C2182" s="6">
        <v>16250</v>
      </c>
      <c r="D2182" s="6">
        <v>40342.625</v>
      </c>
      <c r="E2182" s="6">
        <v>40342.625</v>
      </c>
      <c r="F2182" s="6">
        <v>40342.625</v>
      </c>
      <c r="G2182" s="7" t="s">
        <v>23</v>
      </c>
      <c r="H2182" s="1">
        <f t="shared" si="34"/>
        <v>2.482623076923077</v>
      </c>
    </row>
    <row r="2183" spans="1:8" x14ac:dyDescent="0.25">
      <c r="A2183" s="1" t="s">
        <v>16</v>
      </c>
      <c r="B2183" s="1" t="s">
        <v>17</v>
      </c>
      <c r="C2183" s="6">
        <v>5000</v>
      </c>
      <c r="D2183" s="6">
        <v>0</v>
      </c>
      <c r="E2183" s="6">
        <v>0</v>
      </c>
      <c r="F2183" s="6">
        <v>0</v>
      </c>
      <c r="G2183" s="7" t="s">
        <v>23</v>
      </c>
      <c r="H2183" s="1">
        <f t="shared" si="34"/>
        <v>0</v>
      </c>
    </row>
    <row r="2184" spans="1:8" x14ac:dyDescent="0.25">
      <c r="A2184" s="1" t="s">
        <v>16</v>
      </c>
      <c r="B2184" s="1" t="s">
        <v>17</v>
      </c>
      <c r="C2184" s="6">
        <v>3750</v>
      </c>
      <c r="D2184" s="6">
        <v>0</v>
      </c>
      <c r="E2184" s="6">
        <v>0</v>
      </c>
      <c r="F2184" s="6">
        <v>0</v>
      </c>
      <c r="G2184" s="7" t="s">
        <v>23</v>
      </c>
      <c r="H2184" s="1">
        <f t="shared" si="34"/>
        <v>0</v>
      </c>
    </row>
    <row r="2185" spans="1:8" x14ac:dyDescent="0.25">
      <c r="A2185" s="1" t="s">
        <v>16</v>
      </c>
      <c r="B2185" s="1" t="s">
        <v>17</v>
      </c>
      <c r="C2185" s="6">
        <v>2500</v>
      </c>
      <c r="D2185" s="6">
        <v>0</v>
      </c>
      <c r="E2185" s="6">
        <v>0</v>
      </c>
      <c r="F2185" s="6">
        <v>0</v>
      </c>
      <c r="G2185" s="7" t="s">
        <v>23</v>
      </c>
      <c r="H2185" s="1">
        <f t="shared" si="34"/>
        <v>0</v>
      </c>
    </row>
    <row r="2186" spans="1:8" x14ac:dyDescent="0.25">
      <c r="A2186" s="1" t="s">
        <v>16</v>
      </c>
      <c r="B2186" s="1" t="s">
        <v>17</v>
      </c>
      <c r="C2186" s="6">
        <v>37625</v>
      </c>
      <c r="D2186" s="6">
        <v>17425</v>
      </c>
      <c r="E2186" s="6">
        <v>17421.57</v>
      </c>
      <c r="F2186" s="6">
        <v>17421.57</v>
      </c>
      <c r="G2186" s="7" t="s">
        <v>23</v>
      </c>
      <c r="H2186" s="1">
        <f t="shared" si="34"/>
        <v>0.46312292358803986</v>
      </c>
    </row>
    <row r="2187" spans="1:8" x14ac:dyDescent="0.25">
      <c r="A2187" s="1" t="s">
        <v>16</v>
      </c>
      <c r="B2187" s="1" t="s">
        <v>17</v>
      </c>
      <c r="C2187" s="6">
        <v>250</v>
      </c>
      <c r="D2187" s="6">
        <v>0</v>
      </c>
      <c r="E2187" s="6">
        <v>0</v>
      </c>
      <c r="F2187" s="6">
        <v>0</v>
      </c>
      <c r="G2187" s="7" t="s">
        <v>23</v>
      </c>
      <c r="H2187" s="1">
        <f t="shared" si="34"/>
        <v>0</v>
      </c>
    </row>
    <row r="2188" spans="1:8" x14ac:dyDescent="0.25">
      <c r="A2188" s="1" t="s">
        <v>16</v>
      </c>
      <c r="B2188" s="1" t="s">
        <v>17</v>
      </c>
      <c r="C2188" s="6">
        <v>2500</v>
      </c>
      <c r="D2188" s="6">
        <v>0</v>
      </c>
      <c r="E2188" s="6">
        <v>0</v>
      </c>
      <c r="F2188" s="6">
        <v>0</v>
      </c>
      <c r="G2188" s="7" t="s">
        <v>23</v>
      </c>
      <c r="H2188" s="1">
        <f t="shared" si="34"/>
        <v>0</v>
      </c>
    </row>
    <row r="2189" spans="1:8" x14ac:dyDescent="0.25">
      <c r="A2189" s="1" t="s">
        <v>16</v>
      </c>
      <c r="B2189" s="1" t="s">
        <v>17</v>
      </c>
      <c r="C2189" s="6">
        <v>9102</v>
      </c>
      <c r="D2189" s="6">
        <v>0</v>
      </c>
      <c r="E2189" s="6">
        <v>0</v>
      </c>
      <c r="F2189" s="6">
        <v>0</v>
      </c>
      <c r="G2189" s="7" t="s">
        <v>23</v>
      </c>
      <c r="H2189" s="1">
        <f t="shared" si="34"/>
        <v>0</v>
      </c>
    </row>
    <row r="2190" spans="1:8" x14ac:dyDescent="0.25">
      <c r="A2190" s="1" t="s">
        <v>16</v>
      </c>
      <c r="B2190" s="1" t="s">
        <v>17</v>
      </c>
      <c r="C2190" s="6">
        <v>70250</v>
      </c>
      <c r="D2190" s="6">
        <v>1201.75</v>
      </c>
      <c r="E2190" s="6">
        <v>1201.75</v>
      </c>
      <c r="F2190" s="6">
        <v>1201.75</v>
      </c>
      <c r="G2190" s="7" t="s">
        <v>23</v>
      </c>
      <c r="H2190" s="1">
        <f t="shared" si="34"/>
        <v>1.71067615658363E-2</v>
      </c>
    </row>
    <row r="2191" spans="1:8" x14ac:dyDescent="0.25">
      <c r="A2191" s="1" t="s">
        <v>16</v>
      </c>
      <c r="B2191" s="1" t="s">
        <v>17</v>
      </c>
      <c r="C2191" s="6">
        <v>33403</v>
      </c>
      <c r="D2191" s="6">
        <v>67895.09</v>
      </c>
      <c r="E2191" s="6">
        <v>18435.25</v>
      </c>
      <c r="F2191" s="6">
        <v>18435.25</v>
      </c>
      <c r="G2191" s="7" t="s">
        <v>23</v>
      </c>
      <c r="H2191" s="1">
        <f t="shared" si="34"/>
        <v>2.0326045564769633</v>
      </c>
    </row>
    <row r="2192" spans="1:8" x14ac:dyDescent="0.25">
      <c r="A2192" s="1" t="s">
        <v>16</v>
      </c>
      <c r="B2192" s="1" t="s">
        <v>17</v>
      </c>
      <c r="C2192" s="6">
        <v>55000</v>
      </c>
      <c r="D2192" s="6">
        <v>0</v>
      </c>
      <c r="E2192" s="6">
        <v>0</v>
      </c>
      <c r="F2192" s="6">
        <v>0</v>
      </c>
      <c r="G2192" s="7" t="s">
        <v>23</v>
      </c>
      <c r="H2192" s="1">
        <f t="shared" si="34"/>
        <v>0</v>
      </c>
    </row>
    <row r="2193" spans="1:8" x14ac:dyDescent="0.25">
      <c r="A2193" s="1" t="s">
        <v>16</v>
      </c>
      <c r="B2193" s="1" t="s">
        <v>17</v>
      </c>
      <c r="C2193" s="6">
        <v>20750</v>
      </c>
      <c r="D2193" s="6">
        <v>0</v>
      </c>
      <c r="E2193" s="6">
        <v>0</v>
      </c>
      <c r="F2193" s="6">
        <v>0</v>
      </c>
      <c r="G2193" s="7" t="s">
        <v>23</v>
      </c>
      <c r="H2193" s="1">
        <f t="shared" si="34"/>
        <v>0</v>
      </c>
    </row>
    <row r="2194" spans="1:8" x14ac:dyDescent="0.25">
      <c r="A2194" s="1" t="s">
        <v>16</v>
      </c>
      <c r="B2194" s="1" t="s">
        <v>17</v>
      </c>
      <c r="C2194" s="6">
        <v>3003500</v>
      </c>
      <c r="D2194" s="6">
        <v>1412068.84</v>
      </c>
      <c r="E2194" s="6">
        <v>1402441.35</v>
      </c>
      <c r="F2194" s="6">
        <v>1402441.35</v>
      </c>
      <c r="G2194" s="7" t="s">
        <v>23</v>
      </c>
      <c r="H2194" s="1">
        <f t="shared" si="34"/>
        <v>0.47014111536540704</v>
      </c>
    </row>
    <row r="2195" spans="1:8" x14ac:dyDescent="0.25">
      <c r="A2195" s="1" t="s">
        <v>16</v>
      </c>
      <c r="B2195" s="1" t="s">
        <v>17</v>
      </c>
      <c r="C2195" s="6">
        <v>1036</v>
      </c>
      <c r="D2195" s="6">
        <v>405</v>
      </c>
      <c r="E2195" s="6">
        <v>405</v>
      </c>
      <c r="F2195" s="6">
        <v>405</v>
      </c>
      <c r="G2195" s="7" t="s">
        <v>23</v>
      </c>
      <c r="H2195" s="1">
        <f t="shared" si="34"/>
        <v>0.39092664092664092</v>
      </c>
    </row>
    <row r="2196" spans="1:8" x14ac:dyDescent="0.25">
      <c r="A2196" s="1" t="s">
        <v>16</v>
      </c>
      <c r="B2196" s="1" t="s">
        <v>17</v>
      </c>
      <c r="C2196" s="6">
        <v>2500</v>
      </c>
      <c r="D2196" s="6">
        <v>0</v>
      </c>
      <c r="E2196" s="6">
        <v>0</v>
      </c>
      <c r="F2196" s="6">
        <v>0</v>
      </c>
      <c r="G2196" s="7" t="s">
        <v>23</v>
      </c>
      <c r="H2196" s="1">
        <f t="shared" si="34"/>
        <v>0</v>
      </c>
    </row>
    <row r="2197" spans="1:8" x14ac:dyDescent="0.25">
      <c r="A2197" s="1" t="s">
        <v>16</v>
      </c>
      <c r="B2197" s="1" t="s">
        <v>17</v>
      </c>
      <c r="C2197" s="6">
        <v>3760272</v>
      </c>
      <c r="D2197" s="6">
        <v>2825582.9249999998</v>
      </c>
      <c r="E2197" s="6">
        <v>2794316.165</v>
      </c>
      <c r="F2197" s="6">
        <v>2771984.87</v>
      </c>
      <c r="G2197" s="7" t="s">
        <v>23</v>
      </c>
      <c r="H2197" s="1">
        <f t="shared" si="34"/>
        <v>0.75143046167936778</v>
      </c>
    </row>
    <row r="2198" spans="1:8" x14ac:dyDescent="0.25">
      <c r="A2198" s="1" t="s">
        <v>16</v>
      </c>
      <c r="B2198" s="1" t="s">
        <v>17</v>
      </c>
      <c r="C2198" s="6">
        <v>2809900</v>
      </c>
      <c r="D2198" s="6">
        <v>2509418.0649999999</v>
      </c>
      <c r="E2198" s="6">
        <v>2166619.6949999998</v>
      </c>
      <c r="F2198" s="6">
        <v>2106781.31</v>
      </c>
      <c r="G2198" s="7" t="s">
        <v>23</v>
      </c>
      <c r="H2198" s="1">
        <f t="shared" si="34"/>
        <v>0.89306312146339728</v>
      </c>
    </row>
    <row r="2199" spans="1:8" x14ac:dyDescent="0.25">
      <c r="A2199" s="1" t="s">
        <v>16</v>
      </c>
      <c r="B2199" s="1" t="s">
        <v>17</v>
      </c>
      <c r="C2199" s="6">
        <v>7500</v>
      </c>
      <c r="D2199" s="6">
        <v>4812.5</v>
      </c>
      <c r="E2199" s="6">
        <v>3359.5050000000001</v>
      </c>
      <c r="F2199" s="6">
        <v>3334.3274999999999</v>
      </c>
      <c r="G2199" s="7" t="s">
        <v>23</v>
      </c>
      <c r="H2199" s="1">
        <f t="shared" si="34"/>
        <v>0.64166666666666672</v>
      </c>
    </row>
    <row r="2200" spans="1:8" x14ac:dyDescent="0.25">
      <c r="A2200" s="1" t="s">
        <v>16</v>
      </c>
      <c r="B2200" s="1" t="s">
        <v>17</v>
      </c>
      <c r="C2200" s="6">
        <v>250000</v>
      </c>
      <c r="D2200" s="6">
        <v>11290.9125</v>
      </c>
      <c r="E2200" s="6">
        <v>10867.1625</v>
      </c>
      <c r="F2200" s="6">
        <v>8409.6625000000004</v>
      </c>
      <c r="G2200" s="7" t="s">
        <v>23</v>
      </c>
      <c r="H2200" s="1">
        <f t="shared" si="34"/>
        <v>4.516365E-2</v>
      </c>
    </row>
    <row r="2201" spans="1:8" x14ac:dyDescent="0.25">
      <c r="A2201" s="1" t="s">
        <v>16</v>
      </c>
      <c r="B2201" s="1" t="s">
        <v>17</v>
      </c>
      <c r="C2201" s="6">
        <v>2550000</v>
      </c>
      <c r="D2201" s="6">
        <v>2235835.7755</v>
      </c>
      <c r="E2201" s="6">
        <v>2235835.7755</v>
      </c>
      <c r="F2201" s="6">
        <v>2235835.7755</v>
      </c>
      <c r="G2201" s="7" t="s">
        <v>23</v>
      </c>
      <c r="H2201" s="1">
        <f t="shared" si="34"/>
        <v>0.87679834333333329</v>
      </c>
    </row>
    <row r="2202" spans="1:8" x14ac:dyDescent="0.25">
      <c r="A2202" s="1" t="s">
        <v>16</v>
      </c>
      <c r="B2202" s="1" t="s">
        <v>17</v>
      </c>
      <c r="C2202" s="6">
        <v>46317</v>
      </c>
      <c r="D2202" s="6">
        <v>29386.45</v>
      </c>
      <c r="E2202" s="6">
        <v>23151.7425</v>
      </c>
      <c r="F2202" s="6">
        <v>20307.625</v>
      </c>
      <c r="G2202" s="7" t="s">
        <v>23</v>
      </c>
      <c r="H2202" s="1">
        <f t="shared" si="34"/>
        <v>0.63446358788349855</v>
      </c>
    </row>
    <row r="2203" spans="1:8" x14ac:dyDescent="0.25">
      <c r="A2203" s="1" t="s">
        <v>16</v>
      </c>
      <c r="B2203" s="1" t="s">
        <v>17</v>
      </c>
      <c r="C2203" s="6">
        <v>152500</v>
      </c>
      <c r="D2203" s="6">
        <v>31420</v>
      </c>
      <c r="E2203" s="6">
        <v>31420</v>
      </c>
      <c r="F2203" s="6">
        <v>31420</v>
      </c>
      <c r="G2203" s="7" t="s">
        <v>23</v>
      </c>
      <c r="H2203" s="1">
        <f t="shared" si="34"/>
        <v>0.2060327868852459</v>
      </c>
    </row>
    <row r="2204" spans="1:8" x14ac:dyDescent="0.25">
      <c r="A2204" s="1" t="s">
        <v>16</v>
      </c>
      <c r="B2204" s="1" t="s">
        <v>17</v>
      </c>
      <c r="C2204" s="6">
        <v>316780</v>
      </c>
      <c r="D2204" s="6">
        <v>442713.92499999999</v>
      </c>
      <c r="E2204" s="6">
        <v>439930.67249999999</v>
      </c>
      <c r="F2204" s="6">
        <v>439780.16499999998</v>
      </c>
      <c r="G2204" s="7" t="s">
        <v>23</v>
      </c>
      <c r="H2204" s="1">
        <f t="shared" si="34"/>
        <v>1.3975438001136435</v>
      </c>
    </row>
    <row r="2205" spans="1:8" x14ac:dyDescent="0.25">
      <c r="A2205" s="1" t="s">
        <v>16</v>
      </c>
      <c r="B2205" s="1" t="s">
        <v>17</v>
      </c>
      <c r="C2205" s="6">
        <v>154115</v>
      </c>
      <c r="D2205" s="6">
        <v>124509.4825</v>
      </c>
      <c r="E2205" s="6">
        <v>121625.2225</v>
      </c>
      <c r="F2205" s="6">
        <v>121493.875</v>
      </c>
      <c r="G2205" s="7" t="s">
        <v>23</v>
      </c>
      <c r="H2205" s="1">
        <f t="shared" si="34"/>
        <v>0.80789983129481235</v>
      </c>
    </row>
    <row r="2206" spans="1:8" x14ac:dyDescent="0.25">
      <c r="A2206" s="1" t="s">
        <v>16</v>
      </c>
      <c r="B2206" s="1" t="s">
        <v>17</v>
      </c>
      <c r="C2206" s="6">
        <v>710911</v>
      </c>
      <c r="D2206" s="6">
        <v>246653.965</v>
      </c>
      <c r="E2206" s="6">
        <v>222909.595</v>
      </c>
      <c r="F2206" s="6">
        <v>212393.1925</v>
      </c>
      <c r="G2206" s="7" t="s">
        <v>23</v>
      </c>
      <c r="H2206" s="1">
        <f t="shared" si="34"/>
        <v>0.3469547735229867</v>
      </c>
    </row>
    <row r="2207" spans="1:8" x14ac:dyDescent="0.25">
      <c r="A2207" s="1" t="s">
        <v>16</v>
      </c>
      <c r="B2207" s="1" t="s">
        <v>17</v>
      </c>
      <c r="C2207" s="6">
        <v>81471</v>
      </c>
      <c r="D2207" s="6">
        <v>91534.625</v>
      </c>
      <c r="E2207" s="6">
        <v>82072.057499999995</v>
      </c>
      <c r="F2207" s="6">
        <v>81676.802500000005</v>
      </c>
      <c r="G2207" s="7" t="s">
        <v>23</v>
      </c>
      <c r="H2207" s="1">
        <f t="shared" si="34"/>
        <v>1.1235240146800702</v>
      </c>
    </row>
    <row r="2208" spans="1:8" x14ac:dyDescent="0.25">
      <c r="A2208" s="1" t="s">
        <v>16</v>
      </c>
      <c r="B2208" s="1" t="s">
        <v>17</v>
      </c>
      <c r="C2208" s="6">
        <v>91821</v>
      </c>
      <c r="D2208" s="6">
        <v>67291.002500000002</v>
      </c>
      <c r="E2208" s="6">
        <v>60306.577499999999</v>
      </c>
      <c r="F2208" s="6">
        <v>59304.077499999999</v>
      </c>
      <c r="G2208" s="7" t="s">
        <v>23</v>
      </c>
      <c r="H2208" s="1">
        <f t="shared" si="34"/>
        <v>0.73284981104540359</v>
      </c>
    </row>
    <row r="2209" spans="1:8" x14ac:dyDescent="0.25">
      <c r="A2209" s="1" t="s">
        <v>16</v>
      </c>
      <c r="B2209" s="1" t="s">
        <v>17</v>
      </c>
      <c r="C2209" s="6">
        <v>2451751</v>
      </c>
      <c r="D2209" s="6">
        <v>2072731.95</v>
      </c>
      <c r="E2209" s="6">
        <v>2034488.5049999999</v>
      </c>
      <c r="F2209" s="6">
        <v>2024255.1274999999</v>
      </c>
      <c r="G2209" s="7" t="s">
        <v>23</v>
      </c>
      <c r="H2209" s="1">
        <f t="shared" si="34"/>
        <v>0.8454088322998542</v>
      </c>
    </row>
    <row r="2210" spans="1:8" x14ac:dyDescent="0.25">
      <c r="A2210" s="1" t="s">
        <v>16</v>
      </c>
      <c r="B2210" s="1" t="s">
        <v>17</v>
      </c>
      <c r="C2210" s="6">
        <v>8367786</v>
      </c>
      <c r="D2210" s="6">
        <v>7665244.5</v>
      </c>
      <c r="E2210" s="6">
        <v>7331863.2699999996</v>
      </c>
      <c r="F2210" s="6">
        <v>7280575.0575000001</v>
      </c>
      <c r="G2210" s="7" t="s">
        <v>23</v>
      </c>
      <c r="H2210" s="1">
        <f t="shared" si="34"/>
        <v>0.91604212870644641</v>
      </c>
    </row>
    <row r="2211" spans="1:8" x14ac:dyDescent="0.25">
      <c r="A2211" s="1" t="s">
        <v>16</v>
      </c>
      <c r="B2211" s="1" t="s">
        <v>19</v>
      </c>
      <c r="C2211" s="6">
        <v>1550</v>
      </c>
      <c r="D2211" s="6">
        <v>607.5</v>
      </c>
      <c r="E2211" s="6">
        <v>607.5</v>
      </c>
      <c r="F2211" s="6">
        <v>607.5</v>
      </c>
      <c r="G2211" s="7" t="s">
        <v>23</v>
      </c>
      <c r="H2211" s="1">
        <f t="shared" si="34"/>
        <v>0.39193548387096772</v>
      </c>
    </row>
    <row r="2212" spans="1:8" x14ac:dyDescent="0.25">
      <c r="A2212" s="1" t="s">
        <v>16</v>
      </c>
      <c r="B2212" s="1" t="s">
        <v>19</v>
      </c>
      <c r="C2212" s="6">
        <v>13000</v>
      </c>
      <c r="D2212" s="6">
        <v>1012.5</v>
      </c>
      <c r="E2212" s="6">
        <v>1012.5</v>
      </c>
      <c r="F2212" s="6">
        <v>1012.5</v>
      </c>
      <c r="G2212" s="7" t="s">
        <v>23</v>
      </c>
      <c r="H2212" s="1">
        <f t="shared" si="34"/>
        <v>7.7884615384615385E-2</v>
      </c>
    </row>
    <row r="2213" spans="1:8" x14ac:dyDescent="0.25">
      <c r="A2213" s="1" t="s">
        <v>16</v>
      </c>
      <c r="B2213" s="1" t="s">
        <v>19</v>
      </c>
      <c r="C2213" s="6">
        <v>50625</v>
      </c>
      <c r="D2213" s="6">
        <v>63129.987500000003</v>
      </c>
      <c r="E2213" s="6">
        <v>48379.99</v>
      </c>
      <c r="F2213" s="6">
        <v>28362.49</v>
      </c>
      <c r="G2213" s="7" t="s">
        <v>23</v>
      </c>
      <c r="H2213" s="1">
        <f t="shared" si="34"/>
        <v>1.2470120987654321</v>
      </c>
    </row>
    <row r="2214" spans="1:8" x14ac:dyDescent="0.25">
      <c r="A2214" s="1" t="s">
        <v>16</v>
      </c>
      <c r="B2214" s="1" t="s">
        <v>19</v>
      </c>
      <c r="C2214" s="6">
        <v>8500</v>
      </c>
      <c r="D2214" s="6">
        <v>32010</v>
      </c>
      <c r="E2214" s="6">
        <v>29342.5</v>
      </c>
      <c r="F2214" s="6">
        <v>26675</v>
      </c>
      <c r="G2214" s="7" t="s">
        <v>23</v>
      </c>
      <c r="H2214" s="1">
        <f t="shared" si="34"/>
        <v>3.7658823529411767</v>
      </c>
    </row>
    <row r="2215" spans="1:8" x14ac:dyDescent="0.25">
      <c r="A2215" s="1" t="s">
        <v>16</v>
      </c>
      <c r="B2215" s="1" t="s">
        <v>19</v>
      </c>
      <c r="C2215" s="6">
        <v>8500</v>
      </c>
      <c r="D2215" s="6">
        <v>0</v>
      </c>
      <c r="E2215" s="6">
        <v>0</v>
      </c>
      <c r="F2215" s="6">
        <v>0</v>
      </c>
      <c r="G2215" s="7" t="s">
        <v>23</v>
      </c>
      <c r="H2215" s="1">
        <f t="shared" si="34"/>
        <v>0</v>
      </c>
    </row>
    <row r="2216" spans="1:8" x14ac:dyDescent="0.25">
      <c r="A2216" s="1" t="s">
        <v>16</v>
      </c>
      <c r="B2216" s="1" t="s">
        <v>19</v>
      </c>
      <c r="C2216" s="6">
        <v>1500</v>
      </c>
      <c r="D2216" s="6">
        <v>7.5</v>
      </c>
      <c r="E2216" s="6">
        <v>7.5</v>
      </c>
      <c r="F2216" s="6">
        <v>7.5</v>
      </c>
      <c r="G2216" s="7" t="s">
        <v>23</v>
      </c>
      <c r="H2216" s="1">
        <f t="shared" si="34"/>
        <v>5.0000000000000001E-3</v>
      </c>
    </row>
    <row r="2217" spans="1:8" x14ac:dyDescent="0.25">
      <c r="A2217" s="1" t="s">
        <v>16</v>
      </c>
      <c r="B2217" s="1" t="s">
        <v>19</v>
      </c>
      <c r="C2217" s="6">
        <v>8500</v>
      </c>
      <c r="D2217" s="6">
        <v>3783.84</v>
      </c>
      <c r="E2217" s="6">
        <v>3201.09</v>
      </c>
      <c r="F2217" s="6">
        <v>2961.09</v>
      </c>
      <c r="G2217" s="7" t="s">
        <v>23</v>
      </c>
      <c r="H2217" s="1">
        <f t="shared" si="34"/>
        <v>0.44515764705882355</v>
      </c>
    </row>
    <row r="2218" spans="1:8" x14ac:dyDescent="0.25">
      <c r="A2218" s="1" t="s">
        <v>16</v>
      </c>
      <c r="B2218" s="1" t="s">
        <v>19</v>
      </c>
      <c r="C2218" s="6">
        <v>1500</v>
      </c>
      <c r="D2218" s="6">
        <v>0</v>
      </c>
      <c r="E2218" s="6">
        <v>0</v>
      </c>
      <c r="F2218" s="6">
        <v>0</v>
      </c>
      <c r="G2218" s="7" t="s">
        <v>23</v>
      </c>
      <c r="H2218" s="1">
        <f t="shared" si="34"/>
        <v>0</v>
      </c>
    </row>
    <row r="2219" spans="1:8" x14ac:dyDescent="0.25">
      <c r="A2219" s="1" t="s">
        <v>16</v>
      </c>
      <c r="B2219" s="1" t="s">
        <v>19</v>
      </c>
      <c r="C2219" s="6">
        <v>1500</v>
      </c>
      <c r="D2219" s="6">
        <v>0</v>
      </c>
      <c r="E2219" s="6">
        <v>0</v>
      </c>
      <c r="F2219" s="6">
        <v>0</v>
      </c>
      <c r="G2219" s="7" t="s">
        <v>23</v>
      </c>
      <c r="H2219" s="1">
        <f t="shared" si="34"/>
        <v>0</v>
      </c>
    </row>
    <row r="2220" spans="1:8" x14ac:dyDescent="0.25">
      <c r="A2220" s="1" t="s">
        <v>16</v>
      </c>
      <c r="B2220" s="1" t="s">
        <v>19</v>
      </c>
      <c r="C2220" s="6">
        <v>1250</v>
      </c>
      <c r="D2220" s="6">
        <v>0</v>
      </c>
      <c r="E2220" s="6">
        <v>0</v>
      </c>
      <c r="F2220" s="6">
        <v>0</v>
      </c>
      <c r="G2220" s="7" t="s">
        <v>23</v>
      </c>
      <c r="H2220" s="1">
        <f t="shared" si="34"/>
        <v>0</v>
      </c>
    </row>
    <row r="2221" spans="1:8" x14ac:dyDescent="0.25">
      <c r="A2221" s="1" t="s">
        <v>16</v>
      </c>
      <c r="B2221" s="1" t="s">
        <v>19</v>
      </c>
      <c r="C2221" s="6">
        <v>2000</v>
      </c>
      <c r="D2221" s="6">
        <v>0</v>
      </c>
      <c r="E2221" s="6">
        <v>0</v>
      </c>
      <c r="F2221" s="6">
        <v>0</v>
      </c>
      <c r="G2221" s="7" t="s">
        <v>23</v>
      </c>
      <c r="H2221" s="1">
        <f t="shared" si="34"/>
        <v>0</v>
      </c>
    </row>
    <row r="2222" spans="1:8" x14ac:dyDescent="0.25">
      <c r="A2222" s="1" t="s">
        <v>16</v>
      </c>
      <c r="B2222" s="1" t="s">
        <v>19</v>
      </c>
      <c r="C2222" s="6">
        <v>1250</v>
      </c>
      <c r="D2222" s="6">
        <v>4743.2250000000004</v>
      </c>
      <c r="E2222" s="6">
        <v>2243.2249999999999</v>
      </c>
      <c r="F2222" s="6">
        <v>1635.1075000000001</v>
      </c>
      <c r="G2222" s="7" t="s">
        <v>23</v>
      </c>
      <c r="H2222" s="1">
        <f t="shared" si="34"/>
        <v>3.7945800000000003</v>
      </c>
    </row>
    <row r="2223" spans="1:8" x14ac:dyDescent="0.25">
      <c r="A2223" s="1" t="s">
        <v>16</v>
      </c>
      <c r="B2223" s="1" t="s">
        <v>19</v>
      </c>
      <c r="C2223" s="6">
        <v>1250</v>
      </c>
      <c r="D2223" s="6">
        <v>0</v>
      </c>
      <c r="E2223" s="6">
        <v>0</v>
      </c>
      <c r="F2223" s="6">
        <v>0</v>
      </c>
      <c r="G2223" s="7" t="s">
        <v>23</v>
      </c>
      <c r="H2223" s="1">
        <f t="shared" si="34"/>
        <v>0</v>
      </c>
    </row>
    <row r="2224" spans="1:8" x14ac:dyDescent="0.25">
      <c r="A2224" s="1" t="s">
        <v>16</v>
      </c>
      <c r="B2224" s="1" t="s">
        <v>19</v>
      </c>
      <c r="C2224" s="6">
        <v>1250</v>
      </c>
      <c r="D2224" s="6">
        <v>0</v>
      </c>
      <c r="E2224" s="6">
        <v>0</v>
      </c>
      <c r="F2224" s="6">
        <v>0</v>
      </c>
      <c r="G2224" s="7" t="s">
        <v>23</v>
      </c>
      <c r="H2224" s="1">
        <f t="shared" si="34"/>
        <v>0</v>
      </c>
    </row>
    <row r="2225" spans="1:8" x14ac:dyDescent="0.25">
      <c r="A2225" s="1" t="s">
        <v>16</v>
      </c>
      <c r="B2225" s="1" t="s">
        <v>19</v>
      </c>
      <c r="C2225" s="6">
        <v>8750</v>
      </c>
      <c r="D2225" s="6">
        <v>0</v>
      </c>
      <c r="E2225" s="6">
        <v>0</v>
      </c>
      <c r="F2225" s="6">
        <v>0</v>
      </c>
      <c r="G2225" s="7" t="s">
        <v>23</v>
      </c>
      <c r="H2225" s="1">
        <f t="shared" si="34"/>
        <v>0</v>
      </c>
    </row>
    <row r="2226" spans="1:8" x14ac:dyDescent="0.25">
      <c r="A2226" s="1" t="s">
        <v>16</v>
      </c>
      <c r="B2226" s="1" t="s">
        <v>19</v>
      </c>
      <c r="C2226" s="6">
        <v>25000</v>
      </c>
      <c r="D2226" s="6">
        <v>0</v>
      </c>
      <c r="E2226" s="6">
        <v>0</v>
      </c>
      <c r="F2226" s="6">
        <v>0</v>
      </c>
      <c r="G2226" s="7" t="s">
        <v>23</v>
      </c>
      <c r="H2226" s="1">
        <f t="shared" si="34"/>
        <v>0</v>
      </c>
    </row>
    <row r="2227" spans="1:8" x14ac:dyDescent="0.25">
      <c r="A2227" s="1" t="s">
        <v>16</v>
      </c>
      <c r="B2227" s="1" t="s">
        <v>19</v>
      </c>
      <c r="C2227" s="6">
        <v>25000</v>
      </c>
      <c r="D2227" s="6">
        <v>0</v>
      </c>
      <c r="E2227" s="6">
        <v>0</v>
      </c>
      <c r="F2227" s="6">
        <v>0</v>
      </c>
      <c r="G2227" s="7" t="s">
        <v>23</v>
      </c>
      <c r="H2227" s="1">
        <f t="shared" si="34"/>
        <v>0</v>
      </c>
    </row>
    <row r="2228" spans="1:8" x14ac:dyDescent="0.25">
      <c r="A2228" s="1" t="s">
        <v>16</v>
      </c>
      <c r="B2228" s="1" t="s">
        <v>19</v>
      </c>
      <c r="C2228" s="6">
        <v>12500</v>
      </c>
      <c r="D2228" s="6">
        <v>0</v>
      </c>
      <c r="E2228" s="6">
        <v>0</v>
      </c>
      <c r="F2228" s="6">
        <v>0</v>
      </c>
      <c r="G2228" s="7" t="s">
        <v>23</v>
      </c>
      <c r="H2228" s="1">
        <f t="shared" si="34"/>
        <v>0</v>
      </c>
    </row>
    <row r="2229" spans="1:8" x14ac:dyDescent="0.25">
      <c r="A2229" s="1" t="s">
        <v>16</v>
      </c>
      <c r="B2229" s="1" t="s">
        <v>19</v>
      </c>
      <c r="C2229" s="6">
        <v>2375</v>
      </c>
      <c r="D2229" s="6">
        <v>28.975000000000001</v>
      </c>
      <c r="E2229" s="6">
        <v>28.975000000000001</v>
      </c>
      <c r="F2229" s="6">
        <v>28.975000000000001</v>
      </c>
      <c r="G2229" s="7" t="s">
        <v>23</v>
      </c>
      <c r="H2229" s="1">
        <f t="shared" si="34"/>
        <v>1.2200000000000001E-2</v>
      </c>
    </row>
    <row r="2230" spans="1:8" x14ac:dyDescent="0.25">
      <c r="A2230" s="1" t="s">
        <v>16</v>
      </c>
      <c r="B2230" s="1" t="s">
        <v>19</v>
      </c>
      <c r="C2230" s="6">
        <v>29050</v>
      </c>
      <c r="D2230" s="6">
        <v>48358.947500000002</v>
      </c>
      <c r="E2230" s="6">
        <v>42357.0075</v>
      </c>
      <c r="F2230" s="6">
        <v>42357.0075</v>
      </c>
      <c r="G2230" s="7" t="s">
        <v>23</v>
      </c>
      <c r="H2230" s="1">
        <f t="shared" si="34"/>
        <v>1.6646797762478487</v>
      </c>
    </row>
    <row r="2231" spans="1:8" x14ac:dyDescent="0.25">
      <c r="A2231" s="1" t="s">
        <v>16</v>
      </c>
      <c r="B2231" s="1" t="s">
        <v>19</v>
      </c>
      <c r="C2231" s="6">
        <v>28350</v>
      </c>
      <c r="D2231" s="6">
        <v>2562.3924999999999</v>
      </c>
      <c r="E2231" s="6">
        <v>2397.5</v>
      </c>
      <c r="F2231" s="6">
        <v>2397.5</v>
      </c>
      <c r="G2231" s="7" t="s">
        <v>23</v>
      </c>
      <c r="H2231" s="1">
        <f t="shared" si="34"/>
        <v>9.0384215167548493E-2</v>
      </c>
    </row>
    <row r="2232" spans="1:8" x14ac:dyDescent="0.25">
      <c r="A2232" s="1" t="s">
        <v>16</v>
      </c>
      <c r="B2232" s="1" t="s">
        <v>19</v>
      </c>
      <c r="C2232" s="6">
        <v>2000</v>
      </c>
      <c r="D2232" s="6">
        <v>426</v>
      </c>
      <c r="E2232" s="6">
        <v>276</v>
      </c>
      <c r="F2232" s="6">
        <v>0</v>
      </c>
      <c r="G2232" s="7" t="s">
        <v>23</v>
      </c>
      <c r="H2232" s="1">
        <f t="shared" si="34"/>
        <v>0.21299999999999999</v>
      </c>
    </row>
    <row r="2233" spans="1:8" x14ac:dyDescent="0.25">
      <c r="A2233" s="1" t="s">
        <v>16</v>
      </c>
      <c r="B2233" s="1" t="s">
        <v>19</v>
      </c>
      <c r="C2233" s="6">
        <v>5500</v>
      </c>
      <c r="D2233" s="6">
        <v>201257.465</v>
      </c>
      <c r="E2233" s="6">
        <v>180520.54</v>
      </c>
      <c r="F2233" s="6">
        <v>180520.54</v>
      </c>
      <c r="G2233" s="7" t="s">
        <v>23</v>
      </c>
      <c r="H2233" s="1">
        <f t="shared" si="34"/>
        <v>36.592266363636362</v>
      </c>
    </row>
    <row r="2234" spans="1:8" x14ac:dyDescent="0.25">
      <c r="A2234" s="1" t="s">
        <v>16</v>
      </c>
      <c r="B2234" s="1" t="s">
        <v>19</v>
      </c>
      <c r="C2234" s="6">
        <v>880000</v>
      </c>
      <c r="D2234" s="6">
        <v>295824.47499999998</v>
      </c>
      <c r="E2234" s="6">
        <v>264030.92</v>
      </c>
      <c r="F2234" s="6">
        <v>263398.40500000003</v>
      </c>
      <c r="G2234" s="7" t="s">
        <v>23</v>
      </c>
      <c r="H2234" s="1">
        <f t="shared" si="34"/>
        <v>0.33616417613636362</v>
      </c>
    </row>
    <row r="2235" spans="1:8" x14ac:dyDescent="0.25">
      <c r="A2235" s="1" t="s">
        <v>16</v>
      </c>
      <c r="B2235" s="1" t="s">
        <v>19</v>
      </c>
      <c r="C2235" s="6">
        <v>40000</v>
      </c>
      <c r="D2235" s="6">
        <v>0</v>
      </c>
      <c r="E2235" s="6">
        <v>0</v>
      </c>
      <c r="F2235" s="6">
        <v>0</v>
      </c>
      <c r="G2235" s="7" t="s">
        <v>23</v>
      </c>
      <c r="H2235" s="1">
        <f t="shared" si="34"/>
        <v>0</v>
      </c>
    </row>
    <row r="2236" spans="1:8" x14ac:dyDescent="0.25">
      <c r="A2236" s="1" t="s">
        <v>16</v>
      </c>
      <c r="B2236" s="1" t="s">
        <v>19</v>
      </c>
      <c r="C2236" s="6">
        <v>69000</v>
      </c>
      <c r="D2236" s="6">
        <v>0</v>
      </c>
      <c r="E2236" s="6">
        <v>0</v>
      </c>
      <c r="F2236" s="6">
        <v>0</v>
      </c>
      <c r="G2236" s="7" t="s">
        <v>23</v>
      </c>
      <c r="H2236" s="1">
        <f t="shared" si="34"/>
        <v>0</v>
      </c>
    </row>
    <row r="2237" spans="1:8" x14ac:dyDescent="0.25">
      <c r="A2237" s="1" t="s">
        <v>16</v>
      </c>
      <c r="B2237" s="1" t="s">
        <v>19</v>
      </c>
      <c r="C2237" s="6">
        <v>17250</v>
      </c>
      <c r="D2237" s="6">
        <v>0</v>
      </c>
      <c r="E2237" s="6">
        <v>0</v>
      </c>
      <c r="F2237" s="6">
        <v>0</v>
      </c>
      <c r="G2237" s="7" t="s">
        <v>23</v>
      </c>
      <c r="H2237" s="1">
        <f t="shared" si="34"/>
        <v>0</v>
      </c>
    </row>
    <row r="2238" spans="1:8" x14ac:dyDescent="0.25">
      <c r="A2238" s="1" t="s">
        <v>16</v>
      </c>
      <c r="B2238" s="1" t="s">
        <v>19</v>
      </c>
      <c r="C2238" s="6">
        <v>30000</v>
      </c>
      <c r="D2238" s="6">
        <v>0</v>
      </c>
      <c r="E2238" s="6">
        <v>0</v>
      </c>
      <c r="F2238" s="6">
        <v>0</v>
      </c>
      <c r="G2238" s="7" t="s">
        <v>23</v>
      </c>
      <c r="H2238" s="1">
        <f t="shared" si="34"/>
        <v>0</v>
      </c>
    </row>
    <row r="2239" spans="1:8" x14ac:dyDescent="0.25">
      <c r="A2239" s="1" t="s">
        <v>16</v>
      </c>
      <c r="B2239" s="1" t="s">
        <v>19</v>
      </c>
      <c r="C2239" s="6">
        <v>117750</v>
      </c>
      <c r="D2239" s="6">
        <v>121902.8075</v>
      </c>
      <c r="E2239" s="6">
        <v>81268.535000000003</v>
      </c>
      <c r="F2239" s="6">
        <v>81268.535000000003</v>
      </c>
      <c r="G2239" s="7" t="s">
        <v>23</v>
      </c>
      <c r="H2239" s="1">
        <f t="shared" si="34"/>
        <v>1.0352680042462845</v>
      </c>
    </row>
    <row r="2240" spans="1:8" x14ac:dyDescent="0.25">
      <c r="A2240" s="1" t="s">
        <v>16</v>
      </c>
      <c r="B2240" s="1" t="s">
        <v>19</v>
      </c>
      <c r="C2240" s="6">
        <v>1252000</v>
      </c>
      <c r="D2240" s="6">
        <v>2048387.0375000001</v>
      </c>
      <c r="E2240" s="6">
        <v>2048387.0375000001</v>
      </c>
      <c r="F2240" s="6">
        <v>2048387.0375000001</v>
      </c>
      <c r="G2240" s="7" t="s">
        <v>23</v>
      </c>
      <c r="H2240" s="1">
        <f t="shared" si="34"/>
        <v>1.6360918829872204</v>
      </c>
    </row>
    <row r="2241" spans="1:8" x14ac:dyDescent="0.25">
      <c r="A2241" s="1" t="s">
        <v>16</v>
      </c>
      <c r="B2241" s="1" t="s">
        <v>19</v>
      </c>
      <c r="C2241" s="6">
        <v>19562</v>
      </c>
      <c r="D2241" s="6">
        <v>0</v>
      </c>
      <c r="E2241" s="6">
        <v>0</v>
      </c>
      <c r="F2241" s="6">
        <v>0</v>
      </c>
      <c r="G2241" s="7" t="s">
        <v>23</v>
      </c>
      <c r="H2241" s="1">
        <f t="shared" si="34"/>
        <v>0</v>
      </c>
    </row>
    <row r="2242" spans="1:8" x14ac:dyDescent="0.25">
      <c r="A2242" s="1" t="s">
        <v>12</v>
      </c>
      <c r="B2242" s="1" t="s">
        <v>13</v>
      </c>
      <c r="C2242" s="6">
        <v>502519</v>
      </c>
      <c r="D2242" s="6">
        <v>0</v>
      </c>
      <c r="E2242" s="6">
        <v>0</v>
      </c>
      <c r="F2242" s="6">
        <v>0</v>
      </c>
      <c r="G2242" s="7" t="s">
        <v>23</v>
      </c>
      <c r="H2242" s="1">
        <f t="shared" ref="H2242:H2305" si="35">IF(OR(ISNA($D2242),ISNA($C2242),$C2242=0),0,$D2242/$C2242)</f>
        <v>0</v>
      </c>
    </row>
    <row r="2243" spans="1:8" x14ac:dyDescent="0.25">
      <c r="A2243" s="1" t="s">
        <v>12</v>
      </c>
      <c r="B2243" s="1" t="s">
        <v>13</v>
      </c>
      <c r="C2243" s="6">
        <v>1105992</v>
      </c>
      <c r="D2243" s="6">
        <v>0</v>
      </c>
      <c r="E2243" s="6">
        <v>0</v>
      </c>
      <c r="F2243" s="6">
        <v>0</v>
      </c>
      <c r="G2243" s="7" t="s">
        <v>23</v>
      </c>
      <c r="H2243" s="1">
        <f t="shared" si="35"/>
        <v>0</v>
      </c>
    </row>
    <row r="2244" spans="1:8" x14ac:dyDescent="0.25">
      <c r="A2244" s="1" t="s">
        <v>12</v>
      </c>
      <c r="B2244" s="1" t="s">
        <v>13</v>
      </c>
      <c r="C2244" s="6">
        <v>224643</v>
      </c>
      <c r="D2244" s="6">
        <v>8530.5774999999994</v>
      </c>
      <c r="E2244" s="6">
        <v>8530.5774999999994</v>
      </c>
      <c r="F2244" s="6">
        <v>0</v>
      </c>
      <c r="G2244" s="7" t="s">
        <v>23</v>
      </c>
      <c r="H2244" s="1">
        <f t="shared" si="35"/>
        <v>3.7973929746308588E-2</v>
      </c>
    </row>
    <row r="2245" spans="1:8" x14ac:dyDescent="0.25">
      <c r="A2245" s="1" t="s">
        <v>12</v>
      </c>
      <c r="B2245" s="1" t="s">
        <v>13</v>
      </c>
      <c r="C2245" s="6">
        <v>1224433</v>
      </c>
      <c r="D2245" s="6">
        <v>50237.5</v>
      </c>
      <c r="E2245" s="6">
        <v>35037.5</v>
      </c>
      <c r="F2245" s="6">
        <v>29312.5</v>
      </c>
      <c r="G2245" s="7" t="s">
        <v>23</v>
      </c>
      <c r="H2245" s="1">
        <f t="shared" si="35"/>
        <v>4.1029194737482573E-2</v>
      </c>
    </row>
    <row r="2246" spans="1:8" x14ac:dyDescent="0.25">
      <c r="A2246" s="1" t="s">
        <v>12</v>
      </c>
      <c r="B2246" s="1" t="s">
        <v>13</v>
      </c>
      <c r="C2246" s="6">
        <v>106500</v>
      </c>
      <c r="D2246" s="6">
        <v>0</v>
      </c>
      <c r="E2246" s="6">
        <v>0</v>
      </c>
      <c r="F2246" s="6">
        <v>0</v>
      </c>
      <c r="G2246" s="7" t="s">
        <v>23</v>
      </c>
      <c r="H2246" s="1">
        <f t="shared" si="35"/>
        <v>0</v>
      </c>
    </row>
    <row r="2247" spans="1:8" x14ac:dyDescent="0.25">
      <c r="A2247" s="1" t="s">
        <v>12</v>
      </c>
      <c r="B2247" s="1" t="s">
        <v>13</v>
      </c>
      <c r="C2247" s="6">
        <v>365999</v>
      </c>
      <c r="D2247" s="6">
        <v>76934.5</v>
      </c>
      <c r="E2247" s="6">
        <v>68676.3</v>
      </c>
      <c r="F2247" s="6">
        <v>68676.3</v>
      </c>
      <c r="G2247" s="7" t="s">
        <v>23</v>
      </c>
      <c r="H2247" s="1">
        <f t="shared" si="35"/>
        <v>0.21020412624078208</v>
      </c>
    </row>
    <row r="2248" spans="1:8" x14ac:dyDescent="0.25">
      <c r="A2248" s="1" t="s">
        <v>12</v>
      </c>
      <c r="B2248" s="1" t="s">
        <v>13</v>
      </c>
      <c r="C2248" s="6">
        <v>503302</v>
      </c>
      <c r="D2248" s="6">
        <v>696305.505</v>
      </c>
      <c r="E2248" s="6">
        <v>638467.69999999995</v>
      </c>
      <c r="F2248" s="6">
        <v>612677.58499999996</v>
      </c>
      <c r="G2248" s="7" t="s">
        <v>23</v>
      </c>
      <c r="H2248" s="1">
        <f t="shared" si="35"/>
        <v>1.383474544110693</v>
      </c>
    </row>
    <row r="2249" spans="1:8" x14ac:dyDescent="0.25">
      <c r="A2249" s="1" t="s">
        <v>12</v>
      </c>
      <c r="B2249" s="1" t="s">
        <v>13</v>
      </c>
      <c r="C2249" s="6">
        <v>165195</v>
      </c>
      <c r="D2249" s="6">
        <v>21892.27</v>
      </c>
      <c r="E2249" s="6">
        <v>21892.27</v>
      </c>
      <c r="F2249" s="6">
        <v>21892.27</v>
      </c>
      <c r="G2249" s="7" t="s">
        <v>23</v>
      </c>
      <c r="H2249" s="1">
        <f t="shared" si="35"/>
        <v>0.13252380519991525</v>
      </c>
    </row>
    <row r="2250" spans="1:8" x14ac:dyDescent="0.25">
      <c r="A2250" s="1" t="s">
        <v>12</v>
      </c>
      <c r="B2250" s="1" t="s">
        <v>13</v>
      </c>
      <c r="C2250" s="6">
        <v>528180</v>
      </c>
      <c r="D2250" s="6">
        <v>74165.279999999999</v>
      </c>
      <c r="E2250" s="6">
        <v>11665.28</v>
      </c>
      <c r="F2250" s="6">
        <v>11665.28</v>
      </c>
      <c r="G2250" s="7" t="s">
        <v>23</v>
      </c>
      <c r="H2250" s="1">
        <f t="shared" si="35"/>
        <v>0.14041667613313644</v>
      </c>
    </row>
    <row r="2251" spans="1:8" x14ac:dyDescent="0.25">
      <c r="A2251" s="1" t="s">
        <v>12</v>
      </c>
      <c r="B2251" s="1" t="s">
        <v>13</v>
      </c>
      <c r="C2251" s="6">
        <v>1934875</v>
      </c>
      <c r="D2251" s="6">
        <v>667467.5</v>
      </c>
      <c r="E2251" s="6">
        <v>598073.75</v>
      </c>
      <c r="F2251" s="6">
        <v>598073.75</v>
      </c>
      <c r="G2251" s="7" t="s">
        <v>23</v>
      </c>
      <c r="H2251" s="1">
        <f t="shared" si="35"/>
        <v>0.34496672911686799</v>
      </c>
    </row>
    <row r="2252" spans="1:8" x14ac:dyDescent="0.25">
      <c r="A2252" s="1" t="s">
        <v>12</v>
      </c>
      <c r="B2252" s="1" t="s">
        <v>13</v>
      </c>
      <c r="C2252" s="6">
        <v>308750</v>
      </c>
      <c r="D2252" s="6">
        <v>199250</v>
      </c>
      <c r="E2252" s="6">
        <v>153562.5</v>
      </c>
      <c r="F2252" s="6">
        <v>153562.5</v>
      </c>
      <c r="G2252" s="7" t="s">
        <v>23</v>
      </c>
      <c r="H2252" s="1">
        <f t="shared" si="35"/>
        <v>0.64534412955465592</v>
      </c>
    </row>
    <row r="2253" spans="1:8" x14ac:dyDescent="0.25">
      <c r="A2253" s="1" t="s">
        <v>12</v>
      </c>
      <c r="B2253" s="1" t="s">
        <v>13</v>
      </c>
      <c r="C2253" s="6">
        <v>8250</v>
      </c>
      <c r="D2253" s="6">
        <v>0</v>
      </c>
      <c r="E2253" s="6">
        <v>0</v>
      </c>
      <c r="F2253" s="6">
        <v>0</v>
      </c>
      <c r="G2253" s="7" t="s">
        <v>23</v>
      </c>
      <c r="H2253" s="1">
        <f t="shared" si="35"/>
        <v>0</v>
      </c>
    </row>
    <row r="2254" spans="1:8" x14ac:dyDescent="0.25">
      <c r="A2254" s="1" t="s">
        <v>12</v>
      </c>
      <c r="B2254" s="1" t="s">
        <v>13</v>
      </c>
      <c r="C2254" s="6">
        <v>31000</v>
      </c>
      <c r="D2254" s="6">
        <v>10125</v>
      </c>
      <c r="E2254" s="6">
        <v>10125</v>
      </c>
      <c r="F2254" s="6">
        <v>10125</v>
      </c>
      <c r="G2254" s="7" t="s">
        <v>23</v>
      </c>
      <c r="H2254" s="1">
        <f t="shared" si="35"/>
        <v>0.32661290322580644</v>
      </c>
    </row>
    <row r="2255" spans="1:8" x14ac:dyDescent="0.25">
      <c r="A2255" s="1" t="s">
        <v>12</v>
      </c>
      <c r="B2255" s="1" t="s">
        <v>13</v>
      </c>
      <c r="C2255" s="6">
        <v>1500</v>
      </c>
      <c r="D2255" s="6">
        <v>0</v>
      </c>
      <c r="E2255" s="6">
        <v>0</v>
      </c>
      <c r="F2255" s="6">
        <v>0</v>
      </c>
      <c r="G2255" s="7" t="s">
        <v>23</v>
      </c>
      <c r="H2255" s="1">
        <f t="shared" si="35"/>
        <v>0</v>
      </c>
    </row>
    <row r="2256" spans="1:8" x14ac:dyDescent="0.25">
      <c r="A2256" s="1" t="s">
        <v>12</v>
      </c>
      <c r="B2256" s="1" t="s">
        <v>13</v>
      </c>
      <c r="C2256" s="6">
        <v>1098641</v>
      </c>
      <c r="D2256" s="6">
        <v>642518.90249999997</v>
      </c>
      <c r="E2256" s="6">
        <v>614007.67500000005</v>
      </c>
      <c r="F2256" s="6">
        <v>578137.31499999994</v>
      </c>
      <c r="G2256" s="7" t="s">
        <v>23</v>
      </c>
      <c r="H2256" s="1">
        <f t="shared" si="35"/>
        <v>0.58483062483559234</v>
      </c>
    </row>
    <row r="2257" spans="1:8" x14ac:dyDescent="0.25">
      <c r="A2257" s="1" t="s">
        <v>12</v>
      </c>
      <c r="B2257" s="1" t="s">
        <v>13</v>
      </c>
      <c r="C2257" s="6">
        <v>1392930</v>
      </c>
      <c r="D2257" s="6">
        <v>491703.31</v>
      </c>
      <c r="E2257" s="6">
        <v>420822.11</v>
      </c>
      <c r="F2257" s="6">
        <v>380802.65250000003</v>
      </c>
      <c r="G2257" s="7" t="s">
        <v>23</v>
      </c>
      <c r="H2257" s="1">
        <f t="shared" si="35"/>
        <v>0.35299929644705763</v>
      </c>
    </row>
    <row r="2258" spans="1:8" x14ac:dyDescent="0.25">
      <c r="A2258" s="1" t="s">
        <v>12</v>
      </c>
      <c r="B2258" s="1" t="s">
        <v>13</v>
      </c>
      <c r="C2258" s="6">
        <v>599276</v>
      </c>
      <c r="D2258" s="6">
        <v>0</v>
      </c>
      <c r="E2258" s="6">
        <v>0</v>
      </c>
      <c r="F2258" s="6">
        <v>0</v>
      </c>
      <c r="G2258" s="7" t="s">
        <v>23</v>
      </c>
      <c r="H2258" s="1">
        <f t="shared" si="35"/>
        <v>0</v>
      </c>
    </row>
    <row r="2259" spans="1:8" x14ac:dyDescent="0.25">
      <c r="A2259" s="1" t="s">
        <v>12</v>
      </c>
      <c r="B2259" s="1" t="s">
        <v>13</v>
      </c>
      <c r="C2259" s="6">
        <v>6500</v>
      </c>
      <c r="D2259" s="6">
        <v>0</v>
      </c>
      <c r="E2259" s="6">
        <v>0</v>
      </c>
      <c r="F2259" s="6">
        <v>0</v>
      </c>
      <c r="G2259" s="7" t="s">
        <v>23</v>
      </c>
      <c r="H2259" s="1">
        <f t="shared" si="35"/>
        <v>0</v>
      </c>
    </row>
    <row r="2260" spans="1:8" x14ac:dyDescent="0.25">
      <c r="A2260" s="1" t="s">
        <v>12</v>
      </c>
      <c r="B2260" s="1" t="s">
        <v>13</v>
      </c>
      <c r="C2260" s="6">
        <v>151750</v>
      </c>
      <c r="D2260" s="6">
        <v>0</v>
      </c>
      <c r="E2260" s="6">
        <v>0</v>
      </c>
      <c r="F2260" s="6">
        <v>0</v>
      </c>
      <c r="G2260" s="7" t="s">
        <v>23</v>
      </c>
      <c r="H2260" s="1">
        <f t="shared" si="35"/>
        <v>0</v>
      </c>
    </row>
    <row r="2261" spans="1:8" x14ac:dyDescent="0.25">
      <c r="A2261" s="1" t="s">
        <v>12</v>
      </c>
      <c r="B2261" s="1" t="s">
        <v>13</v>
      </c>
      <c r="C2261" s="6">
        <v>1920319</v>
      </c>
      <c r="D2261" s="6">
        <v>4454995.3875000002</v>
      </c>
      <c r="E2261" s="6">
        <v>4272453.0149999997</v>
      </c>
      <c r="F2261" s="6">
        <v>4264214.1425000001</v>
      </c>
      <c r="G2261" s="7" t="s">
        <v>23</v>
      </c>
      <c r="H2261" s="1">
        <f t="shared" si="35"/>
        <v>2.3199246518416992</v>
      </c>
    </row>
    <row r="2262" spans="1:8" x14ac:dyDescent="0.25">
      <c r="A2262" s="1" t="s">
        <v>12</v>
      </c>
      <c r="B2262" s="1" t="s">
        <v>13</v>
      </c>
      <c r="C2262" s="6">
        <v>248471</v>
      </c>
      <c r="D2262" s="6">
        <v>4808025.9074999997</v>
      </c>
      <c r="E2262" s="6">
        <v>4446275.085</v>
      </c>
      <c r="F2262" s="6">
        <v>3535148.5150000001</v>
      </c>
      <c r="G2262" s="7" t="s">
        <v>23</v>
      </c>
      <c r="H2262" s="1">
        <f t="shared" si="35"/>
        <v>19.350450988244098</v>
      </c>
    </row>
    <row r="2263" spans="1:8" x14ac:dyDescent="0.25">
      <c r="A2263" s="1" t="s">
        <v>12</v>
      </c>
      <c r="B2263" s="1" t="s">
        <v>13</v>
      </c>
      <c r="C2263" s="6">
        <v>373123</v>
      </c>
      <c r="D2263" s="6">
        <v>133216.8775</v>
      </c>
      <c r="E2263" s="6">
        <v>133216.8775</v>
      </c>
      <c r="F2263" s="6">
        <v>113702.56</v>
      </c>
      <c r="G2263" s="7" t="s">
        <v>23</v>
      </c>
      <c r="H2263" s="1">
        <f t="shared" si="35"/>
        <v>0.35703207119368147</v>
      </c>
    </row>
    <row r="2264" spans="1:8" x14ac:dyDescent="0.25">
      <c r="A2264" s="1" t="s">
        <v>12</v>
      </c>
      <c r="B2264" s="1" t="s">
        <v>13</v>
      </c>
      <c r="C2264" s="6">
        <v>6324557</v>
      </c>
      <c r="D2264" s="6">
        <v>3317702.2875000001</v>
      </c>
      <c r="E2264" s="6">
        <v>2403122.3574999999</v>
      </c>
      <c r="F2264" s="6">
        <v>2303953.15</v>
      </c>
      <c r="G2264" s="7" t="s">
        <v>23</v>
      </c>
      <c r="H2264" s="1">
        <f t="shared" si="35"/>
        <v>0.52457465202701159</v>
      </c>
    </row>
    <row r="2265" spans="1:8" x14ac:dyDescent="0.25">
      <c r="A2265" s="1" t="s">
        <v>12</v>
      </c>
      <c r="B2265" s="1" t="s">
        <v>13</v>
      </c>
      <c r="C2265" s="6">
        <v>269008</v>
      </c>
      <c r="D2265" s="6">
        <v>37776.842499999999</v>
      </c>
      <c r="E2265" s="6">
        <v>24746.924999999999</v>
      </c>
      <c r="F2265" s="6">
        <v>24746.924999999999</v>
      </c>
      <c r="G2265" s="7" t="s">
        <v>23</v>
      </c>
      <c r="H2265" s="1">
        <f t="shared" si="35"/>
        <v>0.1404301823737584</v>
      </c>
    </row>
    <row r="2266" spans="1:8" x14ac:dyDescent="0.25">
      <c r="A2266" s="1" t="s">
        <v>12</v>
      </c>
      <c r="B2266" s="1" t="s">
        <v>13</v>
      </c>
      <c r="C2266" s="6">
        <v>492783</v>
      </c>
      <c r="D2266" s="6">
        <v>220544.25</v>
      </c>
      <c r="E2266" s="6">
        <v>155108.57750000001</v>
      </c>
      <c r="F2266" s="6">
        <v>155108.57750000001</v>
      </c>
      <c r="G2266" s="7" t="s">
        <v>23</v>
      </c>
      <c r="H2266" s="1">
        <f t="shared" si="35"/>
        <v>0.44754841380485932</v>
      </c>
    </row>
    <row r="2267" spans="1:8" x14ac:dyDescent="0.25">
      <c r="A2267" s="1" t="s">
        <v>12</v>
      </c>
      <c r="B2267" s="1" t="s">
        <v>13</v>
      </c>
      <c r="C2267" s="6">
        <v>1431414</v>
      </c>
      <c r="D2267" s="6">
        <v>970720.72</v>
      </c>
      <c r="E2267" s="6">
        <v>739659.10250000004</v>
      </c>
      <c r="F2267" s="6">
        <v>701816.12250000006</v>
      </c>
      <c r="G2267" s="7" t="s">
        <v>23</v>
      </c>
      <c r="H2267" s="1">
        <f t="shared" si="35"/>
        <v>0.6781551109602113</v>
      </c>
    </row>
    <row r="2268" spans="1:8" x14ac:dyDescent="0.25">
      <c r="A2268" s="1" t="s">
        <v>12</v>
      </c>
      <c r="B2268" s="1" t="s">
        <v>13</v>
      </c>
      <c r="C2268" s="6">
        <v>2000714</v>
      </c>
      <c r="D2268" s="6">
        <v>118211.825</v>
      </c>
      <c r="E2268" s="6">
        <v>118211.825</v>
      </c>
      <c r="F2268" s="6">
        <v>118211.825</v>
      </c>
      <c r="G2268" s="7" t="s">
        <v>23</v>
      </c>
      <c r="H2268" s="1">
        <f t="shared" si="35"/>
        <v>5.908481921953862E-2</v>
      </c>
    </row>
    <row r="2269" spans="1:8" x14ac:dyDescent="0.25">
      <c r="A2269" s="1" t="s">
        <v>12</v>
      </c>
      <c r="B2269" s="1" t="s">
        <v>13</v>
      </c>
      <c r="C2269" s="6">
        <v>860718</v>
      </c>
      <c r="D2269" s="6">
        <v>597240.97750000004</v>
      </c>
      <c r="E2269" s="6">
        <v>453956.065</v>
      </c>
      <c r="F2269" s="6">
        <v>453956.065</v>
      </c>
      <c r="G2269" s="7" t="s">
        <v>23</v>
      </c>
      <c r="H2269" s="1">
        <f t="shared" si="35"/>
        <v>0.69388693799827594</v>
      </c>
    </row>
    <row r="2270" spans="1:8" x14ac:dyDescent="0.25">
      <c r="A2270" s="1" t="s">
        <v>12</v>
      </c>
      <c r="B2270" s="1" t="s">
        <v>13</v>
      </c>
      <c r="C2270" s="6">
        <v>771425</v>
      </c>
      <c r="D2270" s="6">
        <v>2780.5475000000001</v>
      </c>
      <c r="E2270" s="6">
        <v>2780.5475000000001</v>
      </c>
      <c r="F2270" s="6">
        <v>2780.5475000000001</v>
      </c>
      <c r="G2270" s="7" t="s">
        <v>23</v>
      </c>
      <c r="H2270" s="1">
        <f t="shared" si="35"/>
        <v>3.6044301131023756E-3</v>
      </c>
    </row>
    <row r="2271" spans="1:8" x14ac:dyDescent="0.25">
      <c r="A2271" s="1" t="s">
        <v>12</v>
      </c>
      <c r="B2271" s="1" t="s">
        <v>13</v>
      </c>
      <c r="C2271" s="6">
        <v>8593614</v>
      </c>
      <c r="D2271" s="6">
        <v>3123814.4224999999</v>
      </c>
      <c r="E2271" s="6">
        <v>2132704.0924999998</v>
      </c>
      <c r="F2271" s="6">
        <v>2132704.0924999998</v>
      </c>
      <c r="G2271" s="7" t="s">
        <v>23</v>
      </c>
      <c r="H2271" s="1">
        <f t="shared" si="35"/>
        <v>0.36350415814580456</v>
      </c>
    </row>
    <row r="2272" spans="1:8" x14ac:dyDescent="0.25">
      <c r="A2272" s="1" t="s">
        <v>12</v>
      </c>
      <c r="B2272" s="1" t="s">
        <v>13</v>
      </c>
      <c r="C2272" s="6">
        <v>219999</v>
      </c>
      <c r="D2272" s="6">
        <v>66195.212499999994</v>
      </c>
      <c r="E2272" s="6">
        <v>47524.364999999998</v>
      </c>
      <c r="F2272" s="6">
        <v>40853.245000000003</v>
      </c>
      <c r="G2272" s="7" t="s">
        <v>23</v>
      </c>
      <c r="H2272" s="1">
        <f t="shared" si="35"/>
        <v>0.30088869722135098</v>
      </c>
    </row>
    <row r="2273" spans="1:8" x14ac:dyDescent="0.25">
      <c r="A2273" s="1" t="s">
        <v>12</v>
      </c>
      <c r="B2273" s="1" t="s">
        <v>13</v>
      </c>
      <c r="C2273" s="6">
        <v>7892304</v>
      </c>
      <c r="D2273" s="6">
        <v>4635858.5225</v>
      </c>
      <c r="E2273" s="6">
        <v>3815474.415</v>
      </c>
      <c r="F2273" s="6">
        <v>3648098.9525000001</v>
      </c>
      <c r="G2273" s="7" t="s">
        <v>23</v>
      </c>
      <c r="H2273" s="1">
        <f t="shared" si="35"/>
        <v>0.58738975621060718</v>
      </c>
    </row>
    <row r="2274" spans="1:8" x14ac:dyDescent="0.25">
      <c r="A2274" s="1" t="s">
        <v>12</v>
      </c>
      <c r="B2274" s="1" t="s">
        <v>13</v>
      </c>
      <c r="C2274" s="6">
        <v>9784995</v>
      </c>
      <c r="D2274" s="6">
        <v>4161018.1025</v>
      </c>
      <c r="E2274" s="6">
        <v>3190078.1749999998</v>
      </c>
      <c r="F2274" s="6">
        <v>2620794.5150000001</v>
      </c>
      <c r="G2274" s="7" t="s">
        <v>23</v>
      </c>
      <c r="H2274" s="1">
        <f t="shared" si="35"/>
        <v>0.42524478576636981</v>
      </c>
    </row>
    <row r="2275" spans="1:8" x14ac:dyDescent="0.25">
      <c r="A2275" s="1" t="s">
        <v>12</v>
      </c>
      <c r="B2275" s="1" t="s">
        <v>13</v>
      </c>
      <c r="C2275" s="6">
        <v>1532120</v>
      </c>
      <c r="D2275" s="6">
        <v>1088131.9325000001</v>
      </c>
      <c r="E2275" s="6">
        <v>1045766.015</v>
      </c>
      <c r="F2275" s="6">
        <v>855371.51</v>
      </c>
      <c r="G2275" s="7" t="s">
        <v>23</v>
      </c>
      <c r="H2275" s="1">
        <f t="shared" si="35"/>
        <v>0.71021325516278111</v>
      </c>
    </row>
    <row r="2276" spans="1:8" x14ac:dyDescent="0.25">
      <c r="A2276" s="1" t="s">
        <v>12</v>
      </c>
      <c r="B2276" s="1" t="s">
        <v>13</v>
      </c>
      <c r="C2276" s="6">
        <v>169416</v>
      </c>
      <c r="D2276" s="6">
        <v>0</v>
      </c>
      <c r="E2276" s="6">
        <v>0</v>
      </c>
      <c r="F2276" s="6">
        <v>0</v>
      </c>
      <c r="G2276" s="7" t="s">
        <v>23</v>
      </c>
      <c r="H2276" s="1">
        <f t="shared" si="35"/>
        <v>0</v>
      </c>
    </row>
    <row r="2277" spans="1:8" x14ac:dyDescent="0.25">
      <c r="A2277" s="1" t="s">
        <v>12</v>
      </c>
      <c r="B2277" s="1" t="s">
        <v>13</v>
      </c>
      <c r="C2277" s="6">
        <v>328500</v>
      </c>
      <c r="D2277" s="6">
        <v>0</v>
      </c>
      <c r="E2277" s="6">
        <v>0</v>
      </c>
      <c r="F2277" s="6">
        <v>0</v>
      </c>
      <c r="G2277" s="7" t="s">
        <v>23</v>
      </c>
      <c r="H2277" s="1">
        <f t="shared" si="35"/>
        <v>0</v>
      </c>
    </row>
    <row r="2278" spans="1:8" x14ac:dyDescent="0.25">
      <c r="A2278" s="1" t="s">
        <v>12</v>
      </c>
      <c r="B2278" s="1" t="s">
        <v>13</v>
      </c>
      <c r="C2278" s="6">
        <v>2553100</v>
      </c>
      <c r="D2278" s="6">
        <v>45500</v>
      </c>
      <c r="E2278" s="6">
        <v>31789.5</v>
      </c>
      <c r="F2278" s="6">
        <v>31789.5</v>
      </c>
      <c r="G2278" s="7" t="s">
        <v>23</v>
      </c>
      <c r="H2278" s="1">
        <f t="shared" si="35"/>
        <v>1.782147193607771E-2</v>
      </c>
    </row>
    <row r="2279" spans="1:8" x14ac:dyDescent="0.25">
      <c r="A2279" s="1" t="s">
        <v>12</v>
      </c>
      <c r="B2279" s="1" t="s">
        <v>13</v>
      </c>
      <c r="C2279" s="6">
        <v>18750</v>
      </c>
      <c r="D2279" s="6">
        <v>0</v>
      </c>
      <c r="E2279" s="6">
        <v>0</v>
      </c>
      <c r="F2279" s="6">
        <v>0</v>
      </c>
      <c r="G2279" s="7" t="s">
        <v>23</v>
      </c>
      <c r="H2279" s="1">
        <f t="shared" si="35"/>
        <v>0</v>
      </c>
    </row>
    <row r="2280" spans="1:8" x14ac:dyDescent="0.25">
      <c r="A2280" s="1" t="s">
        <v>12</v>
      </c>
      <c r="B2280" s="1" t="s">
        <v>13</v>
      </c>
      <c r="C2280" s="6">
        <v>9750</v>
      </c>
      <c r="D2280" s="6">
        <v>1177.04</v>
      </c>
      <c r="E2280" s="6">
        <v>1177.04</v>
      </c>
      <c r="F2280" s="6">
        <v>1177.04</v>
      </c>
      <c r="G2280" s="7" t="s">
        <v>23</v>
      </c>
      <c r="H2280" s="1">
        <f t="shared" si="35"/>
        <v>0.12072205128205128</v>
      </c>
    </row>
    <row r="2281" spans="1:8" x14ac:dyDescent="0.25">
      <c r="A2281" s="1" t="s">
        <v>12</v>
      </c>
      <c r="B2281" s="1" t="s">
        <v>13</v>
      </c>
      <c r="C2281" s="6">
        <v>111000</v>
      </c>
      <c r="D2281" s="6">
        <v>0</v>
      </c>
      <c r="E2281" s="6">
        <v>0</v>
      </c>
      <c r="F2281" s="6">
        <v>0</v>
      </c>
      <c r="G2281" s="7" t="s">
        <v>23</v>
      </c>
      <c r="H2281" s="1">
        <f t="shared" si="35"/>
        <v>0</v>
      </c>
    </row>
    <row r="2282" spans="1:8" x14ac:dyDescent="0.25">
      <c r="A2282" s="1" t="s">
        <v>12</v>
      </c>
      <c r="B2282" s="1" t="s">
        <v>13</v>
      </c>
      <c r="C2282" s="6">
        <v>215048</v>
      </c>
      <c r="D2282" s="6">
        <v>23317.327499999999</v>
      </c>
      <c r="E2282" s="6">
        <v>23317.327499999999</v>
      </c>
      <c r="F2282" s="6">
        <v>23317.327499999999</v>
      </c>
      <c r="G2282" s="7" t="s">
        <v>23</v>
      </c>
      <c r="H2282" s="1">
        <f t="shared" si="35"/>
        <v>0.10842847875823072</v>
      </c>
    </row>
    <row r="2283" spans="1:8" x14ac:dyDescent="0.25">
      <c r="A2283" s="1" t="s">
        <v>12</v>
      </c>
      <c r="B2283" s="1" t="s">
        <v>14</v>
      </c>
      <c r="C2283" s="6">
        <v>9616750</v>
      </c>
      <c r="D2283" s="6">
        <v>11391911.824999999</v>
      </c>
      <c r="E2283" s="6">
        <v>10201267.6175</v>
      </c>
      <c r="F2283" s="6">
        <v>10201267.6175</v>
      </c>
      <c r="G2283" s="7" t="s">
        <v>23</v>
      </c>
      <c r="H2283" s="1">
        <f t="shared" si="35"/>
        <v>1.1845906179322536</v>
      </c>
    </row>
    <row r="2284" spans="1:8" x14ac:dyDescent="0.25">
      <c r="A2284" s="1" t="s">
        <v>12</v>
      </c>
      <c r="B2284" s="1" t="s">
        <v>14</v>
      </c>
      <c r="C2284" s="6">
        <v>363750</v>
      </c>
      <c r="D2284" s="6">
        <v>0</v>
      </c>
      <c r="E2284" s="6">
        <v>0</v>
      </c>
      <c r="F2284" s="6">
        <v>0</v>
      </c>
      <c r="G2284" s="7" t="s">
        <v>23</v>
      </c>
      <c r="H2284" s="1">
        <f t="shared" si="35"/>
        <v>0</v>
      </c>
    </row>
    <row r="2285" spans="1:8" x14ac:dyDescent="0.25">
      <c r="A2285" s="1" t="s">
        <v>12</v>
      </c>
      <c r="B2285" s="1" t="s">
        <v>14</v>
      </c>
      <c r="C2285" s="6">
        <v>27163998</v>
      </c>
      <c r="D2285" s="6">
        <v>25290534.077500001</v>
      </c>
      <c r="E2285" s="6">
        <v>22370909.112500001</v>
      </c>
      <c r="F2285" s="6">
        <v>22370909.112500001</v>
      </c>
      <c r="G2285" s="7" t="s">
        <v>23</v>
      </c>
      <c r="H2285" s="1">
        <f t="shared" si="35"/>
        <v>0.931031362817064</v>
      </c>
    </row>
    <row r="2286" spans="1:8" x14ac:dyDescent="0.25">
      <c r="A2286" s="1" t="s">
        <v>12</v>
      </c>
      <c r="B2286" s="1" t="s">
        <v>14</v>
      </c>
      <c r="C2286" s="6">
        <v>1600063</v>
      </c>
      <c r="D2286" s="6">
        <v>1278042.83</v>
      </c>
      <c r="E2286" s="6">
        <v>1073309.6399999999</v>
      </c>
      <c r="F2286" s="6">
        <v>1071005.7075</v>
      </c>
      <c r="G2286" s="7" t="s">
        <v>23</v>
      </c>
      <c r="H2286" s="1">
        <f t="shared" si="35"/>
        <v>0.79874531815309779</v>
      </c>
    </row>
    <row r="2287" spans="1:8" x14ac:dyDescent="0.25">
      <c r="A2287" s="1" t="s">
        <v>12</v>
      </c>
      <c r="B2287" s="1" t="s">
        <v>14</v>
      </c>
      <c r="C2287" s="6">
        <v>8824996</v>
      </c>
      <c r="D2287" s="6">
        <v>5649888.6150000002</v>
      </c>
      <c r="E2287" s="6">
        <v>4288524.1475</v>
      </c>
      <c r="F2287" s="6">
        <v>4288524.1475</v>
      </c>
      <c r="G2287" s="7" t="s">
        <v>23</v>
      </c>
      <c r="H2287" s="1">
        <f t="shared" si="35"/>
        <v>0.64021429754755699</v>
      </c>
    </row>
    <row r="2288" spans="1:8" x14ac:dyDescent="0.25">
      <c r="A2288" s="1" t="s">
        <v>12</v>
      </c>
      <c r="B2288" s="1" t="s">
        <v>14</v>
      </c>
      <c r="C2288" s="6">
        <v>27963920</v>
      </c>
      <c r="D2288" s="6">
        <v>26739019.094999999</v>
      </c>
      <c r="E2288" s="6">
        <v>25757165.032499999</v>
      </c>
      <c r="F2288" s="6">
        <v>25259105.232500002</v>
      </c>
      <c r="G2288" s="7" t="s">
        <v>23</v>
      </c>
      <c r="H2288" s="1">
        <f t="shared" si="35"/>
        <v>0.95619709593647806</v>
      </c>
    </row>
    <row r="2289" spans="1:8" x14ac:dyDescent="0.25">
      <c r="A2289" s="1" t="s">
        <v>12</v>
      </c>
      <c r="B2289" s="1" t="s">
        <v>14</v>
      </c>
      <c r="C2289" s="6">
        <v>151582152</v>
      </c>
      <c r="D2289" s="6">
        <v>25294381.462499999</v>
      </c>
      <c r="E2289" s="6">
        <v>15479335.529999999</v>
      </c>
      <c r="F2289" s="6">
        <v>13871760.237500001</v>
      </c>
      <c r="G2289" s="7" t="s">
        <v>23</v>
      </c>
      <c r="H2289" s="1">
        <f t="shared" si="35"/>
        <v>0.16686912759029834</v>
      </c>
    </row>
    <row r="2290" spans="1:8" x14ac:dyDescent="0.25">
      <c r="A2290" s="1" t="s">
        <v>12</v>
      </c>
      <c r="B2290" s="1" t="s">
        <v>14</v>
      </c>
      <c r="C2290" s="6">
        <v>3126954</v>
      </c>
      <c r="D2290" s="6">
        <v>205410.2525</v>
      </c>
      <c r="E2290" s="6">
        <v>164763.22</v>
      </c>
      <c r="F2290" s="6">
        <v>155260.17499999999</v>
      </c>
      <c r="G2290" s="7" t="s">
        <v>23</v>
      </c>
      <c r="H2290" s="1">
        <f t="shared" si="35"/>
        <v>6.5690206027974832E-2</v>
      </c>
    </row>
    <row r="2291" spans="1:8" x14ac:dyDescent="0.25">
      <c r="A2291" s="1" t="s">
        <v>12</v>
      </c>
      <c r="B2291" s="1" t="s">
        <v>14</v>
      </c>
      <c r="C2291" s="6">
        <v>11053515</v>
      </c>
      <c r="D2291" s="6">
        <v>3165380.1974999998</v>
      </c>
      <c r="E2291" s="6">
        <v>1569814.5325</v>
      </c>
      <c r="F2291" s="6">
        <v>1529045.3525</v>
      </c>
      <c r="G2291" s="7" t="s">
        <v>23</v>
      </c>
      <c r="H2291" s="1">
        <f t="shared" si="35"/>
        <v>0.28636865264126388</v>
      </c>
    </row>
    <row r="2292" spans="1:8" x14ac:dyDescent="0.25">
      <c r="A2292" s="1" t="s">
        <v>12</v>
      </c>
      <c r="B2292" s="1" t="s">
        <v>14</v>
      </c>
      <c r="C2292" s="6">
        <v>23809809</v>
      </c>
      <c r="D2292" s="6">
        <v>26917567.675000001</v>
      </c>
      <c r="E2292" s="6">
        <v>23570875.2775</v>
      </c>
      <c r="F2292" s="6">
        <v>23449663.802499998</v>
      </c>
      <c r="G2292" s="7" t="s">
        <v>23</v>
      </c>
      <c r="H2292" s="1">
        <f t="shared" si="35"/>
        <v>1.1305243009299235</v>
      </c>
    </row>
    <row r="2293" spans="1:8" x14ac:dyDescent="0.25">
      <c r="A2293" s="1" t="s">
        <v>12</v>
      </c>
      <c r="B2293" s="1" t="s">
        <v>14</v>
      </c>
      <c r="C2293" s="6">
        <v>440000</v>
      </c>
      <c r="D2293" s="6">
        <v>1926074.7475000001</v>
      </c>
      <c r="E2293" s="6">
        <v>0</v>
      </c>
      <c r="F2293" s="6">
        <v>0</v>
      </c>
      <c r="G2293" s="7" t="s">
        <v>23</v>
      </c>
      <c r="H2293" s="1">
        <f t="shared" si="35"/>
        <v>4.3774426079545457</v>
      </c>
    </row>
    <row r="2294" spans="1:8" x14ac:dyDescent="0.25">
      <c r="A2294" s="1" t="s">
        <v>12</v>
      </c>
      <c r="B2294" s="1" t="s">
        <v>14</v>
      </c>
      <c r="C2294" s="6">
        <v>473223</v>
      </c>
      <c r="D2294" s="6">
        <v>15225.35</v>
      </c>
      <c r="E2294" s="6">
        <v>12041.254999999999</v>
      </c>
      <c r="F2294" s="6">
        <v>12041.254999999999</v>
      </c>
      <c r="G2294" s="7" t="s">
        <v>23</v>
      </c>
      <c r="H2294" s="1">
        <f t="shared" si="35"/>
        <v>3.2173732045991006E-2</v>
      </c>
    </row>
    <row r="2295" spans="1:8" x14ac:dyDescent="0.25">
      <c r="A2295" s="1" t="s">
        <v>12</v>
      </c>
      <c r="B2295" s="1" t="s">
        <v>14</v>
      </c>
      <c r="C2295" s="6">
        <v>931695</v>
      </c>
      <c r="D2295" s="6">
        <v>784293.75</v>
      </c>
      <c r="E2295" s="6">
        <v>578276.33250000002</v>
      </c>
      <c r="F2295" s="6">
        <v>578276.33250000002</v>
      </c>
      <c r="G2295" s="7" t="s">
        <v>23</v>
      </c>
      <c r="H2295" s="1">
        <f t="shared" si="35"/>
        <v>0.84179237840709675</v>
      </c>
    </row>
    <row r="2296" spans="1:8" x14ac:dyDescent="0.25">
      <c r="A2296" s="1" t="s">
        <v>12</v>
      </c>
      <c r="B2296" s="1" t="s">
        <v>14</v>
      </c>
      <c r="C2296" s="6">
        <v>2037499</v>
      </c>
      <c r="D2296" s="6">
        <v>0</v>
      </c>
      <c r="E2296" s="6">
        <v>0</v>
      </c>
      <c r="F2296" s="6">
        <v>0</v>
      </c>
      <c r="G2296" s="7" t="s">
        <v>23</v>
      </c>
      <c r="H2296" s="1">
        <f t="shared" si="35"/>
        <v>0</v>
      </c>
    </row>
    <row r="2297" spans="1:8" x14ac:dyDescent="0.25">
      <c r="A2297" s="1" t="s">
        <v>12</v>
      </c>
      <c r="B2297" s="1" t="s">
        <v>15</v>
      </c>
      <c r="C2297" s="6">
        <v>0</v>
      </c>
      <c r="D2297" s="6">
        <v>8452117.7825000007</v>
      </c>
      <c r="E2297" s="6">
        <v>7251080.4424999999</v>
      </c>
      <c r="F2297" s="6">
        <v>7095704.5274999999</v>
      </c>
      <c r="G2297" s="7" t="s">
        <v>23</v>
      </c>
      <c r="H2297" s="1">
        <f t="shared" si="35"/>
        <v>0</v>
      </c>
    </row>
    <row r="2298" spans="1:8" x14ac:dyDescent="0.25">
      <c r="A2298" s="1" t="s">
        <v>12</v>
      </c>
      <c r="B2298" s="1" t="s">
        <v>15</v>
      </c>
      <c r="C2298" s="6">
        <v>135500</v>
      </c>
      <c r="D2298" s="6">
        <v>0</v>
      </c>
      <c r="E2298" s="6">
        <v>0</v>
      </c>
      <c r="F2298" s="6">
        <v>0</v>
      </c>
      <c r="G2298" s="7" t="s">
        <v>23</v>
      </c>
      <c r="H2298" s="1">
        <f t="shared" si="35"/>
        <v>0</v>
      </c>
    </row>
    <row r="2299" spans="1:8" x14ac:dyDescent="0.25">
      <c r="A2299" s="1" t="s">
        <v>12</v>
      </c>
      <c r="B2299" s="1" t="s">
        <v>15</v>
      </c>
      <c r="C2299" s="6">
        <v>25000</v>
      </c>
      <c r="D2299" s="6">
        <v>0</v>
      </c>
      <c r="E2299" s="6">
        <v>0</v>
      </c>
      <c r="F2299" s="6">
        <v>0</v>
      </c>
      <c r="G2299" s="7" t="s">
        <v>23</v>
      </c>
      <c r="H2299" s="1">
        <f t="shared" si="35"/>
        <v>0</v>
      </c>
    </row>
    <row r="2300" spans="1:8" x14ac:dyDescent="0.25">
      <c r="A2300" s="1" t="s">
        <v>12</v>
      </c>
      <c r="B2300" s="1" t="s">
        <v>15</v>
      </c>
      <c r="C2300" s="6">
        <v>2038262</v>
      </c>
      <c r="D2300" s="6">
        <v>1924331.78</v>
      </c>
      <c r="E2300" s="6">
        <v>518610.65</v>
      </c>
      <c r="F2300" s="6">
        <v>490527.0675</v>
      </c>
      <c r="G2300" s="7" t="s">
        <v>23</v>
      </c>
      <c r="H2300" s="1">
        <f t="shared" si="35"/>
        <v>0.94410423193877924</v>
      </c>
    </row>
    <row r="2301" spans="1:8" x14ac:dyDescent="0.25">
      <c r="A2301" s="1" t="s">
        <v>12</v>
      </c>
      <c r="B2301" s="1" t="s">
        <v>15</v>
      </c>
      <c r="C2301" s="6">
        <v>975000</v>
      </c>
      <c r="D2301" s="6">
        <v>0</v>
      </c>
      <c r="E2301" s="6">
        <v>0</v>
      </c>
      <c r="F2301" s="6">
        <v>0</v>
      </c>
      <c r="G2301" s="7" t="s">
        <v>23</v>
      </c>
      <c r="H2301" s="1">
        <f t="shared" si="35"/>
        <v>0</v>
      </c>
    </row>
    <row r="2302" spans="1:8" x14ac:dyDescent="0.25">
      <c r="A2302" s="1" t="s">
        <v>12</v>
      </c>
      <c r="B2302" s="1" t="s">
        <v>15</v>
      </c>
      <c r="C2302" s="6">
        <v>9100000</v>
      </c>
      <c r="D2302" s="6">
        <v>0</v>
      </c>
      <c r="E2302" s="6">
        <v>0</v>
      </c>
      <c r="F2302" s="6">
        <v>0</v>
      </c>
      <c r="G2302" s="7" t="s">
        <v>23</v>
      </c>
      <c r="H2302" s="1">
        <f t="shared" si="35"/>
        <v>0</v>
      </c>
    </row>
    <row r="2303" spans="1:8" x14ac:dyDescent="0.25">
      <c r="A2303" s="1" t="s">
        <v>12</v>
      </c>
      <c r="B2303" s="1" t="s">
        <v>15</v>
      </c>
      <c r="C2303" s="6">
        <v>2700000</v>
      </c>
      <c r="D2303" s="6">
        <v>0</v>
      </c>
      <c r="E2303" s="6">
        <v>0</v>
      </c>
      <c r="F2303" s="6">
        <v>0</v>
      </c>
      <c r="G2303" s="7" t="s">
        <v>23</v>
      </c>
      <c r="H2303" s="1">
        <f t="shared" si="35"/>
        <v>0</v>
      </c>
    </row>
    <row r="2304" spans="1:8" x14ac:dyDescent="0.25">
      <c r="A2304" s="1" t="s">
        <v>12</v>
      </c>
      <c r="B2304" s="1" t="s">
        <v>15</v>
      </c>
      <c r="C2304" s="6">
        <v>27593500</v>
      </c>
      <c r="D2304" s="6">
        <v>16621947.532500001</v>
      </c>
      <c r="E2304" s="6">
        <v>10580761.872500001</v>
      </c>
      <c r="F2304" s="6">
        <v>10431815.067500001</v>
      </c>
      <c r="G2304" s="7" t="s">
        <v>23</v>
      </c>
      <c r="H2304" s="1">
        <f t="shared" si="35"/>
        <v>0.6023863421639154</v>
      </c>
    </row>
    <row r="2305" spans="1:8" x14ac:dyDescent="0.25">
      <c r="A2305" s="1" t="s">
        <v>12</v>
      </c>
      <c r="B2305" s="1" t="s">
        <v>15</v>
      </c>
      <c r="C2305" s="6">
        <v>546050</v>
      </c>
      <c r="D2305" s="6">
        <v>97874.402499999997</v>
      </c>
      <c r="E2305" s="6">
        <v>97798.927500000005</v>
      </c>
      <c r="F2305" s="6">
        <v>97798.927500000005</v>
      </c>
      <c r="G2305" s="7" t="s">
        <v>23</v>
      </c>
      <c r="H2305" s="1">
        <f t="shared" si="35"/>
        <v>0.17924073344931782</v>
      </c>
    </row>
    <row r="2306" spans="1:8" x14ac:dyDescent="0.25">
      <c r="A2306" s="1" t="s">
        <v>12</v>
      </c>
      <c r="B2306" s="1" t="s">
        <v>15</v>
      </c>
      <c r="C2306" s="6">
        <v>85689000</v>
      </c>
      <c r="D2306" s="6">
        <v>63874764.1325</v>
      </c>
      <c r="E2306" s="6">
        <v>63848494.134999998</v>
      </c>
      <c r="F2306" s="6">
        <v>63570323.5625</v>
      </c>
      <c r="G2306" s="7" t="s">
        <v>23</v>
      </c>
      <c r="H2306" s="1">
        <f t="shared" ref="H2306:H2369" si="36">IF(OR(ISNA($D2306),ISNA($C2306),$C2306=0),0,$D2306/$C2306)</f>
        <v>0.74542548206304193</v>
      </c>
    </row>
    <row r="2307" spans="1:8" x14ac:dyDescent="0.25">
      <c r="A2307" s="1" t="s">
        <v>12</v>
      </c>
      <c r="B2307" s="1" t="s">
        <v>15</v>
      </c>
      <c r="C2307" s="6">
        <v>5605850</v>
      </c>
      <c r="D2307" s="6">
        <v>3764212.9224999999</v>
      </c>
      <c r="E2307" s="6">
        <v>2770435.3875000002</v>
      </c>
      <c r="F2307" s="6">
        <v>2725673.91</v>
      </c>
      <c r="G2307" s="7" t="s">
        <v>23</v>
      </c>
      <c r="H2307" s="1">
        <f t="shared" si="36"/>
        <v>0.671479422835074</v>
      </c>
    </row>
    <row r="2308" spans="1:8" x14ac:dyDescent="0.25">
      <c r="A2308" s="1" t="s">
        <v>12</v>
      </c>
      <c r="B2308" s="1" t="s">
        <v>15</v>
      </c>
      <c r="C2308" s="6">
        <v>300000</v>
      </c>
      <c r="D2308" s="6">
        <v>0</v>
      </c>
      <c r="E2308" s="6">
        <v>0</v>
      </c>
      <c r="F2308" s="6">
        <v>0</v>
      </c>
      <c r="G2308" s="7" t="s">
        <v>23</v>
      </c>
      <c r="H2308" s="1">
        <f t="shared" si="36"/>
        <v>0</v>
      </c>
    </row>
    <row r="2309" spans="1:8" x14ac:dyDescent="0.25">
      <c r="A2309" s="1" t="s">
        <v>12</v>
      </c>
      <c r="B2309" s="1" t="s">
        <v>15</v>
      </c>
      <c r="C2309" s="6">
        <v>6624</v>
      </c>
      <c r="D2309" s="6">
        <v>12215.032499999999</v>
      </c>
      <c r="E2309" s="6">
        <v>8607.1224999999995</v>
      </c>
      <c r="F2309" s="6">
        <v>8607.1224999999995</v>
      </c>
      <c r="G2309" s="7" t="s">
        <v>23</v>
      </c>
      <c r="H2309" s="1">
        <f t="shared" si="36"/>
        <v>1.8440568387681158</v>
      </c>
    </row>
    <row r="2310" spans="1:8" x14ac:dyDescent="0.25">
      <c r="A2310" s="1" t="s">
        <v>12</v>
      </c>
      <c r="B2310" s="1" t="s">
        <v>15</v>
      </c>
      <c r="C2310" s="6">
        <v>480128</v>
      </c>
      <c r="D2310" s="6">
        <v>36295.364999999998</v>
      </c>
      <c r="E2310" s="6">
        <v>31623.787499999999</v>
      </c>
      <c r="F2310" s="6">
        <v>25462.8825</v>
      </c>
      <c r="G2310" s="7" t="s">
        <v>23</v>
      </c>
      <c r="H2310" s="1">
        <f t="shared" si="36"/>
        <v>7.559518503399093E-2</v>
      </c>
    </row>
    <row r="2311" spans="1:8" x14ac:dyDescent="0.25">
      <c r="A2311" s="1" t="s">
        <v>12</v>
      </c>
      <c r="B2311" s="1" t="s">
        <v>15</v>
      </c>
      <c r="C2311" s="6">
        <v>241027</v>
      </c>
      <c r="D2311" s="6">
        <v>0</v>
      </c>
      <c r="E2311" s="6">
        <v>0</v>
      </c>
      <c r="F2311" s="6">
        <v>0</v>
      </c>
      <c r="G2311" s="7" t="s">
        <v>23</v>
      </c>
      <c r="H2311" s="1">
        <f t="shared" si="36"/>
        <v>0</v>
      </c>
    </row>
    <row r="2312" spans="1:8" x14ac:dyDescent="0.25">
      <c r="A2312" s="1" t="s">
        <v>12</v>
      </c>
      <c r="B2312" s="1" t="s">
        <v>15</v>
      </c>
      <c r="C2312" s="6">
        <v>4249143</v>
      </c>
      <c r="D2312" s="6">
        <v>3687496.7450000001</v>
      </c>
      <c r="E2312" s="6">
        <v>3664917.335</v>
      </c>
      <c r="F2312" s="6">
        <v>3609973.0375000001</v>
      </c>
      <c r="G2312" s="7" t="s">
        <v>23</v>
      </c>
      <c r="H2312" s="1">
        <f t="shared" si="36"/>
        <v>0.86782128655119395</v>
      </c>
    </row>
    <row r="2313" spans="1:8" x14ac:dyDescent="0.25">
      <c r="A2313" s="1" t="s">
        <v>12</v>
      </c>
      <c r="B2313" s="1" t="s">
        <v>15</v>
      </c>
      <c r="C2313" s="6">
        <v>39226100</v>
      </c>
      <c r="D2313" s="6">
        <v>33034997.039999999</v>
      </c>
      <c r="E2313" s="6">
        <v>25182272.274999999</v>
      </c>
      <c r="F2313" s="6">
        <v>24285083.9575</v>
      </c>
      <c r="G2313" s="7" t="s">
        <v>23</v>
      </c>
      <c r="H2313" s="1">
        <f t="shared" si="36"/>
        <v>0.84216878659871863</v>
      </c>
    </row>
    <row r="2314" spans="1:8" x14ac:dyDescent="0.25">
      <c r="A2314" s="1" t="s">
        <v>12</v>
      </c>
      <c r="B2314" s="1" t="s">
        <v>15</v>
      </c>
      <c r="C2314" s="6">
        <v>25000</v>
      </c>
      <c r="D2314" s="6">
        <v>0</v>
      </c>
      <c r="E2314" s="6">
        <v>0</v>
      </c>
      <c r="F2314" s="6">
        <v>0</v>
      </c>
      <c r="G2314" s="7" t="s">
        <v>23</v>
      </c>
      <c r="H2314" s="1">
        <f t="shared" si="36"/>
        <v>0</v>
      </c>
    </row>
    <row r="2315" spans="1:8" x14ac:dyDescent="0.25">
      <c r="A2315" s="1" t="s">
        <v>12</v>
      </c>
      <c r="B2315" s="1" t="s">
        <v>15</v>
      </c>
      <c r="C2315" s="6">
        <v>160564789</v>
      </c>
      <c r="D2315" s="6">
        <v>172261140.08750001</v>
      </c>
      <c r="E2315" s="6">
        <v>170996868.62</v>
      </c>
      <c r="F2315" s="6">
        <v>170996868.62</v>
      </c>
      <c r="G2315" s="7" t="s">
        <v>23</v>
      </c>
      <c r="H2315" s="1">
        <f t="shared" si="36"/>
        <v>1.0728450562563876</v>
      </c>
    </row>
    <row r="2316" spans="1:8" x14ac:dyDescent="0.25">
      <c r="A2316" s="1" t="s">
        <v>12</v>
      </c>
      <c r="B2316" s="1" t="s">
        <v>15</v>
      </c>
      <c r="C2316" s="6">
        <v>93750</v>
      </c>
      <c r="D2316" s="6">
        <v>0</v>
      </c>
      <c r="E2316" s="6">
        <v>0</v>
      </c>
      <c r="F2316" s="6">
        <v>0</v>
      </c>
      <c r="G2316" s="7" t="s">
        <v>23</v>
      </c>
      <c r="H2316" s="1">
        <f t="shared" si="36"/>
        <v>0</v>
      </c>
    </row>
    <row r="2317" spans="1:8" x14ac:dyDescent="0.25">
      <c r="A2317" s="1" t="s">
        <v>12</v>
      </c>
      <c r="B2317" s="1" t="s">
        <v>15</v>
      </c>
      <c r="C2317" s="6">
        <v>7714000</v>
      </c>
      <c r="D2317" s="6">
        <v>1571502.3474999999</v>
      </c>
      <c r="E2317" s="6">
        <v>856098.32499999995</v>
      </c>
      <c r="F2317" s="6">
        <v>846872.1</v>
      </c>
      <c r="G2317" s="7" t="s">
        <v>23</v>
      </c>
      <c r="H2317" s="1">
        <f t="shared" si="36"/>
        <v>0.2037208124837957</v>
      </c>
    </row>
    <row r="2318" spans="1:8" x14ac:dyDescent="0.25">
      <c r="A2318" s="1" t="s">
        <v>12</v>
      </c>
      <c r="B2318" s="1" t="s">
        <v>15</v>
      </c>
      <c r="C2318" s="6">
        <v>16182071</v>
      </c>
      <c r="D2318" s="6">
        <v>14055500.3025</v>
      </c>
      <c r="E2318" s="6">
        <v>13872660.602499999</v>
      </c>
      <c r="F2318" s="6">
        <v>13672128.7325</v>
      </c>
      <c r="G2318" s="7" t="s">
        <v>23</v>
      </c>
      <c r="H2318" s="1">
        <f t="shared" si="36"/>
        <v>0.86858476288356412</v>
      </c>
    </row>
    <row r="2319" spans="1:8" x14ac:dyDescent="0.25">
      <c r="A2319" s="1" t="s">
        <v>12</v>
      </c>
      <c r="B2319" s="1" t="s">
        <v>15</v>
      </c>
      <c r="C2319" s="6">
        <v>11980178</v>
      </c>
      <c r="D2319" s="6">
        <v>10685156.68</v>
      </c>
      <c r="E2319" s="6">
        <v>9540788.2324999999</v>
      </c>
      <c r="F2319" s="6">
        <v>9326445.9774999991</v>
      </c>
      <c r="G2319" s="7" t="s">
        <v>23</v>
      </c>
      <c r="H2319" s="1">
        <f t="shared" si="36"/>
        <v>0.89190299843625021</v>
      </c>
    </row>
    <row r="2320" spans="1:8" x14ac:dyDescent="0.25">
      <c r="A2320" s="1" t="s">
        <v>12</v>
      </c>
      <c r="B2320" s="1" t="s">
        <v>15</v>
      </c>
      <c r="C2320" s="6">
        <v>38444925</v>
      </c>
      <c r="D2320" s="6">
        <v>35405033.045000002</v>
      </c>
      <c r="E2320" s="6">
        <v>33912447.865000002</v>
      </c>
      <c r="F2320" s="6">
        <v>33394070.899999999</v>
      </c>
      <c r="G2320" s="7" t="s">
        <v>23</v>
      </c>
      <c r="H2320" s="1">
        <f t="shared" si="36"/>
        <v>0.92092865430222592</v>
      </c>
    </row>
    <row r="2321" spans="1:8" x14ac:dyDescent="0.25">
      <c r="A2321" s="1" t="s">
        <v>12</v>
      </c>
      <c r="B2321" s="1" t="s">
        <v>15</v>
      </c>
      <c r="C2321" s="6">
        <v>1918284</v>
      </c>
      <c r="D2321" s="6">
        <v>1314202.165</v>
      </c>
      <c r="E2321" s="6">
        <v>976671.06</v>
      </c>
      <c r="F2321" s="6">
        <v>945546.29249999998</v>
      </c>
      <c r="G2321" s="7" t="s">
        <v>23</v>
      </c>
      <c r="H2321" s="1">
        <f t="shared" si="36"/>
        <v>0.68509259577831016</v>
      </c>
    </row>
    <row r="2322" spans="1:8" x14ac:dyDescent="0.25">
      <c r="A2322" s="1" t="s">
        <v>12</v>
      </c>
      <c r="B2322" s="1" t="s">
        <v>15</v>
      </c>
      <c r="C2322" s="6">
        <v>475425</v>
      </c>
      <c r="D2322" s="6">
        <v>279335.92499999999</v>
      </c>
      <c r="E2322" s="6">
        <v>223630.42</v>
      </c>
      <c r="F2322" s="6">
        <v>210659.33249999999</v>
      </c>
      <c r="G2322" s="7" t="s">
        <v>23</v>
      </c>
      <c r="H2322" s="1">
        <f t="shared" si="36"/>
        <v>0.58754992901088499</v>
      </c>
    </row>
    <row r="2323" spans="1:8" x14ac:dyDescent="0.25">
      <c r="A2323" s="1" t="s">
        <v>12</v>
      </c>
      <c r="B2323" s="1" t="s">
        <v>15</v>
      </c>
      <c r="C2323" s="6">
        <v>1141024</v>
      </c>
      <c r="D2323" s="6">
        <v>639366.98</v>
      </c>
      <c r="E2323" s="6">
        <v>462590.63250000001</v>
      </c>
      <c r="F2323" s="6">
        <v>429149.20500000002</v>
      </c>
      <c r="G2323" s="7" t="s">
        <v>23</v>
      </c>
      <c r="H2323" s="1">
        <f t="shared" si="36"/>
        <v>0.56034490072075605</v>
      </c>
    </row>
    <row r="2324" spans="1:8" x14ac:dyDescent="0.25">
      <c r="A2324" s="1" t="s">
        <v>12</v>
      </c>
      <c r="B2324" s="1" t="s">
        <v>15</v>
      </c>
      <c r="C2324" s="6">
        <v>953375</v>
      </c>
      <c r="D2324" s="6">
        <v>2306634.2000000002</v>
      </c>
      <c r="E2324" s="6">
        <v>1780677.15</v>
      </c>
      <c r="F2324" s="6">
        <v>1744193.2775000001</v>
      </c>
      <c r="G2324" s="7" t="s">
        <v>23</v>
      </c>
      <c r="H2324" s="1">
        <f t="shared" si="36"/>
        <v>2.4194406188540714</v>
      </c>
    </row>
    <row r="2325" spans="1:8" x14ac:dyDescent="0.25">
      <c r="A2325" s="1" t="s">
        <v>12</v>
      </c>
      <c r="B2325" s="1" t="s">
        <v>15</v>
      </c>
      <c r="C2325" s="6">
        <v>1914750</v>
      </c>
      <c r="D2325" s="6">
        <v>2110056.2400000002</v>
      </c>
      <c r="E2325" s="6">
        <v>1587776.615</v>
      </c>
      <c r="F2325" s="6">
        <v>1587776.615</v>
      </c>
      <c r="G2325" s="7" t="s">
        <v>23</v>
      </c>
      <c r="H2325" s="1">
        <f t="shared" si="36"/>
        <v>1.1020009087348219</v>
      </c>
    </row>
    <row r="2326" spans="1:8" x14ac:dyDescent="0.25">
      <c r="A2326" s="1" t="s">
        <v>12</v>
      </c>
      <c r="B2326" s="1" t="s">
        <v>15</v>
      </c>
      <c r="C2326" s="6">
        <v>1872860</v>
      </c>
      <c r="D2326" s="6">
        <v>1435120.6850000001</v>
      </c>
      <c r="E2326" s="6">
        <v>1305632.7324999999</v>
      </c>
      <c r="F2326" s="6">
        <v>1226895.2849999999</v>
      </c>
      <c r="G2326" s="7" t="s">
        <v>23</v>
      </c>
      <c r="H2326" s="1">
        <f t="shared" si="36"/>
        <v>0.76627227075168458</v>
      </c>
    </row>
    <row r="2327" spans="1:8" x14ac:dyDescent="0.25">
      <c r="A2327" s="1" t="s">
        <v>12</v>
      </c>
      <c r="B2327" s="1" t="s">
        <v>15</v>
      </c>
      <c r="C2327" s="6">
        <v>28750</v>
      </c>
      <c r="D2327" s="6">
        <v>68.75</v>
      </c>
      <c r="E2327" s="6">
        <v>0</v>
      </c>
      <c r="F2327" s="6">
        <v>0</v>
      </c>
      <c r="G2327" s="7" t="s">
        <v>23</v>
      </c>
      <c r="H2327" s="1">
        <f t="shared" si="36"/>
        <v>2.3913043478260869E-3</v>
      </c>
    </row>
    <row r="2328" spans="1:8" x14ac:dyDescent="0.25">
      <c r="A2328" s="1" t="s">
        <v>12</v>
      </c>
      <c r="B2328" s="1" t="s">
        <v>15</v>
      </c>
      <c r="C2328" s="6">
        <v>4789250</v>
      </c>
      <c r="D2328" s="6">
        <v>2729225.4575</v>
      </c>
      <c r="E2328" s="6">
        <v>2084677.0625</v>
      </c>
      <c r="F2328" s="6">
        <v>2041390.8025</v>
      </c>
      <c r="G2328" s="7" t="s">
        <v>23</v>
      </c>
      <c r="H2328" s="1">
        <f t="shared" si="36"/>
        <v>0.5698648969045258</v>
      </c>
    </row>
    <row r="2329" spans="1:8" x14ac:dyDescent="0.25">
      <c r="A2329" s="1" t="s">
        <v>12</v>
      </c>
      <c r="B2329" s="1" t="s">
        <v>15</v>
      </c>
      <c r="C2329" s="6">
        <v>88843000</v>
      </c>
      <c r="D2329" s="6">
        <v>88231491.560000002</v>
      </c>
      <c r="E2329" s="6">
        <v>73219563.775000006</v>
      </c>
      <c r="F2329" s="6">
        <v>73104721.209999993</v>
      </c>
      <c r="G2329" s="7" t="s">
        <v>23</v>
      </c>
      <c r="H2329" s="1">
        <f t="shared" si="36"/>
        <v>0.99311697668921584</v>
      </c>
    </row>
    <row r="2330" spans="1:8" x14ac:dyDescent="0.25">
      <c r="A2330" s="1" t="s">
        <v>12</v>
      </c>
      <c r="B2330" s="1" t="s">
        <v>15</v>
      </c>
      <c r="C2330" s="6">
        <v>87500</v>
      </c>
      <c r="D2330" s="6">
        <v>0</v>
      </c>
      <c r="E2330" s="6">
        <v>0</v>
      </c>
      <c r="F2330" s="6">
        <v>0</v>
      </c>
      <c r="G2330" s="7" t="s">
        <v>23</v>
      </c>
      <c r="H2330" s="1">
        <f t="shared" si="36"/>
        <v>0</v>
      </c>
    </row>
    <row r="2331" spans="1:8" x14ac:dyDescent="0.25">
      <c r="A2331" s="1" t="s">
        <v>12</v>
      </c>
      <c r="B2331" s="1" t="s">
        <v>15</v>
      </c>
      <c r="C2331" s="6">
        <v>5527750</v>
      </c>
      <c r="D2331" s="6">
        <v>5506442.4500000002</v>
      </c>
      <c r="E2331" s="6">
        <v>4548305.3274999997</v>
      </c>
      <c r="F2331" s="6">
        <v>4275764.9474999998</v>
      </c>
      <c r="G2331" s="7" t="s">
        <v>23</v>
      </c>
      <c r="H2331" s="1">
        <f t="shared" si="36"/>
        <v>0.99614534846908787</v>
      </c>
    </row>
    <row r="2332" spans="1:8" x14ac:dyDescent="0.25">
      <c r="A2332" s="1" t="s">
        <v>12</v>
      </c>
      <c r="B2332" s="1" t="s">
        <v>15</v>
      </c>
      <c r="C2332" s="6">
        <v>21275000</v>
      </c>
      <c r="D2332" s="6">
        <v>17155379.322500002</v>
      </c>
      <c r="E2332" s="6">
        <v>12632635.640000001</v>
      </c>
      <c r="F2332" s="6">
        <v>12101298.484999999</v>
      </c>
      <c r="G2332" s="7" t="s">
        <v>23</v>
      </c>
      <c r="H2332" s="1">
        <f t="shared" si="36"/>
        <v>0.80636330540540546</v>
      </c>
    </row>
    <row r="2333" spans="1:8" x14ac:dyDescent="0.25">
      <c r="A2333" s="1" t="s">
        <v>12</v>
      </c>
      <c r="B2333" s="1" t="s">
        <v>15</v>
      </c>
      <c r="C2333" s="6">
        <v>3294000</v>
      </c>
      <c r="D2333" s="6">
        <v>2382572.3325</v>
      </c>
      <c r="E2333" s="6">
        <v>2374886.415</v>
      </c>
      <c r="F2333" s="6">
        <v>2374886.415</v>
      </c>
      <c r="G2333" s="7" t="s">
        <v>23</v>
      </c>
      <c r="H2333" s="1">
        <f t="shared" si="36"/>
        <v>0.72330671903460841</v>
      </c>
    </row>
    <row r="2334" spans="1:8" x14ac:dyDescent="0.25">
      <c r="A2334" s="1" t="s">
        <v>12</v>
      </c>
      <c r="B2334" s="1" t="s">
        <v>15</v>
      </c>
      <c r="C2334" s="6">
        <v>852250</v>
      </c>
      <c r="D2334" s="6">
        <v>0</v>
      </c>
      <c r="E2334" s="6">
        <v>0</v>
      </c>
      <c r="F2334" s="6">
        <v>0</v>
      </c>
      <c r="G2334" s="7" t="s">
        <v>23</v>
      </c>
      <c r="H2334" s="1">
        <f t="shared" si="36"/>
        <v>0</v>
      </c>
    </row>
    <row r="2335" spans="1:8" x14ac:dyDescent="0.25">
      <c r="A2335" s="1" t="s">
        <v>12</v>
      </c>
      <c r="B2335" s="1" t="s">
        <v>15</v>
      </c>
      <c r="C2335" s="6">
        <v>4792400</v>
      </c>
      <c r="D2335" s="6">
        <v>4069998.1</v>
      </c>
      <c r="E2335" s="6">
        <v>3788980.7825000002</v>
      </c>
      <c r="F2335" s="6">
        <v>3262873.5175000001</v>
      </c>
      <c r="G2335" s="7" t="s">
        <v>23</v>
      </c>
      <c r="H2335" s="1">
        <f t="shared" si="36"/>
        <v>0.84926093397879976</v>
      </c>
    </row>
    <row r="2336" spans="1:8" x14ac:dyDescent="0.25">
      <c r="A2336" s="1" t="s">
        <v>12</v>
      </c>
      <c r="B2336" s="1" t="s">
        <v>15</v>
      </c>
      <c r="C2336" s="6">
        <v>50000</v>
      </c>
      <c r="D2336" s="6">
        <v>0</v>
      </c>
      <c r="E2336" s="6">
        <v>0</v>
      </c>
      <c r="F2336" s="6">
        <v>0</v>
      </c>
      <c r="G2336" s="7" t="s">
        <v>23</v>
      </c>
      <c r="H2336" s="1">
        <f t="shared" si="36"/>
        <v>0</v>
      </c>
    </row>
    <row r="2337" spans="1:8" x14ac:dyDescent="0.25">
      <c r="A2337" s="1" t="s">
        <v>12</v>
      </c>
      <c r="B2337" s="1" t="s">
        <v>15</v>
      </c>
      <c r="C2337" s="6">
        <v>2492381</v>
      </c>
      <c r="D2337" s="6">
        <v>696711.5675</v>
      </c>
      <c r="E2337" s="6">
        <v>491640.16249999998</v>
      </c>
      <c r="F2337" s="6">
        <v>490758.10499999998</v>
      </c>
      <c r="G2337" s="7" t="s">
        <v>23</v>
      </c>
      <c r="H2337" s="1">
        <f t="shared" si="36"/>
        <v>0.27953654256712757</v>
      </c>
    </row>
    <row r="2338" spans="1:8" x14ac:dyDescent="0.25">
      <c r="A2338" s="1" t="s">
        <v>12</v>
      </c>
      <c r="B2338" s="1" t="s">
        <v>15</v>
      </c>
      <c r="C2338" s="6">
        <v>31762500</v>
      </c>
      <c r="D2338" s="6">
        <v>24651722.954999998</v>
      </c>
      <c r="E2338" s="6">
        <v>22358451.375</v>
      </c>
      <c r="F2338" s="6">
        <v>22358451.375</v>
      </c>
      <c r="G2338" s="7" t="s">
        <v>23</v>
      </c>
      <c r="H2338" s="1">
        <f t="shared" si="36"/>
        <v>0.77612665737898456</v>
      </c>
    </row>
    <row r="2339" spans="1:8" x14ac:dyDescent="0.25">
      <c r="A2339" s="1" t="s">
        <v>12</v>
      </c>
      <c r="B2339" s="1" t="s">
        <v>15</v>
      </c>
      <c r="C2339" s="6">
        <v>251209102</v>
      </c>
      <c r="D2339" s="6">
        <v>278352348.21749997</v>
      </c>
      <c r="E2339" s="6">
        <v>240209724.7525</v>
      </c>
      <c r="F2339" s="6">
        <v>239012630.88</v>
      </c>
      <c r="G2339" s="7" t="s">
        <v>23</v>
      </c>
      <c r="H2339" s="1">
        <f t="shared" si="36"/>
        <v>1.108050409007473</v>
      </c>
    </row>
    <row r="2340" spans="1:8" x14ac:dyDescent="0.25">
      <c r="A2340" s="1" t="s">
        <v>12</v>
      </c>
      <c r="B2340" s="1" t="s">
        <v>15</v>
      </c>
      <c r="C2340" s="6">
        <v>4675000</v>
      </c>
      <c r="D2340" s="6">
        <v>9876764.4550000001</v>
      </c>
      <c r="E2340" s="6">
        <v>7482393.9225000003</v>
      </c>
      <c r="F2340" s="6">
        <v>7449876.3049999997</v>
      </c>
      <c r="G2340" s="7" t="s">
        <v>23</v>
      </c>
      <c r="H2340" s="1">
        <f t="shared" si="36"/>
        <v>2.1126768887700536</v>
      </c>
    </row>
    <row r="2341" spans="1:8" x14ac:dyDescent="0.25">
      <c r="A2341" s="1" t="s">
        <v>12</v>
      </c>
      <c r="B2341" s="1" t="s">
        <v>15</v>
      </c>
      <c r="C2341" s="6">
        <v>75746250</v>
      </c>
      <c r="D2341" s="6">
        <v>69899477.435000002</v>
      </c>
      <c r="E2341" s="6">
        <v>62520996.789999999</v>
      </c>
      <c r="F2341" s="6">
        <v>62479344.482500002</v>
      </c>
      <c r="G2341" s="7" t="s">
        <v>23</v>
      </c>
      <c r="H2341" s="1">
        <f t="shared" si="36"/>
        <v>0.92281106239582822</v>
      </c>
    </row>
    <row r="2342" spans="1:8" x14ac:dyDescent="0.25">
      <c r="A2342" s="1" t="s">
        <v>12</v>
      </c>
      <c r="B2342" s="1" t="s">
        <v>15</v>
      </c>
      <c r="C2342" s="6">
        <v>50000</v>
      </c>
      <c r="D2342" s="6">
        <v>0</v>
      </c>
      <c r="E2342" s="6">
        <v>0</v>
      </c>
      <c r="F2342" s="6">
        <v>0</v>
      </c>
      <c r="G2342" s="7" t="s">
        <v>23</v>
      </c>
      <c r="H2342" s="1">
        <f t="shared" si="36"/>
        <v>0</v>
      </c>
    </row>
    <row r="2343" spans="1:8" x14ac:dyDescent="0.25">
      <c r="A2343" s="1" t="s">
        <v>12</v>
      </c>
      <c r="B2343" s="1" t="s">
        <v>15</v>
      </c>
      <c r="C2343" s="6">
        <v>7006800</v>
      </c>
      <c r="D2343" s="6">
        <v>3738676.1349999998</v>
      </c>
      <c r="E2343" s="6">
        <v>2984379.4125000001</v>
      </c>
      <c r="F2343" s="6">
        <v>2680714.3774999999</v>
      </c>
      <c r="G2343" s="7" t="s">
        <v>23</v>
      </c>
      <c r="H2343" s="1">
        <f t="shared" si="36"/>
        <v>0.5335782575498087</v>
      </c>
    </row>
    <row r="2344" spans="1:8" x14ac:dyDescent="0.25">
      <c r="A2344" s="1" t="s">
        <v>12</v>
      </c>
      <c r="B2344" s="1" t="s">
        <v>15</v>
      </c>
      <c r="C2344" s="6">
        <v>112500</v>
      </c>
      <c r="D2344" s="6">
        <v>0</v>
      </c>
      <c r="E2344" s="6">
        <v>0</v>
      </c>
      <c r="F2344" s="6">
        <v>0</v>
      </c>
      <c r="G2344" s="7" t="s">
        <v>23</v>
      </c>
      <c r="H2344" s="1">
        <f t="shared" si="36"/>
        <v>0</v>
      </c>
    </row>
    <row r="2345" spans="1:8" x14ac:dyDescent="0.25">
      <c r="A2345" s="1" t="s">
        <v>12</v>
      </c>
      <c r="B2345" s="1" t="s">
        <v>15</v>
      </c>
      <c r="C2345" s="6">
        <v>155250</v>
      </c>
      <c r="D2345" s="6">
        <v>64202.13</v>
      </c>
      <c r="E2345" s="6">
        <v>41240.872499999998</v>
      </c>
      <c r="F2345" s="6">
        <v>39579.682500000003</v>
      </c>
      <c r="G2345" s="7" t="s">
        <v>23</v>
      </c>
      <c r="H2345" s="1">
        <f t="shared" si="36"/>
        <v>0.41354028985507246</v>
      </c>
    </row>
    <row r="2346" spans="1:8" x14ac:dyDescent="0.25">
      <c r="A2346" s="1" t="s">
        <v>12</v>
      </c>
      <c r="B2346" s="1" t="s">
        <v>15</v>
      </c>
      <c r="C2346" s="6">
        <v>1154250</v>
      </c>
      <c r="D2346" s="6">
        <v>422409.15</v>
      </c>
      <c r="E2346" s="6">
        <v>372818.76250000001</v>
      </c>
      <c r="F2346" s="6">
        <v>352014.60749999998</v>
      </c>
      <c r="G2346" s="7" t="s">
        <v>23</v>
      </c>
      <c r="H2346" s="1">
        <f t="shared" si="36"/>
        <v>0.36595984405458093</v>
      </c>
    </row>
    <row r="2347" spans="1:8" x14ac:dyDescent="0.25">
      <c r="A2347" s="1" t="s">
        <v>12</v>
      </c>
      <c r="B2347" s="1" t="s">
        <v>15</v>
      </c>
      <c r="C2347" s="6">
        <v>3074500</v>
      </c>
      <c r="D2347" s="6">
        <v>2961938.2749999999</v>
      </c>
      <c r="E2347" s="6">
        <v>2589759.8250000002</v>
      </c>
      <c r="F2347" s="6">
        <v>2386076.5874999999</v>
      </c>
      <c r="G2347" s="7" t="s">
        <v>23</v>
      </c>
      <c r="H2347" s="1">
        <f t="shared" si="36"/>
        <v>0.96338860790372416</v>
      </c>
    </row>
    <row r="2348" spans="1:8" x14ac:dyDescent="0.25">
      <c r="A2348" s="1" t="s">
        <v>12</v>
      </c>
      <c r="B2348" s="1" t="s">
        <v>15</v>
      </c>
      <c r="C2348" s="6">
        <v>10202250</v>
      </c>
      <c r="D2348" s="6">
        <v>1932795.7825</v>
      </c>
      <c r="E2348" s="6">
        <v>1744611.37</v>
      </c>
      <c r="F2348" s="6">
        <v>1744611.37</v>
      </c>
      <c r="G2348" s="7" t="s">
        <v>23</v>
      </c>
      <c r="H2348" s="1">
        <f t="shared" si="36"/>
        <v>0.18944799259967163</v>
      </c>
    </row>
    <row r="2349" spans="1:8" x14ac:dyDescent="0.25">
      <c r="A2349" s="1" t="s">
        <v>12</v>
      </c>
      <c r="B2349" s="1" t="s">
        <v>15</v>
      </c>
      <c r="C2349" s="6">
        <v>3138675</v>
      </c>
      <c r="D2349" s="6">
        <v>2100728.7549999999</v>
      </c>
      <c r="E2349" s="6">
        <v>1875753.625</v>
      </c>
      <c r="F2349" s="6">
        <v>1732430.7424999999</v>
      </c>
      <c r="G2349" s="7" t="s">
        <v>23</v>
      </c>
      <c r="H2349" s="1">
        <f t="shared" si="36"/>
        <v>0.66930432586999289</v>
      </c>
    </row>
    <row r="2350" spans="1:8" x14ac:dyDescent="0.25">
      <c r="A2350" s="1" t="s">
        <v>12</v>
      </c>
      <c r="B2350" s="1" t="s">
        <v>15</v>
      </c>
      <c r="C2350" s="6">
        <v>879500</v>
      </c>
      <c r="D2350" s="6">
        <v>751314.78249999997</v>
      </c>
      <c r="E2350" s="6">
        <v>692685.16</v>
      </c>
      <c r="F2350" s="6">
        <v>652938.21750000003</v>
      </c>
      <c r="G2350" s="7" t="s">
        <v>23</v>
      </c>
      <c r="H2350" s="1">
        <f t="shared" si="36"/>
        <v>0.85425216884593513</v>
      </c>
    </row>
    <row r="2351" spans="1:8" x14ac:dyDescent="0.25">
      <c r="A2351" s="1" t="s">
        <v>7</v>
      </c>
      <c r="B2351" s="1" t="s">
        <v>8</v>
      </c>
      <c r="C2351" s="6">
        <v>180000</v>
      </c>
      <c r="D2351" s="6">
        <v>0</v>
      </c>
      <c r="E2351" s="6">
        <v>0</v>
      </c>
      <c r="F2351" s="6">
        <v>0</v>
      </c>
      <c r="G2351" s="7" t="s">
        <v>24</v>
      </c>
      <c r="H2351" s="1">
        <f t="shared" si="36"/>
        <v>0</v>
      </c>
    </row>
    <row r="2352" spans="1:8" x14ac:dyDescent="0.25">
      <c r="A2352" s="1" t="s">
        <v>7</v>
      </c>
      <c r="B2352" s="1" t="s">
        <v>8</v>
      </c>
      <c r="C2352" s="6">
        <v>2800000</v>
      </c>
      <c r="D2352" s="6">
        <v>748676.02</v>
      </c>
      <c r="E2352" s="6">
        <v>28011.72</v>
      </c>
      <c r="F2352" s="6">
        <v>28011.72</v>
      </c>
      <c r="G2352" s="7" t="s">
        <v>24</v>
      </c>
      <c r="H2352" s="1">
        <f t="shared" si="36"/>
        <v>0.26738429285714288</v>
      </c>
    </row>
    <row r="2353" spans="1:8" x14ac:dyDescent="0.25">
      <c r="A2353" s="1" t="s">
        <v>7</v>
      </c>
      <c r="B2353" s="1" t="s">
        <v>8</v>
      </c>
      <c r="C2353" s="6">
        <v>2500</v>
      </c>
      <c r="D2353" s="6">
        <v>973.01250000000005</v>
      </c>
      <c r="E2353" s="6">
        <v>973.01250000000005</v>
      </c>
      <c r="F2353" s="6">
        <v>973.01250000000005</v>
      </c>
      <c r="G2353" s="7" t="s">
        <v>24</v>
      </c>
      <c r="H2353" s="1">
        <f t="shared" si="36"/>
        <v>0.38920500000000002</v>
      </c>
    </row>
    <row r="2354" spans="1:8" x14ac:dyDescent="0.25">
      <c r="A2354" s="1" t="s">
        <v>7</v>
      </c>
      <c r="B2354" s="1" t="s">
        <v>8</v>
      </c>
      <c r="C2354" s="6">
        <v>8250</v>
      </c>
      <c r="D2354" s="6">
        <v>0</v>
      </c>
      <c r="E2354" s="6">
        <v>0</v>
      </c>
      <c r="F2354" s="6">
        <v>0</v>
      </c>
      <c r="G2354" s="7" t="s">
        <v>24</v>
      </c>
      <c r="H2354" s="1">
        <f t="shared" si="36"/>
        <v>0</v>
      </c>
    </row>
    <row r="2355" spans="1:8" x14ac:dyDescent="0.25">
      <c r="A2355" s="1" t="s">
        <v>7</v>
      </c>
      <c r="B2355" s="1" t="s">
        <v>8</v>
      </c>
      <c r="C2355" s="6">
        <v>3011736</v>
      </c>
      <c r="D2355" s="6">
        <v>2528363.41</v>
      </c>
      <c r="E2355" s="6">
        <v>2238706.4700000002</v>
      </c>
      <c r="F2355" s="6">
        <v>2236285.2450000001</v>
      </c>
      <c r="G2355" s="7" t="s">
        <v>24</v>
      </c>
      <c r="H2355" s="1">
        <f t="shared" si="36"/>
        <v>0.83950366499586959</v>
      </c>
    </row>
    <row r="2356" spans="1:8" x14ac:dyDescent="0.25">
      <c r="A2356" s="1" t="s">
        <v>7</v>
      </c>
      <c r="B2356" s="1" t="s">
        <v>8</v>
      </c>
      <c r="C2356" s="6">
        <v>117500</v>
      </c>
      <c r="D2356" s="6">
        <v>13766.7675</v>
      </c>
      <c r="E2356" s="6">
        <v>6471.5275000000001</v>
      </c>
      <c r="F2356" s="6">
        <v>5665.33</v>
      </c>
      <c r="G2356" s="7" t="s">
        <v>24</v>
      </c>
      <c r="H2356" s="1">
        <f t="shared" si="36"/>
        <v>0.11716397872340426</v>
      </c>
    </row>
    <row r="2357" spans="1:8" x14ac:dyDescent="0.25">
      <c r="A2357" s="1" t="s">
        <v>7</v>
      </c>
      <c r="B2357" s="1" t="s">
        <v>8</v>
      </c>
      <c r="C2357" s="6">
        <v>106250</v>
      </c>
      <c r="D2357" s="6">
        <v>117214.69500000001</v>
      </c>
      <c r="E2357" s="6">
        <v>51305.595000000001</v>
      </c>
      <c r="F2357" s="6">
        <v>51305.595000000001</v>
      </c>
      <c r="G2357" s="7" t="s">
        <v>24</v>
      </c>
      <c r="H2357" s="1">
        <f t="shared" si="36"/>
        <v>1.1031971294117648</v>
      </c>
    </row>
    <row r="2358" spans="1:8" x14ac:dyDescent="0.25">
      <c r="A2358" s="1" t="s">
        <v>7</v>
      </c>
      <c r="B2358" s="1" t="s">
        <v>8</v>
      </c>
      <c r="C2358" s="6">
        <v>1250</v>
      </c>
      <c r="D2358" s="6">
        <v>0</v>
      </c>
      <c r="E2358" s="6">
        <v>0</v>
      </c>
      <c r="F2358" s="6">
        <v>0</v>
      </c>
      <c r="G2358" s="7" t="s">
        <v>24</v>
      </c>
      <c r="H2358" s="1">
        <f t="shared" si="36"/>
        <v>0</v>
      </c>
    </row>
    <row r="2359" spans="1:8" x14ac:dyDescent="0.25">
      <c r="A2359" s="1" t="s">
        <v>7</v>
      </c>
      <c r="B2359" s="1" t="s">
        <v>8</v>
      </c>
      <c r="C2359" s="6">
        <v>1907265</v>
      </c>
      <c r="D2359" s="6">
        <v>1581261.8825000001</v>
      </c>
      <c r="E2359" s="6">
        <v>1572559.11</v>
      </c>
      <c r="F2359" s="6">
        <v>1546783.0375000001</v>
      </c>
      <c r="G2359" s="7" t="s">
        <v>24</v>
      </c>
      <c r="H2359" s="1">
        <f t="shared" si="36"/>
        <v>0.82907298277900554</v>
      </c>
    </row>
    <row r="2360" spans="1:8" x14ac:dyDescent="0.25">
      <c r="A2360" s="1" t="s">
        <v>7</v>
      </c>
      <c r="B2360" s="1" t="s">
        <v>8</v>
      </c>
      <c r="C2360" s="6">
        <v>2866214</v>
      </c>
      <c r="D2360" s="6">
        <v>3039333.8824999998</v>
      </c>
      <c r="E2360" s="6">
        <v>2679434.7025000001</v>
      </c>
      <c r="F2360" s="6">
        <v>2679299.9624999999</v>
      </c>
      <c r="G2360" s="7" t="s">
        <v>24</v>
      </c>
      <c r="H2360" s="1">
        <f t="shared" si="36"/>
        <v>1.0604001942981229</v>
      </c>
    </row>
    <row r="2361" spans="1:8" x14ac:dyDescent="0.25">
      <c r="A2361" s="1" t="s">
        <v>7</v>
      </c>
      <c r="B2361" s="1" t="s">
        <v>8</v>
      </c>
      <c r="C2361" s="6">
        <v>1712410</v>
      </c>
      <c r="D2361" s="6">
        <v>1505188.1125</v>
      </c>
      <c r="E2361" s="6">
        <v>1505095.1924999999</v>
      </c>
      <c r="F2361" s="6">
        <v>1505095.1924999999</v>
      </c>
      <c r="G2361" s="7" t="s">
        <v>24</v>
      </c>
      <c r="H2361" s="1">
        <f t="shared" si="36"/>
        <v>0.87898815850176071</v>
      </c>
    </row>
    <row r="2362" spans="1:8" x14ac:dyDescent="0.25">
      <c r="A2362" s="1" t="s">
        <v>7</v>
      </c>
      <c r="B2362" s="1" t="s">
        <v>8</v>
      </c>
      <c r="C2362" s="6">
        <v>171350</v>
      </c>
      <c r="D2362" s="6">
        <v>60181.56</v>
      </c>
      <c r="E2362" s="6">
        <v>7535.25</v>
      </c>
      <c r="F2362" s="6">
        <v>7535.25</v>
      </c>
      <c r="G2362" s="7" t="s">
        <v>24</v>
      </c>
      <c r="H2362" s="1">
        <f t="shared" si="36"/>
        <v>0.35122007586810622</v>
      </c>
    </row>
    <row r="2363" spans="1:8" x14ac:dyDescent="0.25">
      <c r="A2363" s="1" t="s">
        <v>7</v>
      </c>
      <c r="B2363" s="1" t="s">
        <v>8</v>
      </c>
      <c r="C2363" s="6">
        <v>750</v>
      </c>
      <c r="D2363" s="6">
        <v>0</v>
      </c>
      <c r="E2363" s="6">
        <v>0</v>
      </c>
      <c r="F2363" s="6">
        <v>0</v>
      </c>
      <c r="G2363" s="7" t="s">
        <v>24</v>
      </c>
      <c r="H2363" s="1">
        <f t="shared" si="36"/>
        <v>0</v>
      </c>
    </row>
    <row r="2364" spans="1:8" x14ac:dyDescent="0.25">
      <c r="A2364" s="1" t="s">
        <v>7</v>
      </c>
      <c r="B2364" s="1" t="s">
        <v>8</v>
      </c>
      <c r="C2364" s="6">
        <v>15000</v>
      </c>
      <c r="D2364" s="6">
        <v>0</v>
      </c>
      <c r="E2364" s="6">
        <v>0</v>
      </c>
      <c r="F2364" s="6">
        <v>0</v>
      </c>
      <c r="G2364" s="7" t="s">
        <v>24</v>
      </c>
      <c r="H2364" s="1">
        <f t="shared" si="36"/>
        <v>0</v>
      </c>
    </row>
    <row r="2365" spans="1:8" x14ac:dyDescent="0.25">
      <c r="A2365" s="1" t="s">
        <v>7</v>
      </c>
      <c r="B2365" s="1" t="s">
        <v>8</v>
      </c>
      <c r="C2365" s="6">
        <v>39500</v>
      </c>
      <c r="D2365" s="6">
        <v>0</v>
      </c>
      <c r="E2365" s="6">
        <v>0</v>
      </c>
      <c r="F2365" s="6">
        <v>0</v>
      </c>
      <c r="G2365" s="7" t="s">
        <v>24</v>
      </c>
      <c r="H2365" s="1">
        <f t="shared" si="36"/>
        <v>0</v>
      </c>
    </row>
    <row r="2366" spans="1:8" x14ac:dyDescent="0.25">
      <c r="A2366" s="1" t="s">
        <v>7</v>
      </c>
      <c r="B2366" s="1" t="s">
        <v>8</v>
      </c>
      <c r="C2366" s="6">
        <v>495050</v>
      </c>
      <c r="D2366" s="6">
        <v>0</v>
      </c>
      <c r="E2366" s="6">
        <v>0</v>
      </c>
      <c r="F2366" s="6">
        <v>0</v>
      </c>
      <c r="G2366" s="7" t="s">
        <v>24</v>
      </c>
      <c r="H2366" s="1">
        <f t="shared" si="36"/>
        <v>0</v>
      </c>
    </row>
    <row r="2367" spans="1:8" x14ac:dyDescent="0.25">
      <c r="A2367" s="1" t="s">
        <v>7</v>
      </c>
      <c r="B2367" s="1" t="s">
        <v>8</v>
      </c>
      <c r="C2367" s="6">
        <v>20000</v>
      </c>
      <c r="D2367" s="6">
        <v>0</v>
      </c>
      <c r="E2367" s="6">
        <v>0</v>
      </c>
      <c r="F2367" s="6">
        <v>0</v>
      </c>
      <c r="G2367" s="7" t="s">
        <v>24</v>
      </c>
      <c r="H2367" s="1">
        <f t="shared" si="36"/>
        <v>0</v>
      </c>
    </row>
    <row r="2368" spans="1:8" x14ac:dyDescent="0.25">
      <c r="A2368" s="1" t="s">
        <v>7</v>
      </c>
      <c r="B2368" s="1" t="s">
        <v>8</v>
      </c>
      <c r="C2368" s="6">
        <v>3002500</v>
      </c>
      <c r="D2368" s="6">
        <v>396596.54499999998</v>
      </c>
      <c r="E2368" s="6">
        <v>390971.54499999998</v>
      </c>
      <c r="F2368" s="6">
        <v>381127.03749999998</v>
      </c>
      <c r="G2368" s="7" t="s">
        <v>24</v>
      </c>
      <c r="H2368" s="1">
        <f t="shared" si="36"/>
        <v>0.1320887743547044</v>
      </c>
    </row>
    <row r="2369" spans="1:8" x14ac:dyDescent="0.25">
      <c r="A2369" s="1" t="s">
        <v>7</v>
      </c>
      <c r="B2369" s="1" t="s">
        <v>8</v>
      </c>
      <c r="C2369" s="6">
        <v>2197422</v>
      </c>
      <c r="D2369" s="6">
        <v>1685462.79</v>
      </c>
      <c r="E2369" s="6">
        <v>1460811.4375</v>
      </c>
      <c r="F2369" s="6">
        <v>1458786.4375</v>
      </c>
      <c r="G2369" s="7" t="s">
        <v>24</v>
      </c>
      <c r="H2369" s="1">
        <f t="shared" si="36"/>
        <v>0.7670182559380947</v>
      </c>
    </row>
    <row r="2370" spans="1:8" x14ac:dyDescent="0.25">
      <c r="A2370" s="1" t="s">
        <v>7</v>
      </c>
      <c r="B2370" s="1" t="s">
        <v>8</v>
      </c>
      <c r="C2370" s="6">
        <v>103050</v>
      </c>
      <c r="D2370" s="6">
        <v>0</v>
      </c>
      <c r="E2370" s="6">
        <v>0</v>
      </c>
      <c r="F2370" s="6">
        <v>0</v>
      </c>
      <c r="G2370" s="7" t="s">
        <v>24</v>
      </c>
      <c r="H2370" s="1">
        <f t="shared" ref="H2370:H2433" si="37">IF(OR(ISNA($D2370),ISNA($C2370),$C2370=0),0,$D2370/$C2370)</f>
        <v>0</v>
      </c>
    </row>
    <row r="2371" spans="1:8" x14ac:dyDescent="0.25">
      <c r="A2371" s="1" t="s">
        <v>7</v>
      </c>
      <c r="B2371" s="1" t="s">
        <v>8</v>
      </c>
      <c r="C2371" s="6">
        <v>3437400</v>
      </c>
      <c r="D2371" s="6">
        <v>1913661.4145</v>
      </c>
      <c r="E2371" s="6">
        <v>297765.31900000002</v>
      </c>
      <c r="F2371" s="6">
        <v>297765.31900000002</v>
      </c>
      <c r="G2371" s="7" t="s">
        <v>24</v>
      </c>
      <c r="H2371" s="1">
        <f t="shared" si="37"/>
        <v>0.55671769782393665</v>
      </c>
    </row>
    <row r="2372" spans="1:8" x14ac:dyDescent="0.25">
      <c r="A2372" s="1" t="s">
        <v>7</v>
      </c>
      <c r="B2372" s="1" t="s">
        <v>8</v>
      </c>
      <c r="C2372" s="6">
        <v>45000</v>
      </c>
      <c r="D2372" s="6">
        <v>0</v>
      </c>
      <c r="E2372" s="6">
        <v>0</v>
      </c>
      <c r="F2372" s="6">
        <v>0</v>
      </c>
      <c r="G2372" s="7" t="s">
        <v>24</v>
      </c>
      <c r="H2372" s="1">
        <f t="shared" si="37"/>
        <v>0</v>
      </c>
    </row>
    <row r="2373" spans="1:8" x14ac:dyDescent="0.25">
      <c r="A2373" s="1" t="s">
        <v>7</v>
      </c>
      <c r="B2373" s="1" t="s">
        <v>8</v>
      </c>
      <c r="C2373" s="6">
        <v>4736682</v>
      </c>
      <c r="D2373" s="6">
        <v>109236.19</v>
      </c>
      <c r="E2373" s="6">
        <v>90875.4375</v>
      </c>
      <c r="F2373" s="6">
        <v>90875.4375</v>
      </c>
      <c r="G2373" s="7" t="s">
        <v>24</v>
      </c>
      <c r="H2373" s="1">
        <f t="shared" si="37"/>
        <v>2.3061752931693536E-2</v>
      </c>
    </row>
    <row r="2374" spans="1:8" x14ac:dyDescent="0.25">
      <c r="A2374" s="1" t="s">
        <v>7</v>
      </c>
      <c r="B2374" s="1" t="s">
        <v>8</v>
      </c>
      <c r="C2374" s="6">
        <v>26250</v>
      </c>
      <c r="D2374" s="6">
        <v>0</v>
      </c>
      <c r="E2374" s="6">
        <v>0</v>
      </c>
      <c r="F2374" s="6">
        <v>0</v>
      </c>
      <c r="G2374" s="7" t="s">
        <v>24</v>
      </c>
      <c r="H2374" s="1">
        <f t="shared" si="37"/>
        <v>0</v>
      </c>
    </row>
    <row r="2375" spans="1:8" x14ac:dyDescent="0.25">
      <c r="A2375" s="1" t="s">
        <v>7</v>
      </c>
      <c r="B2375" s="1" t="s">
        <v>8</v>
      </c>
      <c r="C2375" s="6">
        <v>75000</v>
      </c>
      <c r="D2375" s="6">
        <v>0</v>
      </c>
      <c r="E2375" s="6">
        <v>0</v>
      </c>
      <c r="F2375" s="6">
        <v>0</v>
      </c>
      <c r="G2375" s="7" t="s">
        <v>24</v>
      </c>
      <c r="H2375" s="1">
        <f t="shared" si="37"/>
        <v>0</v>
      </c>
    </row>
    <row r="2376" spans="1:8" x14ac:dyDescent="0.25">
      <c r="A2376" s="1" t="s">
        <v>7</v>
      </c>
      <c r="B2376" s="1" t="s">
        <v>8</v>
      </c>
      <c r="C2376" s="6">
        <v>125000</v>
      </c>
      <c r="D2376" s="6">
        <v>0</v>
      </c>
      <c r="E2376" s="6">
        <v>0</v>
      </c>
      <c r="F2376" s="6">
        <v>0</v>
      </c>
      <c r="G2376" s="7" t="s">
        <v>24</v>
      </c>
      <c r="H2376" s="1">
        <f t="shared" si="37"/>
        <v>0</v>
      </c>
    </row>
    <row r="2377" spans="1:8" x14ac:dyDescent="0.25">
      <c r="A2377" s="1" t="s">
        <v>7</v>
      </c>
      <c r="B2377" s="1" t="s">
        <v>8</v>
      </c>
      <c r="C2377" s="6">
        <v>50000</v>
      </c>
      <c r="D2377" s="6">
        <v>62315</v>
      </c>
      <c r="E2377" s="6">
        <v>57933.767500000002</v>
      </c>
      <c r="F2377" s="6">
        <v>57933.767500000002</v>
      </c>
      <c r="G2377" s="7" t="s">
        <v>24</v>
      </c>
      <c r="H2377" s="1">
        <f t="shared" si="37"/>
        <v>1.2463</v>
      </c>
    </row>
    <row r="2378" spans="1:8" x14ac:dyDescent="0.25">
      <c r="A2378" s="1" t="s">
        <v>7</v>
      </c>
      <c r="B2378" s="1" t="s">
        <v>8</v>
      </c>
      <c r="C2378" s="6">
        <v>34000</v>
      </c>
      <c r="D2378" s="6">
        <v>71500</v>
      </c>
      <c r="E2378" s="6">
        <v>50000</v>
      </c>
      <c r="F2378" s="6">
        <v>50000</v>
      </c>
      <c r="G2378" s="7" t="s">
        <v>24</v>
      </c>
      <c r="H2378" s="1">
        <f t="shared" si="37"/>
        <v>2.1029411764705883</v>
      </c>
    </row>
    <row r="2379" spans="1:8" x14ac:dyDescent="0.25">
      <c r="A2379" s="1" t="s">
        <v>7</v>
      </c>
      <c r="B2379" s="1" t="s">
        <v>8</v>
      </c>
      <c r="C2379" s="6">
        <v>226250</v>
      </c>
      <c r="D2379" s="6">
        <v>0</v>
      </c>
      <c r="E2379" s="6">
        <v>0</v>
      </c>
      <c r="F2379" s="6">
        <v>0</v>
      </c>
      <c r="G2379" s="7" t="s">
        <v>24</v>
      </c>
      <c r="H2379" s="1">
        <f t="shared" si="37"/>
        <v>0</v>
      </c>
    </row>
    <row r="2380" spans="1:8" x14ac:dyDescent="0.25">
      <c r="A2380" s="1" t="s">
        <v>7</v>
      </c>
      <c r="B2380" s="1" t="s">
        <v>8</v>
      </c>
      <c r="C2380" s="6">
        <v>400000</v>
      </c>
      <c r="D2380" s="6">
        <v>0</v>
      </c>
      <c r="E2380" s="6">
        <v>0</v>
      </c>
      <c r="F2380" s="6">
        <v>0</v>
      </c>
      <c r="G2380" s="7" t="s">
        <v>24</v>
      </c>
      <c r="H2380" s="1">
        <f t="shared" si="37"/>
        <v>0</v>
      </c>
    </row>
    <row r="2381" spans="1:8" x14ac:dyDescent="0.25">
      <c r="A2381" s="1" t="s">
        <v>7</v>
      </c>
      <c r="B2381" s="1" t="s">
        <v>8</v>
      </c>
      <c r="C2381" s="6">
        <v>375000</v>
      </c>
      <c r="D2381" s="6">
        <v>238535.47500000001</v>
      </c>
      <c r="E2381" s="6">
        <v>208728.14</v>
      </c>
      <c r="F2381" s="6">
        <v>207748.185</v>
      </c>
      <c r="G2381" s="7" t="s">
        <v>24</v>
      </c>
      <c r="H2381" s="1">
        <f t="shared" si="37"/>
        <v>0.63609460000000007</v>
      </c>
    </row>
    <row r="2382" spans="1:8" x14ac:dyDescent="0.25">
      <c r="A2382" s="1" t="s">
        <v>7</v>
      </c>
      <c r="B2382" s="1" t="s">
        <v>8</v>
      </c>
      <c r="C2382" s="6">
        <v>50000</v>
      </c>
      <c r="D2382" s="6">
        <v>0</v>
      </c>
      <c r="E2382" s="6">
        <v>0</v>
      </c>
      <c r="F2382" s="6">
        <v>0</v>
      </c>
      <c r="G2382" s="7" t="s">
        <v>24</v>
      </c>
      <c r="H2382" s="1">
        <f t="shared" si="37"/>
        <v>0</v>
      </c>
    </row>
    <row r="2383" spans="1:8" x14ac:dyDescent="0.25">
      <c r="A2383" s="1" t="s">
        <v>7</v>
      </c>
      <c r="B2383" s="1" t="s">
        <v>8</v>
      </c>
      <c r="C2383" s="6">
        <v>62500</v>
      </c>
      <c r="D2383" s="6">
        <v>0</v>
      </c>
      <c r="E2383" s="6">
        <v>0</v>
      </c>
      <c r="F2383" s="6">
        <v>0</v>
      </c>
      <c r="G2383" s="7" t="s">
        <v>24</v>
      </c>
      <c r="H2383" s="1">
        <f t="shared" si="37"/>
        <v>0</v>
      </c>
    </row>
    <row r="2384" spans="1:8" x14ac:dyDescent="0.25">
      <c r="A2384" s="1" t="s">
        <v>7</v>
      </c>
      <c r="B2384" s="1" t="s">
        <v>8</v>
      </c>
      <c r="C2384" s="6">
        <v>15000</v>
      </c>
      <c r="D2384" s="6">
        <v>0</v>
      </c>
      <c r="E2384" s="6">
        <v>0</v>
      </c>
      <c r="F2384" s="6">
        <v>0</v>
      </c>
      <c r="G2384" s="7" t="s">
        <v>24</v>
      </c>
      <c r="H2384" s="1">
        <f t="shared" si="37"/>
        <v>0</v>
      </c>
    </row>
    <row r="2385" spans="1:8" x14ac:dyDescent="0.25">
      <c r="A2385" s="1" t="s">
        <v>7</v>
      </c>
      <c r="B2385" s="1" t="s">
        <v>10</v>
      </c>
      <c r="C2385" s="6">
        <v>1139111</v>
      </c>
      <c r="D2385" s="6">
        <v>0</v>
      </c>
      <c r="E2385" s="6">
        <v>0</v>
      </c>
      <c r="F2385" s="6">
        <v>0</v>
      </c>
      <c r="G2385" s="7" t="s">
        <v>24</v>
      </c>
      <c r="H2385" s="1">
        <f t="shared" si="37"/>
        <v>0</v>
      </c>
    </row>
    <row r="2386" spans="1:8" x14ac:dyDescent="0.25">
      <c r="A2386" s="1" t="s">
        <v>7</v>
      </c>
      <c r="B2386" s="1" t="s">
        <v>10</v>
      </c>
      <c r="C2386" s="6">
        <v>48750</v>
      </c>
      <c r="D2386" s="6">
        <v>72567.17</v>
      </c>
      <c r="E2386" s="6">
        <v>53026.324999999997</v>
      </c>
      <c r="F2386" s="6">
        <v>49877.25</v>
      </c>
      <c r="G2386" s="7" t="s">
        <v>24</v>
      </c>
      <c r="H2386" s="1">
        <f t="shared" si="37"/>
        <v>1.4885573333333333</v>
      </c>
    </row>
    <row r="2387" spans="1:8" x14ac:dyDescent="0.25">
      <c r="A2387" s="1" t="s">
        <v>7</v>
      </c>
      <c r="B2387" s="1" t="s">
        <v>10</v>
      </c>
      <c r="C2387" s="6">
        <v>1250</v>
      </c>
      <c r="D2387" s="6">
        <v>0</v>
      </c>
      <c r="E2387" s="6">
        <v>0</v>
      </c>
      <c r="F2387" s="6">
        <v>0</v>
      </c>
      <c r="G2387" s="7" t="s">
        <v>24</v>
      </c>
      <c r="H2387" s="1">
        <f t="shared" si="37"/>
        <v>0</v>
      </c>
    </row>
    <row r="2388" spans="1:8" x14ac:dyDescent="0.25">
      <c r="A2388" s="1" t="s">
        <v>7</v>
      </c>
      <c r="B2388" s="1" t="s">
        <v>10</v>
      </c>
      <c r="C2388" s="6">
        <v>429375</v>
      </c>
      <c r="D2388" s="6">
        <v>0</v>
      </c>
      <c r="E2388" s="6">
        <v>0</v>
      </c>
      <c r="F2388" s="6">
        <v>0</v>
      </c>
      <c r="G2388" s="7" t="s">
        <v>24</v>
      </c>
      <c r="H2388" s="1">
        <f t="shared" si="37"/>
        <v>0</v>
      </c>
    </row>
    <row r="2389" spans="1:8" x14ac:dyDescent="0.25">
      <c r="A2389" s="1" t="s">
        <v>7</v>
      </c>
      <c r="B2389" s="1" t="s">
        <v>10</v>
      </c>
      <c r="C2389" s="6">
        <v>1250</v>
      </c>
      <c r="D2389" s="6">
        <v>112000</v>
      </c>
      <c r="E2389" s="6">
        <v>112000</v>
      </c>
      <c r="F2389" s="6">
        <v>112000</v>
      </c>
      <c r="G2389" s="7" t="s">
        <v>24</v>
      </c>
      <c r="H2389" s="1">
        <f t="shared" si="37"/>
        <v>89.6</v>
      </c>
    </row>
    <row r="2390" spans="1:8" x14ac:dyDescent="0.25">
      <c r="A2390" s="1" t="s">
        <v>7</v>
      </c>
      <c r="B2390" s="1" t="s">
        <v>10</v>
      </c>
      <c r="C2390" s="6">
        <v>2179200</v>
      </c>
      <c r="D2390" s="6">
        <v>1475581.5874999999</v>
      </c>
      <c r="E2390" s="6">
        <v>1421334.0325</v>
      </c>
      <c r="F2390" s="6">
        <v>1323549.2024999999</v>
      </c>
      <c r="G2390" s="7" t="s">
        <v>24</v>
      </c>
      <c r="H2390" s="1">
        <f t="shared" si="37"/>
        <v>0.67712077253120406</v>
      </c>
    </row>
    <row r="2391" spans="1:8" x14ac:dyDescent="0.25">
      <c r="A2391" s="1" t="s">
        <v>7</v>
      </c>
      <c r="B2391" s="1" t="s">
        <v>10</v>
      </c>
      <c r="C2391" s="6">
        <v>1250</v>
      </c>
      <c r="D2391" s="6">
        <v>912.5</v>
      </c>
      <c r="E2391" s="6">
        <v>912.5</v>
      </c>
      <c r="F2391" s="6">
        <v>912.5</v>
      </c>
      <c r="G2391" s="7" t="s">
        <v>24</v>
      </c>
      <c r="H2391" s="1">
        <f t="shared" si="37"/>
        <v>0.73</v>
      </c>
    </row>
    <row r="2392" spans="1:8" x14ac:dyDescent="0.25">
      <c r="A2392" s="1" t="s">
        <v>7</v>
      </c>
      <c r="B2392" s="1" t="s">
        <v>10</v>
      </c>
      <c r="C2392" s="6">
        <v>4363500</v>
      </c>
      <c r="D2392" s="6">
        <v>743222.73</v>
      </c>
      <c r="E2392" s="6">
        <v>695258.12</v>
      </c>
      <c r="F2392" s="6">
        <v>694919.07</v>
      </c>
      <c r="G2392" s="7" t="s">
        <v>24</v>
      </c>
      <c r="H2392" s="1">
        <f t="shared" si="37"/>
        <v>0.17032719834994844</v>
      </c>
    </row>
    <row r="2393" spans="1:8" x14ac:dyDescent="0.25">
      <c r="A2393" s="1" t="s">
        <v>7</v>
      </c>
      <c r="B2393" s="1" t="s">
        <v>10</v>
      </c>
      <c r="C2393" s="6">
        <v>810000</v>
      </c>
      <c r="D2393" s="6">
        <v>204380</v>
      </c>
      <c r="E2393" s="6">
        <v>204380</v>
      </c>
      <c r="F2393" s="6">
        <v>204380</v>
      </c>
      <c r="G2393" s="7" t="s">
        <v>24</v>
      </c>
      <c r="H2393" s="1">
        <f t="shared" si="37"/>
        <v>0.25232098765432098</v>
      </c>
    </row>
    <row r="2394" spans="1:8" x14ac:dyDescent="0.25">
      <c r="A2394" s="1" t="s">
        <v>7</v>
      </c>
      <c r="B2394" s="1" t="s">
        <v>10</v>
      </c>
      <c r="C2394" s="6">
        <v>100000</v>
      </c>
      <c r="D2394" s="6">
        <v>0</v>
      </c>
      <c r="E2394" s="6">
        <v>0</v>
      </c>
      <c r="F2394" s="6">
        <v>0</v>
      </c>
      <c r="G2394" s="7" t="s">
        <v>24</v>
      </c>
      <c r="H2394" s="1">
        <f t="shared" si="37"/>
        <v>0</v>
      </c>
    </row>
    <row r="2395" spans="1:8" x14ac:dyDescent="0.25">
      <c r="A2395" s="1" t="s">
        <v>7</v>
      </c>
      <c r="B2395" s="1" t="s">
        <v>10</v>
      </c>
      <c r="C2395" s="6">
        <v>1744722</v>
      </c>
      <c r="D2395" s="6">
        <v>1160846.5974999999</v>
      </c>
      <c r="E2395" s="6">
        <v>979032.61</v>
      </c>
      <c r="F2395" s="6">
        <v>979024.54249999998</v>
      </c>
      <c r="G2395" s="7" t="s">
        <v>24</v>
      </c>
      <c r="H2395" s="1">
        <f t="shared" si="37"/>
        <v>0.66534760122242964</v>
      </c>
    </row>
    <row r="2396" spans="1:8" x14ac:dyDescent="0.25">
      <c r="A2396" s="1" t="s">
        <v>7</v>
      </c>
      <c r="B2396" s="1" t="s">
        <v>10</v>
      </c>
      <c r="C2396" s="6">
        <v>1029250</v>
      </c>
      <c r="D2396" s="6">
        <v>262254.60499999998</v>
      </c>
      <c r="E2396" s="6">
        <v>262254.60499999998</v>
      </c>
      <c r="F2396" s="6">
        <v>262254.60499999998</v>
      </c>
      <c r="G2396" s="7" t="s">
        <v>24</v>
      </c>
      <c r="H2396" s="1">
        <f t="shared" si="37"/>
        <v>0.25480165654602865</v>
      </c>
    </row>
    <row r="2397" spans="1:8" x14ac:dyDescent="0.25">
      <c r="A2397" s="1" t="s">
        <v>7</v>
      </c>
      <c r="B2397" s="1" t="s">
        <v>10</v>
      </c>
      <c r="C2397" s="6">
        <v>2434600</v>
      </c>
      <c r="D2397" s="6">
        <v>2320143.4350000001</v>
      </c>
      <c r="E2397" s="6">
        <v>2320143.4350000001</v>
      </c>
      <c r="F2397" s="6">
        <v>2044022.7849999999</v>
      </c>
      <c r="G2397" s="7" t="s">
        <v>24</v>
      </c>
      <c r="H2397" s="1">
        <f t="shared" si="37"/>
        <v>0.95298752772529371</v>
      </c>
    </row>
    <row r="2398" spans="1:8" x14ac:dyDescent="0.25">
      <c r="A2398" s="1" t="s">
        <v>7</v>
      </c>
      <c r="B2398" s="1" t="s">
        <v>10</v>
      </c>
      <c r="C2398" s="6">
        <v>5334136</v>
      </c>
      <c r="D2398" s="6">
        <v>66941</v>
      </c>
      <c r="E2398" s="6">
        <v>60841.047500000001</v>
      </c>
      <c r="F2398" s="6">
        <v>46255.447500000002</v>
      </c>
      <c r="G2398" s="7" t="s">
        <v>24</v>
      </c>
      <c r="H2398" s="1">
        <f t="shared" si="37"/>
        <v>1.2549548792906668E-2</v>
      </c>
    </row>
    <row r="2399" spans="1:8" x14ac:dyDescent="0.25">
      <c r="A2399" s="1" t="s">
        <v>7</v>
      </c>
      <c r="B2399" s="1" t="s">
        <v>10</v>
      </c>
      <c r="C2399" s="6">
        <v>100000</v>
      </c>
      <c r="D2399" s="6">
        <v>0</v>
      </c>
      <c r="E2399" s="6">
        <v>0</v>
      </c>
      <c r="F2399" s="6">
        <v>0</v>
      </c>
      <c r="G2399" s="7" t="s">
        <v>24</v>
      </c>
      <c r="H2399" s="1">
        <f t="shared" si="37"/>
        <v>0</v>
      </c>
    </row>
    <row r="2400" spans="1:8" x14ac:dyDescent="0.25">
      <c r="A2400" s="1" t="s">
        <v>7</v>
      </c>
      <c r="B2400" s="1" t="s">
        <v>10</v>
      </c>
      <c r="C2400" s="6">
        <v>112000</v>
      </c>
      <c r="D2400" s="6">
        <v>165799</v>
      </c>
      <c r="E2400" s="6">
        <v>165799</v>
      </c>
      <c r="F2400" s="6">
        <v>165799</v>
      </c>
      <c r="G2400" s="7" t="s">
        <v>24</v>
      </c>
      <c r="H2400" s="1">
        <f t="shared" si="37"/>
        <v>1.4803482142857143</v>
      </c>
    </row>
    <row r="2401" spans="1:8" x14ac:dyDescent="0.25">
      <c r="A2401" s="1" t="s">
        <v>7</v>
      </c>
      <c r="B2401" s="1" t="s">
        <v>10</v>
      </c>
      <c r="C2401" s="6">
        <v>7500</v>
      </c>
      <c r="D2401" s="6">
        <v>0</v>
      </c>
      <c r="E2401" s="6">
        <v>0</v>
      </c>
      <c r="F2401" s="6">
        <v>0</v>
      </c>
      <c r="G2401" s="7" t="s">
        <v>24</v>
      </c>
      <c r="H2401" s="1">
        <f t="shared" si="37"/>
        <v>0</v>
      </c>
    </row>
    <row r="2402" spans="1:8" x14ac:dyDescent="0.25">
      <c r="A2402" s="1" t="s">
        <v>7</v>
      </c>
      <c r="B2402" s="1" t="s">
        <v>10</v>
      </c>
      <c r="C2402" s="6">
        <v>159800</v>
      </c>
      <c r="D2402" s="6">
        <v>0</v>
      </c>
      <c r="E2402" s="6">
        <v>0</v>
      </c>
      <c r="F2402" s="6">
        <v>0</v>
      </c>
      <c r="G2402" s="7" t="s">
        <v>24</v>
      </c>
      <c r="H2402" s="1">
        <f t="shared" si="37"/>
        <v>0</v>
      </c>
    </row>
    <row r="2403" spans="1:8" x14ac:dyDescent="0.25">
      <c r="A2403" s="1" t="s">
        <v>7</v>
      </c>
      <c r="B2403" s="1" t="s">
        <v>10</v>
      </c>
      <c r="C2403" s="6">
        <v>16590</v>
      </c>
      <c r="D2403" s="6">
        <v>0</v>
      </c>
      <c r="E2403" s="6">
        <v>0</v>
      </c>
      <c r="F2403" s="6">
        <v>0</v>
      </c>
      <c r="G2403" s="7" t="s">
        <v>24</v>
      </c>
      <c r="H2403" s="1">
        <f t="shared" si="37"/>
        <v>0</v>
      </c>
    </row>
    <row r="2404" spans="1:8" x14ac:dyDescent="0.25">
      <c r="A2404" s="1" t="s">
        <v>7</v>
      </c>
      <c r="B2404" s="1" t="s">
        <v>10</v>
      </c>
      <c r="C2404" s="6">
        <v>340000</v>
      </c>
      <c r="D2404" s="6">
        <v>50354.09</v>
      </c>
      <c r="E2404" s="6">
        <v>50354.09</v>
      </c>
      <c r="F2404" s="6">
        <v>44106.49</v>
      </c>
      <c r="G2404" s="7" t="s">
        <v>24</v>
      </c>
      <c r="H2404" s="1">
        <f t="shared" si="37"/>
        <v>0.14810026470588233</v>
      </c>
    </row>
    <row r="2405" spans="1:8" x14ac:dyDescent="0.25">
      <c r="A2405" s="1" t="s">
        <v>7</v>
      </c>
      <c r="B2405" s="1" t="s">
        <v>10</v>
      </c>
      <c r="C2405" s="6">
        <v>2500</v>
      </c>
      <c r="D2405" s="6">
        <v>0</v>
      </c>
      <c r="E2405" s="6">
        <v>0</v>
      </c>
      <c r="F2405" s="6">
        <v>0</v>
      </c>
      <c r="G2405" s="7" t="s">
        <v>24</v>
      </c>
      <c r="H2405" s="1">
        <f t="shared" si="37"/>
        <v>0</v>
      </c>
    </row>
    <row r="2406" spans="1:8" x14ac:dyDescent="0.25">
      <c r="A2406" s="1" t="s">
        <v>7</v>
      </c>
      <c r="B2406" s="1" t="s">
        <v>10</v>
      </c>
      <c r="C2406" s="6">
        <v>3975</v>
      </c>
      <c r="D2406" s="6">
        <v>0</v>
      </c>
      <c r="E2406" s="6">
        <v>0</v>
      </c>
      <c r="F2406" s="6">
        <v>0</v>
      </c>
      <c r="G2406" s="7" t="s">
        <v>24</v>
      </c>
      <c r="H2406" s="1">
        <f t="shared" si="37"/>
        <v>0</v>
      </c>
    </row>
    <row r="2407" spans="1:8" x14ac:dyDescent="0.25">
      <c r="A2407" s="1" t="s">
        <v>7</v>
      </c>
      <c r="B2407" s="1" t="s">
        <v>10</v>
      </c>
      <c r="C2407" s="6">
        <v>2399720</v>
      </c>
      <c r="D2407" s="6">
        <v>2222256.9575</v>
      </c>
      <c r="E2407" s="6">
        <v>2202791.5920000002</v>
      </c>
      <c r="F2407" s="6">
        <v>1940568.9040000001</v>
      </c>
      <c r="G2407" s="7" t="s">
        <v>24</v>
      </c>
      <c r="H2407" s="1">
        <f t="shared" si="37"/>
        <v>0.92604843794276004</v>
      </c>
    </row>
    <row r="2408" spans="1:8" x14ac:dyDescent="0.25">
      <c r="A2408" s="1" t="s">
        <v>7</v>
      </c>
      <c r="B2408" s="1" t="s">
        <v>10</v>
      </c>
      <c r="C2408" s="6">
        <v>79712</v>
      </c>
      <c r="D2408" s="6">
        <v>16495.73</v>
      </c>
      <c r="E2408" s="6">
        <v>16495.73</v>
      </c>
      <c r="F2408" s="6">
        <v>16495.73</v>
      </c>
      <c r="G2408" s="7" t="s">
        <v>24</v>
      </c>
      <c r="H2408" s="1">
        <f t="shared" si="37"/>
        <v>0.20694161481332798</v>
      </c>
    </row>
    <row r="2409" spans="1:8" x14ac:dyDescent="0.25">
      <c r="A2409" s="1" t="s">
        <v>7</v>
      </c>
      <c r="B2409" s="1" t="s">
        <v>10</v>
      </c>
      <c r="C2409" s="6">
        <v>65750</v>
      </c>
      <c r="D2409" s="6">
        <v>22400.247500000001</v>
      </c>
      <c r="E2409" s="6">
        <v>16418.13</v>
      </c>
      <c r="F2409" s="6">
        <v>16293.13</v>
      </c>
      <c r="G2409" s="7" t="s">
        <v>24</v>
      </c>
      <c r="H2409" s="1">
        <f t="shared" si="37"/>
        <v>0.34068817490494296</v>
      </c>
    </row>
    <row r="2410" spans="1:8" x14ac:dyDescent="0.25">
      <c r="A2410" s="1" t="s">
        <v>7</v>
      </c>
      <c r="B2410" s="1" t="s">
        <v>10</v>
      </c>
      <c r="C2410" s="6">
        <v>25000</v>
      </c>
      <c r="D2410" s="6">
        <v>8160</v>
      </c>
      <c r="E2410" s="6">
        <v>8160</v>
      </c>
      <c r="F2410" s="6">
        <v>8160</v>
      </c>
      <c r="G2410" s="7" t="s">
        <v>24</v>
      </c>
      <c r="H2410" s="1">
        <f t="shared" si="37"/>
        <v>0.32640000000000002</v>
      </c>
    </row>
    <row r="2411" spans="1:8" x14ac:dyDescent="0.25">
      <c r="A2411" s="1" t="s">
        <v>7</v>
      </c>
      <c r="B2411" s="1" t="s">
        <v>10</v>
      </c>
      <c r="C2411" s="6">
        <v>100000</v>
      </c>
      <c r="D2411" s="6">
        <v>28820</v>
      </c>
      <c r="E2411" s="6">
        <v>24890</v>
      </c>
      <c r="F2411" s="6">
        <v>24890</v>
      </c>
      <c r="G2411" s="7" t="s">
        <v>24</v>
      </c>
      <c r="H2411" s="1">
        <f t="shared" si="37"/>
        <v>0.28820000000000001</v>
      </c>
    </row>
    <row r="2412" spans="1:8" x14ac:dyDescent="0.25">
      <c r="A2412" s="1" t="s">
        <v>7</v>
      </c>
      <c r="B2412" s="1" t="s">
        <v>11</v>
      </c>
      <c r="C2412" s="6">
        <v>5000</v>
      </c>
      <c r="D2412" s="6">
        <v>0</v>
      </c>
      <c r="E2412" s="6">
        <v>0</v>
      </c>
      <c r="F2412" s="6">
        <v>0</v>
      </c>
      <c r="G2412" s="7" t="s">
        <v>24</v>
      </c>
      <c r="H2412" s="1">
        <f t="shared" si="37"/>
        <v>0</v>
      </c>
    </row>
    <row r="2413" spans="1:8" x14ac:dyDescent="0.25">
      <c r="A2413" s="1" t="s">
        <v>7</v>
      </c>
      <c r="B2413" s="1" t="s">
        <v>11</v>
      </c>
      <c r="C2413" s="6">
        <v>7526935</v>
      </c>
      <c r="D2413" s="6">
        <v>8318062.3499999996</v>
      </c>
      <c r="E2413" s="6">
        <v>6745751.6299999999</v>
      </c>
      <c r="F2413" s="6">
        <v>6409726.7000000002</v>
      </c>
      <c r="G2413" s="7" t="s">
        <v>24</v>
      </c>
      <c r="H2413" s="1">
        <f t="shared" si="37"/>
        <v>1.1051061753555729</v>
      </c>
    </row>
    <row r="2414" spans="1:8" x14ac:dyDescent="0.25">
      <c r="A2414" s="1" t="s">
        <v>7</v>
      </c>
      <c r="B2414" s="1" t="s">
        <v>11</v>
      </c>
      <c r="C2414" s="6">
        <v>7143190</v>
      </c>
      <c r="D2414" s="6">
        <v>7889867.5800000001</v>
      </c>
      <c r="E2414" s="6">
        <v>6564256.9299999997</v>
      </c>
      <c r="F2414" s="6">
        <v>6347784.3600000003</v>
      </c>
      <c r="G2414" s="7" t="s">
        <v>24</v>
      </c>
      <c r="H2414" s="1">
        <f t="shared" si="37"/>
        <v>1.1045299901024612</v>
      </c>
    </row>
    <row r="2415" spans="1:8" x14ac:dyDescent="0.25">
      <c r="A2415" s="1" t="s">
        <v>7</v>
      </c>
      <c r="B2415" s="1" t="s">
        <v>11</v>
      </c>
      <c r="C2415" s="6">
        <v>10927520</v>
      </c>
      <c r="D2415" s="6">
        <v>10300564.130000001</v>
      </c>
      <c r="E2415" s="6">
        <v>8799790.0800000001</v>
      </c>
      <c r="F2415" s="6">
        <v>8151044.2000000002</v>
      </c>
      <c r="G2415" s="7" t="s">
        <v>24</v>
      </c>
      <c r="H2415" s="1">
        <f t="shared" si="37"/>
        <v>0.94262596911284546</v>
      </c>
    </row>
    <row r="2416" spans="1:8" x14ac:dyDescent="0.25">
      <c r="A2416" s="1" t="s">
        <v>7</v>
      </c>
      <c r="B2416" s="1" t="s">
        <v>11</v>
      </c>
      <c r="C2416" s="6">
        <v>1125996</v>
      </c>
      <c r="D2416" s="6">
        <v>1083207.6599999999</v>
      </c>
      <c r="E2416" s="6">
        <v>764191.63</v>
      </c>
      <c r="F2416" s="6">
        <v>702280.35</v>
      </c>
      <c r="G2416" s="7" t="s">
        <v>24</v>
      </c>
      <c r="H2416" s="1">
        <f t="shared" si="37"/>
        <v>0.96199956305350987</v>
      </c>
    </row>
    <row r="2417" spans="1:8" x14ac:dyDescent="0.25">
      <c r="A2417" s="1" t="s">
        <v>7</v>
      </c>
      <c r="B2417" s="1" t="s">
        <v>11</v>
      </c>
      <c r="C2417" s="6">
        <v>8661048</v>
      </c>
      <c r="D2417" s="6">
        <v>10022860.16</v>
      </c>
      <c r="E2417" s="6">
        <v>7496792.2999999998</v>
      </c>
      <c r="F2417" s="6">
        <v>7312300.0800000001</v>
      </c>
      <c r="G2417" s="7" t="s">
        <v>24</v>
      </c>
      <c r="H2417" s="1">
        <f t="shared" si="37"/>
        <v>1.1572341083896545</v>
      </c>
    </row>
    <row r="2418" spans="1:8" x14ac:dyDescent="0.25">
      <c r="A2418" s="1" t="s">
        <v>7</v>
      </c>
      <c r="B2418" s="1" t="s">
        <v>11</v>
      </c>
      <c r="C2418" s="6">
        <v>3443253</v>
      </c>
      <c r="D2418" s="6">
        <v>3224984.82</v>
      </c>
      <c r="E2418" s="6">
        <v>2718743.26</v>
      </c>
      <c r="F2418" s="6">
        <v>2640886.5099999998</v>
      </c>
      <c r="G2418" s="7" t="s">
        <v>24</v>
      </c>
      <c r="H2418" s="1">
        <f t="shared" si="37"/>
        <v>0.93660989186678989</v>
      </c>
    </row>
    <row r="2419" spans="1:8" x14ac:dyDescent="0.25">
      <c r="A2419" s="1" t="s">
        <v>7</v>
      </c>
      <c r="B2419" s="1" t="s">
        <v>11</v>
      </c>
      <c r="C2419" s="6">
        <v>34000</v>
      </c>
      <c r="D2419" s="6">
        <v>28937.4</v>
      </c>
      <c r="E2419" s="6">
        <v>26313.730500000001</v>
      </c>
      <c r="F2419" s="6">
        <v>26313.730500000001</v>
      </c>
      <c r="G2419" s="7" t="s">
        <v>24</v>
      </c>
      <c r="H2419" s="1">
        <f t="shared" si="37"/>
        <v>0.85110000000000008</v>
      </c>
    </row>
    <row r="2420" spans="1:8" x14ac:dyDescent="0.25">
      <c r="A2420" s="1" t="s">
        <v>7</v>
      </c>
      <c r="B2420" s="1" t="s">
        <v>11</v>
      </c>
      <c r="C2420" s="6">
        <v>500</v>
      </c>
      <c r="D2420" s="6">
        <v>0</v>
      </c>
      <c r="E2420" s="6">
        <v>0</v>
      </c>
      <c r="F2420" s="6">
        <v>0</v>
      </c>
      <c r="G2420" s="7" t="s">
        <v>24</v>
      </c>
      <c r="H2420" s="1">
        <f t="shared" si="37"/>
        <v>0</v>
      </c>
    </row>
    <row r="2421" spans="1:8" x14ac:dyDescent="0.25">
      <c r="A2421" s="1" t="s">
        <v>7</v>
      </c>
      <c r="B2421" s="1" t="s">
        <v>11</v>
      </c>
      <c r="C2421" s="6">
        <v>850</v>
      </c>
      <c r="D2421" s="6">
        <v>0</v>
      </c>
      <c r="E2421" s="6">
        <v>0</v>
      </c>
      <c r="F2421" s="6">
        <v>0</v>
      </c>
      <c r="G2421" s="7" t="s">
        <v>24</v>
      </c>
      <c r="H2421" s="1">
        <f t="shared" si="37"/>
        <v>0</v>
      </c>
    </row>
    <row r="2422" spans="1:8" x14ac:dyDescent="0.25">
      <c r="A2422" s="1" t="s">
        <v>7</v>
      </c>
      <c r="B2422" s="1" t="s">
        <v>11</v>
      </c>
      <c r="C2422" s="6">
        <v>72500</v>
      </c>
      <c r="D2422" s="6">
        <v>55641.1</v>
      </c>
      <c r="E2422" s="6">
        <v>46151.6</v>
      </c>
      <c r="F2422" s="6">
        <v>46151.6</v>
      </c>
      <c r="G2422" s="7" t="s">
        <v>24</v>
      </c>
      <c r="H2422" s="1">
        <f t="shared" si="37"/>
        <v>0.7674634482758621</v>
      </c>
    </row>
    <row r="2423" spans="1:8" x14ac:dyDescent="0.25">
      <c r="A2423" s="1" t="s">
        <v>7</v>
      </c>
      <c r="B2423" s="1" t="s">
        <v>11</v>
      </c>
      <c r="C2423" s="6">
        <v>99086850</v>
      </c>
      <c r="D2423" s="6">
        <v>82344006.599999994</v>
      </c>
      <c r="E2423" s="6">
        <v>78575563.310000002</v>
      </c>
      <c r="F2423" s="6">
        <v>71185496.650000006</v>
      </c>
      <c r="G2423" s="7" t="s">
        <v>24</v>
      </c>
      <c r="H2423" s="1">
        <f t="shared" si="37"/>
        <v>0.83102860369463749</v>
      </c>
    </row>
    <row r="2424" spans="1:8" x14ac:dyDescent="0.25">
      <c r="A2424" s="1" t="s">
        <v>7</v>
      </c>
      <c r="B2424" s="1" t="s">
        <v>11</v>
      </c>
      <c r="C2424" s="6">
        <v>69000</v>
      </c>
      <c r="D2424" s="6">
        <v>512</v>
      </c>
      <c r="E2424" s="6">
        <v>512</v>
      </c>
      <c r="F2424" s="6">
        <v>512</v>
      </c>
      <c r="G2424" s="7" t="s">
        <v>24</v>
      </c>
      <c r="H2424" s="1">
        <f t="shared" si="37"/>
        <v>7.4202898550724634E-3</v>
      </c>
    </row>
    <row r="2425" spans="1:8" x14ac:dyDescent="0.25">
      <c r="A2425" s="1" t="s">
        <v>7</v>
      </c>
      <c r="B2425" s="1" t="s">
        <v>11</v>
      </c>
      <c r="C2425" s="6">
        <v>28000</v>
      </c>
      <c r="D2425" s="6">
        <v>320</v>
      </c>
      <c r="E2425" s="6">
        <v>320</v>
      </c>
      <c r="F2425" s="6">
        <v>320</v>
      </c>
      <c r="G2425" s="7" t="s">
        <v>24</v>
      </c>
      <c r="H2425" s="1">
        <f t="shared" si="37"/>
        <v>1.1428571428571429E-2</v>
      </c>
    </row>
    <row r="2426" spans="1:8" x14ac:dyDescent="0.25">
      <c r="A2426" s="1" t="s">
        <v>7</v>
      </c>
      <c r="B2426" s="1" t="s">
        <v>11</v>
      </c>
      <c r="C2426" s="6">
        <v>8000</v>
      </c>
      <c r="D2426" s="6">
        <v>247002.59</v>
      </c>
      <c r="E2426" s="6">
        <v>247002.59</v>
      </c>
      <c r="F2426" s="6">
        <v>247002.59</v>
      </c>
      <c r="G2426" s="7" t="s">
        <v>24</v>
      </c>
      <c r="H2426" s="1">
        <f t="shared" si="37"/>
        <v>30.87532375</v>
      </c>
    </row>
    <row r="2427" spans="1:8" x14ac:dyDescent="0.25">
      <c r="A2427" s="1" t="s">
        <v>7</v>
      </c>
      <c r="B2427" s="1" t="s">
        <v>11</v>
      </c>
      <c r="C2427" s="6">
        <v>2000000</v>
      </c>
      <c r="D2427" s="6">
        <v>783562.5</v>
      </c>
      <c r="E2427" s="6">
        <v>617895</v>
      </c>
      <c r="F2427" s="6">
        <v>513909.54</v>
      </c>
      <c r="G2427" s="7" t="s">
        <v>24</v>
      </c>
      <c r="H2427" s="1">
        <f t="shared" si="37"/>
        <v>0.39178125000000003</v>
      </c>
    </row>
    <row r="2428" spans="1:8" x14ac:dyDescent="0.25">
      <c r="A2428" s="1" t="s">
        <v>7</v>
      </c>
      <c r="B2428" s="1" t="s">
        <v>11</v>
      </c>
      <c r="C2428" s="6">
        <v>1120883</v>
      </c>
      <c r="D2428" s="6">
        <v>687111.34</v>
      </c>
      <c r="E2428" s="6">
        <v>635877.67000000004</v>
      </c>
      <c r="F2428" s="6">
        <v>635877.67000000004</v>
      </c>
      <c r="G2428" s="7" t="s">
        <v>24</v>
      </c>
      <c r="H2428" s="1">
        <f t="shared" si="37"/>
        <v>0.61300897595913217</v>
      </c>
    </row>
    <row r="2429" spans="1:8" x14ac:dyDescent="0.25">
      <c r="A2429" s="1" t="s">
        <v>7</v>
      </c>
      <c r="B2429" s="1" t="s">
        <v>11</v>
      </c>
      <c r="C2429" s="6">
        <v>14219100</v>
      </c>
      <c r="D2429" s="6">
        <v>14734759.869999999</v>
      </c>
      <c r="E2429" s="6">
        <v>14648616.140000001</v>
      </c>
      <c r="F2429" s="6">
        <v>13291960.66</v>
      </c>
      <c r="G2429" s="7" t="s">
        <v>24</v>
      </c>
      <c r="H2429" s="1">
        <f t="shared" si="37"/>
        <v>1.036265295975132</v>
      </c>
    </row>
    <row r="2430" spans="1:8" x14ac:dyDescent="0.25">
      <c r="A2430" s="1" t="s">
        <v>7</v>
      </c>
      <c r="B2430" s="1" t="s">
        <v>11</v>
      </c>
      <c r="C2430" s="6">
        <v>31602433</v>
      </c>
      <c r="D2430" s="6">
        <v>29118797.300000001</v>
      </c>
      <c r="E2430" s="6">
        <v>29118797.300000001</v>
      </c>
      <c r="F2430" s="6">
        <v>28313550.300000001</v>
      </c>
      <c r="G2430" s="7" t="s">
        <v>24</v>
      </c>
      <c r="H2430" s="1">
        <f t="shared" si="37"/>
        <v>0.92140998447809386</v>
      </c>
    </row>
    <row r="2431" spans="1:8" x14ac:dyDescent="0.25">
      <c r="A2431" s="1" t="s">
        <v>7</v>
      </c>
      <c r="B2431" s="1" t="s">
        <v>11</v>
      </c>
      <c r="C2431" s="6">
        <v>7481326</v>
      </c>
      <c r="D2431" s="6">
        <v>1551784.03</v>
      </c>
      <c r="E2431" s="6">
        <v>1551784.03</v>
      </c>
      <c r="F2431" s="6">
        <v>1551784.03</v>
      </c>
      <c r="G2431" s="7" t="s">
        <v>24</v>
      </c>
      <c r="H2431" s="1">
        <f t="shared" si="37"/>
        <v>0.20742098793716515</v>
      </c>
    </row>
    <row r="2432" spans="1:8" x14ac:dyDescent="0.25">
      <c r="A2432" s="1" t="s">
        <v>7</v>
      </c>
      <c r="B2432" s="1" t="s">
        <v>11</v>
      </c>
      <c r="C2432" s="6">
        <v>3388900</v>
      </c>
      <c r="D2432" s="6">
        <v>12080691.77</v>
      </c>
      <c r="E2432" s="6">
        <v>12080691.77</v>
      </c>
      <c r="F2432" s="6">
        <v>9378147.7699999996</v>
      </c>
      <c r="G2432" s="7" t="s">
        <v>24</v>
      </c>
      <c r="H2432" s="1">
        <f t="shared" si="37"/>
        <v>3.5647826049750657</v>
      </c>
    </row>
    <row r="2433" spans="1:8" x14ac:dyDescent="0.25">
      <c r="A2433" s="1" t="s">
        <v>7</v>
      </c>
      <c r="B2433" s="1" t="s">
        <v>11</v>
      </c>
      <c r="C2433" s="6">
        <v>203452461</v>
      </c>
      <c r="D2433" s="6">
        <v>253519914</v>
      </c>
      <c r="E2433" s="6">
        <v>253519914</v>
      </c>
      <c r="F2433" s="6">
        <v>205885224</v>
      </c>
      <c r="G2433" s="7" t="s">
        <v>24</v>
      </c>
      <c r="H2433" s="1">
        <f t="shared" si="37"/>
        <v>1.2460891982034072</v>
      </c>
    </row>
    <row r="2434" spans="1:8" x14ac:dyDescent="0.25">
      <c r="A2434" s="1" t="s">
        <v>7</v>
      </c>
      <c r="B2434" s="1" t="s">
        <v>11</v>
      </c>
      <c r="C2434" s="6">
        <v>540000</v>
      </c>
      <c r="D2434" s="6">
        <v>540000</v>
      </c>
      <c r="E2434" s="6">
        <v>540000</v>
      </c>
      <c r="F2434" s="6">
        <v>540000</v>
      </c>
      <c r="G2434" s="7" t="s">
        <v>24</v>
      </c>
      <c r="H2434" s="1">
        <f t="shared" ref="H2434:H2497" si="38">IF(OR(ISNA($D2434),ISNA($C2434),$C2434=0),0,$D2434/$C2434)</f>
        <v>1</v>
      </c>
    </row>
    <row r="2435" spans="1:8" x14ac:dyDescent="0.25">
      <c r="A2435" s="1" t="s">
        <v>7</v>
      </c>
      <c r="B2435" s="1" t="s">
        <v>11</v>
      </c>
      <c r="C2435" s="6">
        <v>686386416</v>
      </c>
      <c r="D2435" s="6">
        <v>699899273.40999997</v>
      </c>
      <c r="E2435" s="6">
        <v>697386818.50999999</v>
      </c>
      <c r="F2435" s="6">
        <v>617782128.38999999</v>
      </c>
      <c r="G2435" s="7" t="s">
        <v>24</v>
      </c>
      <c r="H2435" s="1">
        <f t="shared" si="38"/>
        <v>1.0196869534346962</v>
      </c>
    </row>
    <row r="2436" spans="1:8" x14ac:dyDescent="0.25">
      <c r="A2436" s="1" t="s">
        <v>7</v>
      </c>
      <c r="B2436" s="1" t="s">
        <v>11</v>
      </c>
      <c r="C2436" s="6">
        <v>6715500</v>
      </c>
      <c r="D2436" s="6">
        <v>4449184.76</v>
      </c>
      <c r="E2436" s="6">
        <v>4449184.76</v>
      </c>
      <c r="F2436" s="6">
        <v>3916785.57</v>
      </c>
      <c r="G2436" s="7" t="s">
        <v>24</v>
      </c>
      <c r="H2436" s="1">
        <f t="shared" si="38"/>
        <v>0.66252472042290222</v>
      </c>
    </row>
    <row r="2437" spans="1:8" x14ac:dyDescent="0.25">
      <c r="A2437" s="1" t="s">
        <v>7</v>
      </c>
      <c r="B2437" s="1" t="s">
        <v>11</v>
      </c>
      <c r="C2437" s="6">
        <v>2686100</v>
      </c>
      <c r="D2437" s="6">
        <v>2387600.3199999998</v>
      </c>
      <c r="E2437" s="6">
        <v>2387600.3199999998</v>
      </c>
      <c r="F2437" s="6">
        <v>2184423.17</v>
      </c>
      <c r="G2437" s="7" t="s">
        <v>24</v>
      </c>
      <c r="H2437" s="1">
        <f t="shared" si="38"/>
        <v>0.88887246193365843</v>
      </c>
    </row>
    <row r="2438" spans="1:8" x14ac:dyDescent="0.25">
      <c r="A2438" s="1" t="s">
        <v>7</v>
      </c>
      <c r="B2438" s="1" t="s">
        <v>11</v>
      </c>
      <c r="C2438" s="6">
        <v>99000</v>
      </c>
      <c r="D2438" s="6">
        <v>0</v>
      </c>
      <c r="E2438" s="6">
        <v>0</v>
      </c>
      <c r="F2438" s="6">
        <v>0</v>
      </c>
      <c r="G2438" s="7" t="s">
        <v>24</v>
      </c>
      <c r="H2438" s="1">
        <f t="shared" si="38"/>
        <v>0</v>
      </c>
    </row>
    <row r="2439" spans="1:8" x14ac:dyDescent="0.25">
      <c r="A2439" s="1" t="s">
        <v>7</v>
      </c>
      <c r="B2439" s="1" t="s">
        <v>11</v>
      </c>
      <c r="C2439" s="6">
        <v>21887237</v>
      </c>
      <c r="D2439" s="6">
        <v>12939834.6</v>
      </c>
      <c r="E2439" s="6">
        <v>7786866.6799999997</v>
      </c>
      <c r="F2439" s="6">
        <v>7786866.6799999997</v>
      </c>
      <c r="G2439" s="7" t="s">
        <v>24</v>
      </c>
      <c r="H2439" s="1">
        <f t="shared" si="38"/>
        <v>0.591204572783673</v>
      </c>
    </row>
    <row r="2440" spans="1:8" x14ac:dyDescent="0.25">
      <c r="A2440" s="1" t="s">
        <v>7</v>
      </c>
      <c r="B2440" s="1" t="s">
        <v>11</v>
      </c>
      <c r="C2440" s="6">
        <v>10210247</v>
      </c>
      <c r="D2440" s="6">
        <v>5483086.5499999998</v>
      </c>
      <c r="E2440" s="6">
        <v>4147512.58</v>
      </c>
      <c r="F2440" s="6">
        <v>4024393.55</v>
      </c>
      <c r="G2440" s="7" t="s">
        <v>24</v>
      </c>
      <c r="H2440" s="1">
        <f t="shared" si="38"/>
        <v>0.53701801239480296</v>
      </c>
    </row>
    <row r="2441" spans="1:8" x14ac:dyDescent="0.25">
      <c r="A2441" s="1" t="s">
        <v>7</v>
      </c>
      <c r="B2441" s="1" t="s">
        <v>11</v>
      </c>
      <c r="C2441" s="6">
        <v>222000</v>
      </c>
      <c r="D2441" s="6">
        <v>343196.01</v>
      </c>
      <c r="E2441" s="6">
        <v>343196.01</v>
      </c>
      <c r="F2441" s="6">
        <v>248853.01</v>
      </c>
      <c r="G2441" s="7" t="s">
        <v>24</v>
      </c>
      <c r="H2441" s="1">
        <f t="shared" si="38"/>
        <v>1.5459279729729729</v>
      </c>
    </row>
    <row r="2442" spans="1:8" x14ac:dyDescent="0.25">
      <c r="A2442" s="1" t="s">
        <v>7</v>
      </c>
      <c r="B2442" s="1" t="s">
        <v>11</v>
      </c>
      <c r="C2442" s="6">
        <v>13092000</v>
      </c>
      <c r="D2442" s="6">
        <v>11867053.630000001</v>
      </c>
      <c r="E2442" s="6">
        <v>10843022.23</v>
      </c>
      <c r="F2442" s="6">
        <v>10624189.35</v>
      </c>
      <c r="G2442" s="7" t="s">
        <v>24</v>
      </c>
      <c r="H2442" s="1">
        <f t="shared" si="38"/>
        <v>0.90643550488848157</v>
      </c>
    </row>
    <row r="2443" spans="1:8" x14ac:dyDescent="0.25">
      <c r="A2443" s="1" t="s">
        <v>7</v>
      </c>
      <c r="B2443" s="1" t="s">
        <v>11</v>
      </c>
      <c r="C2443" s="6">
        <v>15104326</v>
      </c>
      <c r="D2443" s="6">
        <v>14467262.199999999</v>
      </c>
      <c r="E2443" s="6">
        <v>13256067.050000001</v>
      </c>
      <c r="F2443" s="6">
        <v>13256067.050000001</v>
      </c>
      <c r="G2443" s="7" t="s">
        <v>24</v>
      </c>
      <c r="H2443" s="1">
        <f t="shared" si="38"/>
        <v>0.95782242782630611</v>
      </c>
    </row>
    <row r="2444" spans="1:8" x14ac:dyDescent="0.25">
      <c r="A2444" s="1" t="s">
        <v>7</v>
      </c>
      <c r="B2444" s="1" t="s">
        <v>11</v>
      </c>
      <c r="C2444" s="6">
        <v>8081088</v>
      </c>
      <c r="D2444" s="6">
        <v>872680.71</v>
      </c>
      <c r="E2444" s="6">
        <v>254300</v>
      </c>
      <c r="F2444" s="6">
        <v>0</v>
      </c>
      <c r="G2444" s="7" t="s">
        <v>24</v>
      </c>
      <c r="H2444" s="1">
        <f t="shared" si="38"/>
        <v>0.10799049707168143</v>
      </c>
    </row>
    <row r="2445" spans="1:8" x14ac:dyDescent="0.25">
      <c r="A2445" s="1" t="s">
        <v>7</v>
      </c>
      <c r="B2445" s="1" t="s">
        <v>11</v>
      </c>
      <c r="C2445" s="6">
        <v>12103259</v>
      </c>
      <c r="D2445" s="6">
        <v>25587442</v>
      </c>
      <c r="E2445" s="6">
        <v>25587442</v>
      </c>
      <c r="F2445" s="6">
        <v>25281577</v>
      </c>
      <c r="G2445" s="7" t="s">
        <v>24</v>
      </c>
      <c r="H2445" s="1">
        <f t="shared" si="38"/>
        <v>2.1140952201386418</v>
      </c>
    </row>
    <row r="2446" spans="1:8" x14ac:dyDescent="0.25">
      <c r="A2446" s="1" t="s">
        <v>7</v>
      </c>
      <c r="B2446" s="1" t="s">
        <v>11</v>
      </c>
      <c r="C2446" s="6">
        <v>6000</v>
      </c>
      <c r="D2446" s="6">
        <v>0</v>
      </c>
      <c r="E2446" s="6">
        <v>0</v>
      </c>
      <c r="F2446" s="6">
        <v>0</v>
      </c>
      <c r="G2446" s="7" t="s">
        <v>24</v>
      </c>
      <c r="H2446" s="1">
        <f t="shared" si="38"/>
        <v>0</v>
      </c>
    </row>
    <row r="2447" spans="1:8" x14ac:dyDescent="0.25">
      <c r="A2447" s="1" t="s">
        <v>7</v>
      </c>
      <c r="B2447" s="1" t="s">
        <v>11</v>
      </c>
      <c r="C2447" s="6">
        <v>6202288</v>
      </c>
      <c r="D2447" s="6">
        <v>5082997.24</v>
      </c>
      <c r="E2447" s="6">
        <v>5082997.24</v>
      </c>
      <c r="F2447" s="6">
        <v>5082997.24</v>
      </c>
      <c r="G2447" s="7" t="s">
        <v>24</v>
      </c>
      <c r="H2447" s="1">
        <f t="shared" si="38"/>
        <v>0.81953582935845615</v>
      </c>
    </row>
    <row r="2448" spans="1:8" x14ac:dyDescent="0.25">
      <c r="A2448" s="1" t="s">
        <v>7</v>
      </c>
      <c r="B2448" s="1" t="s">
        <v>11</v>
      </c>
      <c r="C2448" s="6">
        <v>4959000</v>
      </c>
      <c r="D2448" s="6">
        <v>9863639</v>
      </c>
      <c r="E2448" s="6">
        <v>9863639</v>
      </c>
      <c r="F2448" s="6">
        <v>9863639</v>
      </c>
      <c r="G2448" s="7" t="s">
        <v>24</v>
      </c>
      <c r="H2448" s="1">
        <f t="shared" si="38"/>
        <v>1.9890379108691267</v>
      </c>
    </row>
    <row r="2449" spans="1:8" x14ac:dyDescent="0.25">
      <c r="A2449" s="1" t="s">
        <v>7</v>
      </c>
      <c r="B2449" s="1" t="s">
        <v>11</v>
      </c>
      <c r="C2449" s="6">
        <v>815259</v>
      </c>
      <c r="D2449" s="6">
        <v>1729650</v>
      </c>
      <c r="E2449" s="6">
        <v>1729650</v>
      </c>
      <c r="F2449" s="6">
        <v>886250</v>
      </c>
      <c r="G2449" s="7" t="s">
        <v>24</v>
      </c>
      <c r="H2449" s="1">
        <f t="shared" si="38"/>
        <v>2.1215957137547701</v>
      </c>
    </row>
    <row r="2450" spans="1:8" x14ac:dyDescent="0.25">
      <c r="A2450" s="1" t="s">
        <v>7</v>
      </c>
      <c r="B2450" s="1" t="s">
        <v>11</v>
      </c>
      <c r="C2450" s="6">
        <v>15000000</v>
      </c>
      <c r="D2450" s="6">
        <v>9762505.4800000004</v>
      </c>
      <c r="E2450" s="6">
        <v>9762505.4800000004</v>
      </c>
      <c r="F2450" s="6">
        <v>9762505.4800000004</v>
      </c>
      <c r="G2450" s="7" t="s">
        <v>24</v>
      </c>
      <c r="H2450" s="1">
        <f t="shared" si="38"/>
        <v>0.65083369866666674</v>
      </c>
    </row>
    <row r="2451" spans="1:8" x14ac:dyDescent="0.25">
      <c r="A2451" s="1" t="s">
        <v>7</v>
      </c>
      <c r="B2451" s="1" t="s">
        <v>11</v>
      </c>
      <c r="C2451" s="6">
        <v>2755000</v>
      </c>
      <c r="D2451" s="6">
        <v>2796928.08</v>
      </c>
      <c r="E2451" s="6">
        <v>2563850.7400000002</v>
      </c>
      <c r="F2451" s="6">
        <v>2563850.7400000002</v>
      </c>
      <c r="G2451" s="7" t="s">
        <v>24</v>
      </c>
      <c r="H2451" s="1">
        <f t="shared" si="38"/>
        <v>1.0152189038112522</v>
      </c>
    </row>
    <row r="2452" spans="1:8" x14ac:dyDescent="0.25">
      <c r="A2452" s="1" t="s">
        <v>7</v>
      </c>
      <c r="B2452" s="1" t="s">
        <v>11</v>
      </c>
      <c r="C2452" s="6">
        <v>3800000</v>
      </c>
      <c r="D2452" s="6">
        <v>3364774.2</v>
      </c>
      <c r="E2452" s="6">
        <v>3058120.5</v>
      </c>
      <c r="F2452" s="6">
        <v>3058120.5</v>
      </c>
      <c r="G2452" s="7" t="s">
        <v>24</v>
      </c>
      <c r="H2452" s="1">
        <f t="shared" si="38"/>
        <v>0.88546689473684215</v>
      </c>
    </row>
    <row r="2453" spans="1:8" x14ac:dyDescent="0.25">
      <c r="A2453" s="1" t="s">
        <v>7</v>
      </c>
      <c r="B2453" s="1" t="s">
        <v>11</v>
      </c>
      <c r="C2453" s="6">
        <v>93000</v>
      </c>
      <c r="D2453" s="6">
        <v>1512</v>
      </c>
      <c r="E2453" s="6">
        <v>1512</v>
      </c>
      <c r="F2453" s="6">
        <v>1512</v>
      </c>
      <c r="G2453" s="7" t="s">
        <v>24</v>
      </c>
      <c r="H2453" s="1">
        <f t="shared" si="38"/>
        <v>1.6258064516129031E-2</v>
      </c>
    </row>
    <row r="2454" spans="1:8" x14ac:dyDescent="0.25">
      <c r="A2454" s="1" t="s">
        <v>7</v>
      </c>
      <c r="B2454" s="1" t="s">
        <v>11</v>
      </c>
      <c r="C2454" s="6">
        <v>8000</v>
      </c>
      <c r="D2454" s="6">
        <v>6564</v>
      </c>
      <c r="E2454" s="6">
        <v>6564</v>
      </c>
      <c r="F2454" s="6">
        <v>6327</v>
      </c>
      <c r="G2454" s="7" t="s">
        <v>24</v>
      </c>
      <c r="H2454" s="1">
        <f t="shared" si="38"/>
        <v>0.82050000000000001</v>
      </c>
    </row>
    <row r="2455" spans="1:8" x14ac:dyDescent="0.25">
      <c r="A2455" s="1" t="s">
        <v>7</v>
      </c>
      <c r="B2455" s="1" t="s">
        <v>11</v>
      </c>
      <c r="C2455" s="6">
        <v>42000</v>
      </c>
      <c r="D2455" s="6">
        <v>0</v>
      </c>
      <c r="E2455" s="6">
        <v>0</v>
      </c>
      <c r="F2455" s="6">
        <v>0</v>
      </c>
      <c r="G2455" s="7" t="s">
        <v>24</v>
      </c>
      <c r="H2455" s="1">
        <f t="shared" si="38"/>
        <v>0</v>
      </c>
    </row>
    <row r="2456" spans="1:8" x14ac:dyDescent="0.25">
      <c r="A2456" s="1" t="s">
        <v>7</v>
      </c>
      <c r="B2456" s="1" t="s">
        <v>11</v>
      </c>
      <c r="C2456" s="6">
        <v>20000</v>
      </c>
      <c r="D2456" s="6">
        <v>0</v>
      </c>
      <c r="E2456" s="6">
        <v>0</v>
      </c>
      <c r="F2456" s="6">
        <v>0</v>
      </c>
      <c r="G2456" s="7" t="s">
        <v>24</v>
      </c>
      <c r="H2456" s="1">
        <f t="shared" si="38"/>
        <v>0</v>
      </c>
    </row>
    <row r="2457" spans="1:8" x14ac:dyDescent="0.25">
      <c r="A2457" s="1" t="s">
        <v>7</v>
      </c>
      <c r="B2457" s="1" t="s">
        <v>11</v>
      </c>
      <c r="C2457" s="6">
        <v>10000</v>
      </c>
      <c r="D2457" s="6">
        <v>0</v>
      </c>
      <c r="E2457" s="6">
        <v>0</v>
      </c>
      <c r="F2457" s="6">
        <v>0</v>
      </c>
      <c r="G2457" s="7" t="s">
        <v>24</v>
      </c>
      <c r="H2457" s="1">
        <f t="shared" si="38"/>
        <v>0</v>
      </c>
    </row>
    <row r="2458" spans="1:8" x14ac:dyDescent="0.25">
      <c r="A2458" s="1" t="s">
        <v>7</v>
      </c>
      <c r="B2458" s="1" t="s">
        <v>11</v>
      </c>
      <c r="C2458" s="6">
        <v>3000</v>
      </c>
      <c r="D2458" s="6">
        <v>0</v>
      </c>
      <c r="E2458" s="6">
        <v>0</v>
      </c>
      <c r="F2458" s="6">
        <v>0</v>
      </c>
      <c r="G2458" s="7" t="s">
        <v>24</v>
      </c>
      <c r="H2458" s="1">
        <f t="shared" si="38"/>
        <v>0</v>
      </c>
    </row>
    <row r="2459" spans="1:8" x14ac:dyDescent="0.25">
      <c r="A2459" s="1" t="s">
        <v>7</v>
      </c>
      <c r="B2459" s="1" t="s">
        <v>11</v>
      </c>
      <c r="C2459" s="6">
        <v>5000</v>
      </c>
      <c r="D2459" s="6">
        <v>0</v>
      </c>
      <c r="E2459" s="6">
        <v>0</v>
      </c>
      <c r="F2459" s="6">
        <v>0</v>
      </c>
      <c r="G2459" s="7" t="s">
        <v>24</v>
      </c>
      <c r="H2459" s="1">
        <f t="shared" si="38"/>
        <v>0</v>
      </c>
    </row>
    <row r="2460" spans="1:8" x14ac:dyDescent="0.25">
      <c r="A2460" s="1" t="s">
        <v>7</v>
      </c>
      <c r="B2460" s="1" t="s">
        <v>11</v>
      </c>
      <c r="C2460" s="6">
        <v>100000</v>
      </c>
      <c r="D2460" s="6">
        <v>0</v>
      </c>
      <c r="E2460" s="6">
        <v>0</v>
      </c>
      <c r="F2460" s="6">
        <v>0</v>
      </c>
      <c r="G2460" s="7" t="s">
        <v>24</v>
      </c>
      <c r="H2460" s="1">
        <f t="shared" si="38"/>
        <v>0</v>
      </c>
    </row>
    <row r="2461" spans="1:8" x14ac:dyDescent="0.25">
      <c r="A2461" s="1" t="s">
        <v>7</v>
      </c>
      <c r="B2461" s="1" t="s">
        <v>11</v>
      </c>
      <c r="C2461" s="6">
        <v>6161351</v>
      </c>
      <c r="D2461" s="6">
        <v>4538039.3099999996</v>
      </c>
      <c r="E2461" s="6">
        <v>3312621.5</v>
      </c>
      <c r="F2461" s="6">
        <v>3226900.35</v>
      </c>
      <c r="G2461" s="7" t="s">
        <v>24</v>
      </c>
      <c r="H2461" s="1">
        <f t="shared" si="38"/>
        <v>0.73653315806874164</v>
      </c>
    </row>
    <row r="2462" spans="1:8" x14ac:dyDescent="0.25">
      <c r="A2462" s="1" t="s">
        <v>7</v>
      </c>
      <c r="B2462" s="1" t="s">
        <v>11</v>
      </c>
      <c r="C2462" s="6">
        <v>8000</v>
      </c>
      <c r="D2462" s="6">
        <v>0</v>
      </c>
      <c r="E2462" s="6">
        <v>0</v>
      </c>
      <c r="F2462" s="6">
        <v>0</v>
      </c>
      <c r="G2462" s="7" t="s">
        <v>24</v>
      </c>
      <c r="H2462" s="1">
        <f t="shared" si="38"/>
        <v>0</v>
      </c>
    </row>
    <row r="2463" spans="1:8" x14ac:dyDescent="0.25">
      <c r="A2463" s="1" t="s">
        <v>7</v>
      </c>
      <c r="B2463" s="1" t="s">
        <v>11</v>
      </c>
      <c r="C2463" s="6">
        <v>8000</v>
      </c>
      <c r="D2463" s="6">
        <v>0</v>
      </c>
      <c r="E2463" s="6">
        <v>0</v>
      </c>
      <c r="F2463" s="6">
        <v>0</v>
      </c>
      <c r="G2463" s="7" t="s">
        <v>24</v>
      </c>
      <c r="H2463" s="1">
        <f t="shared" si="38"/>
        <v>0</v>
      </c>
    </row>
    <row r="2464" spans="1:8" x14ac:dyDescent="0.25">
      <c r="A2464" s="1" t="s">
        <v>7</v>
      </c>
      <c r="B2464" s="1" t="s">
        <v>11</v>
      </c>
      <c r="C2464" s="6">
        <v>17000</v>
      </c>
      <c r="D2464" s="6">
        <v>0</v>
      </c>
      <c r="E2464" s="6">
        <v>0</v>
      </c>
      <c r="F2464" s="6">
        <v>0</v>
      </c>
      <c r="G2464" s="7" t="s">
        <v>24</v>
      </c>
      <c r="H2464" s="1">
        <f t="shared" si="38"/>
        <v>0</v>
      </c>
    </row>
    <row r="2465" spans="1:8" x14ac:dyDescent="0.25">
      <c r="A2465" s="1" t="s">
        <v>7</v>
      </c>
      <c r="B2465" s="1" t="s">
        <v>11</v>
      </c>
      <c r="C2465" s="6">
        <v>1000</v>
      </c>
      <c r="D2465" s="6">
        <v>0</v>
      </c>
      <c r="E2465" s="6">
        <v>0</v>
      </c>
      <c r="F2465" s="6">
        <v>0</v>
      </c>
      <c r="G2465" s="7" t="s">
        <v>24</v>
      </c>
      <c r="H2465" s="1">
        <f t="shared" si="38"/>
        <v>0</v>
      </c>
    </row>
    <row r="2466" spans="1:8" x14ac:dyDescent="0.25">
      <c r="A2466" s="1" t="s">
        <v>7</v>
      </c>
      <c r="B2466" s="1" t="s">
        <v>11</v>
      </c>
      <c r="C2466" s="6">
        <v>5000</v>
      </c>
      <c r="D2466" s="6">
        <v>0</v>
      </c>
      <c r="E2466" s="6">
        <v>0</v>
      </c>
      <c r="F2466" s="6">
        <v>0</v>
      </c>
      <c r="G2466" s="7" t="s">
        <v>24</v>
      </c>
      <c r="H2466" s="1">
        <f t="shared" si="38"/>
        <v>0</v>
      </c>
    </row>
    <row r="2467" spans="1:8" x14ac:dyDescent="0.25">
      <c r="A2467" s="1" t="s">
        <v>7</v>
      </c>
      <c r="B2467" s="1" t="s">
        <v>11</v>
      </c>
      <c r="C2467" s="6">
        <v>1420001</v>
      </c>
      <c r="D2467" s="6">
        <v>0</v>
      </c>
      <c r="E2467" s="6">
        <v>0</v>
      </c>
      <c r="F2467" s="6">
        <v>0</v>
      </c>
      <c r="G2467" s="7" t="s">
        <v>24</v>
      </c>
      <c r="H2467" s="1">
        <f t="shared" si="38"/>
        <v>0</v>
      </c>
    </row>
    <row r="2468" spans="1:8" x14ac:dyDescent="0.25">
      <c r="A2468" s="1" t="s">
        <v>7</v>
      </c>
      <c r="B2468" s="1" t="s">
        <v>11</v>
      </c>
      <c r="C2468" s="6">
        <v>2134000</v>
      </c>
      <c r="D2468" s="6">
        <v>0</v>
      </c>
      <c r="E2468" s="6">
        <v>0</v>
      </c>
      <c r="F2468" s="6">
        <v>0</v>
      </c>
      <c r="G2468" s="7" t="s">
        <v>24</v>
      </c>
      <c r="H2468" s="1">
        <f t="shared" si="38"/>
        <v>0</v>
      </c>
    </row>
    <row r="2469" spans="1:8" x14ac:dyDescent="0.25">
      <c r="A2469" s="1" t="s">
        <v>7</v>
      </c>
      <c r="B2469" s="1" t="s">
        <v>11</v>
      </c>
      <c r="C2469" s="6">
        <v>69000</v>
      </c>
      <c r="D2469" s="6">
        <v>74443.73</v>
      </c>
      <c r="E2469" s="6">
        <v>0</v>
      </c>
      <c r="F2469" s="6">
        <v>0</v>
      </c>
      <c r="G2469" s="7" t="s">
        <v>24</v>
      </c>
      <c r="H2469" s="1">
        <f t="shared" si="38"/>
        <v>1.0788946376811595</v>
      </c>
    </row>
    <row r="2470" spans="1:8" x14ac:dyDescent="0.25">
      <c r="A2470" s="1" t="s">
        <v>7</v>
      </c>
      <c r="B2470" s="1" t="s">
        <v>11</v>
      </c>
      <c r="C2470" s="6">
        <v>11562915</v>
      </c>
      <c r="D2470" s="6">
        <v>27576870.800000001</v>
      </c>
      <c r="E2470" s="6">
        <v>27539026.800000001</v>
      </c>
      <c r="F2470" s="6">
        <v>26407173.800000001</v>
      </c>
      <c r="G2470" s="7" t="s">
        <v>24</v>
      </c>
      <c r="H2470" s="1">
        <f t="shared" si="38"/>
        <v>2.3849410637369557</v>
      </c>
    </row>
    <row r="2471" spans="1:8" x14ac:dyDescent="0.25">
      <c r="A2471" s="1" t="s">
        <v>7</v>
      </c>
      <c r="B2471" s="1" t="s">
        <v>11</v>
      </c>
      <c r="C2471" s="6">
        <v>3949326</v>
      </c>
      <c r="D2471" s="6">
        <v>1693787.73</v>
      </c>
      <c r="E2471" s="6">
        <v>1693787.73</v>
      </c>
      <c r="F2471" s="6">
        <v>1693787.73</v>
      </c>
      <c r="G2471" s="7" t="s">
        <v>24</v>
      </c>
      <c r="H2471" s="1">
        <f t="shared" si="38"/>
        <v>0.42888020133055615</v>
      </c>
    </row>
    <row r="2472" spans="1:8" x14ac:dyDescent="0.25">
      <c r="A2472" s="1" t="s">
        <v>7</v>
      </c>
      <c r="B2472" s="1" t="s">
        <v>11</v>
      </c>
      <c r="C2472" s="6">
        <v>611100</v>
      </c>
      <c r="D2472" s="6">
        <v>1704812</v>
      </c>
      <c r="E2472" s="6">
        <v>1704812</v>
      </c>
      <c r="F2472" s="6">
        <v>1557820</v>
      </c>
      <c r="G2472" s="7" t="s">
        <v>24</v>
      </c>
      <c r="H2472" s="1">
        <f t="shared" si="38"/>
        <v>2.7897430862379315</v>
      </c>
    </row>
    <row r="2473" spans="1:8" x14ac:dyDescent="0.25">
      <c r="A2473" s="1" t="s">
        <v>7</v>
      </c>
      <c r="B2473" s="1" t="s">
        <v>11</v>
      </c>
      <c r="C2473" s="6">
        <v>7961449</v>
      </c>
      <c r="D2473" s="6">
        <v>33096359</v>
      </c>
      <c r="E2473" s="6">
        <v>33096359</v>
      </c>
      <c r="F2473" s="6">
        <v>29604604</v>
      </c>
      <c r="G2473" s="7" t="s">
        <v>24</v>
      </c>
      <c r="H2473" s="1">
        <f t="shared" si="38"/>
        <v>4.1570773109266916</v>
      </c>
    </row>
    <row r="2474" spans="1:8" x14ac:dyDescent="0.25">
      <c r="A2474" s="1" t="s">
        <v>7</v>
      </c>
      <c r="B2474" s="1" t="s">
        <v>11</v>
      </c>
      <c r="C2474" s="6">
        <v>306447200</v>
      </c>
      <c r="D2474" s="6">
        <v>271145274.51999998</v>
      </c>
      <c r="E2474" s="6">
        <v>270302965.69</v>
      </c>
      <c r="F2474" s="6">
        <v>241451997.22</v>
      </c>
      <c r="G2474" s="7" t="s">
        <v>24</v>
      </c>
      <c r="H2474" s="1">
        <f t="shared" si="38"/>
        <v>0.88480258432774062</v>
      </c>
    </row>
    <row r="2475" spans="1:8" x14ac:dyDescent="0.25">
      <c r="A2475" s="1" t="s">
        <v>7</v>
      </c>
      <c r="B2475" s="1" t="s">
        <v>11</v>
      </c>
      <c r="C2475" s="6">
        <v>10382514</v>
      </c>
      <c r="D2475" s="6">
        <v>6023321.0099999998</v>
      </c>
      <c r="E2475" s="6">
        <v>4236051.82</v>
      </c>
      <c r="F2475" s="6">
        <v>4236051.82</v>
      </c>
      <c r="G2475" s="7" t="s">
        <v>24</v>
      </c>
      <c r="H2475" s="1">
        <f t="shared" si="38"/>
        <v>0.58014089940066538</v>
      </c>
    </row>
    <row r="2476" spans="1:8" x14ac:dyDescent="0.25">
      <c r="A2476" s="1" t="s">
        <v>7</v>
      </c>
      <c r="B2476" s="1" t="s">
        <v>11</v>
      </c>
      <c r="C2476" s="6">
        <v>5714368</v>
      </c>
      <c r="D2476" s="6">
        <v>1728000.92</v>
      </c>
      <c r="E2476" s="6">
        <v>1442059.04</v>
      </c>
      <c r="F2476" s="6">
        <v>1385602.11</v>
      </c>
      <c r="G2476" s="7" t="s">
        <v>24</v>
      </c>
      <c r="H2476" s="1">
        <f t="shared" si="38"/>
        <v>0.30239580650038639</v>
      </c>
    </row>
    <row r="2477" spans="1:8" x14ac:dyDescent="0.25">
      <c r="A2477" s="1" t="s">
        <v>7</v>
      </c>
      <c r="B2477" s="1" t="s">
        <v>11</v>
      </c>
      <c r="C2477" s="6">
        <v>99713250</v>
      </c>
      <c r="D2477" s="6">
        <v>104216584</v>
      </c>
      <c r="E2477" s="6">
        <v>104138866</v>
      </c>
      <c r="F2477" s="6">
        <v>101913220</v>
      </c>
      <c r="G2477" s="7" t="s">
        <v>24</v>
      </c>
      <c r="H2477" s="1">
        <f t="shared" si="38"/>
        <v>1.0451628444564789</v>
      </c>
    </row>
    <row r="2478" spans="1:8" x14ac:dyDescent="0.25">
      <c r="A2478" s="1" t="s">
        <v>7</v>
      </c>
      <c r="B2478" s="1" t="s">
        <v>11</v>
      </c>
      <c r="C2478" s="6">
        <v>180000</v>
      </c>
      <c r="D2478" s="6">
        <v>0</v>
      </c>
      <c r="E2478" s="6">
        <v>0</v>
      </c>
      <c r="F2478" s="6">
        <v>0</v>
      </c>
      <c r="G2478" s="7" t="s">
        <v>24</v>
      </c>
      <c r="H2478" s="1">
        <f t="shared" si="38"/>
        <v>0</v>
      </c>
    </row>
    <row r="2479" spans="1:8" x14ac:dyDescent="0.25">
      <c r="A2479" s="1" t="s">
        <v>7</v>
      </c>
      <c r="B2479" s="1" t="s">
        <v>11</v>
      </c>
      <c r="C2479" s="6">
        <v>56047677</v>
      </c>
      <c r="D2479" s="6">
        <v>51896326.920000002</v>
      </c>
      <c r="E2479" s="6">
        <v>47551580.920000002</v>
      </c>
      <c r="F2479" s="6">
        <v>47551580.920000002</v>
      </c>
      <c r="G2479" s="7" t="s">
        <v>24</v>
      </c>
      <c r="H2479" s="1">
        <f t="shared" si="38"/>
        <v>0.92593180837807076</v>
      </c>
    </row>
    <row r="2480" spans="1:8" x14ac:dyDescent="0.25">
      <c r="A2480" s="1" t="s">
        <v>7</v>
      </c>
      <c r="B2480" s="1" t="s">
        <v>11</v>
      </c>
      <c r="C2480" s="6">
        <v>16611982</v>
      </c>
      <c r="D2480" s="6">
        <v>1634164.11</v>
      </c>
      <c r="E2480" s="6">
        <v>181620.65</v>
      </c>
      <c r="F2480" s="6">
        <v>81939.58</v>
      </c>
      <c r="G2480" s="7" t="s">
        <v>24</v>
      </c>
      <c r="H2480" s="1">
        <f t="shared" si="38"/>
        <v>9.8372615019688803E-2</v>
      </c>
    </row>
    <row r="2481" spans="1:8" x14ac:dyDescent="0.25">
      <c r="A2481" s="1" t="s">
        <v>7</v>
      </c>
      <c r="B2481" s="1" t="s">
        <v>11</v>
      </c>
      <c r="C2481" s="6">
        <v>1170000</v>
      </c>
      <c r="D2481" s="6">
        <v>0</v>
      </c>
      <c r="E2481" s="6">
        <v>0</v>
      </c>
      <c r="F2481" s="6">
        <v>0</v>
      </c>
      <c r="G2481" s="7" t="s">
        <v>24</v>
      </c>
      <c r="H2481" s="1">
        <f t="shared" si="38"/>
        <v>0</v>
      </c>
    </row>
    <row r="2482" spans="1:8" x14ac:dyDescent="0.25">
      <c r="A2482" s="1" t="s">
        <v>7</v>
      </c>
      <c r="B2482" s="1" t="s">
        <v>11</v>
      </c>
      <c r="C2482" s="6">
        <v>7338558</v>
      </c>
      <c r="D2482" s="6">
        <v>1512261.4</v>
      </c>
      <c r="E2482" s="6">
        <v>1512261.4</v>
      </c>
      <c r="F2482" s="6">
        <v>1512261.4</v>
      </c>
      <c r="G2482" s="7" t="s">
        <v>24</v>
      </c>
      <c r="H2482" s="1">
        <f t="shared" si="38"/>
        <v>0.20607064766674868</v>
      </c>
    </row>
    <row r="2483" spans="1:8" x14ac:dyDescent="0.25">
      <c r="A2483" s="1" t="s">
        <v>7</v>
      </c>
      <c r="B2483" s="1" t="s">
        <v>11</v>
      </c>
      <c r="C2483" s="6">
        <v>10000</v>
      </c>
      <c r="D2483" s="6">
        <v>0</v>
      </c>
      <c r="E2483" s="6">
        <v>0</v>
      </c>
      <c r="F2483" s="6">
        <v>0</v>
      </c>
      <c r="G2483" s="7" t="s">
        <v>24</v>
      </c>
      <c r="H2483" s="1">
        <f t="shared" si="38"/>
        <v>0</v>
      </c>
    </row>
    <row r="2484" spans="1:8" x14ac:dyDescent="0.25">
      <c r="A2484" s="1" t="s">
        <v>7</v>
      </c>
      <c r="B2484" s="1" t="s">
        <v>11</v>
      </c>
      <c r="C2484" s="6">
        <v>13000</v>
      </c>
      <c r="D2484" s="6">
        <v>0</v>
      </c>
      <c r="E2484" s="6">
        <v>0</v>
      </c>
      <c r="F2484" s="6">
        <v>0</v>
      </c>
      <c r="G2484" s="7" t="s">
        <v>24</v>
      </c>
      <c r="H2484" s="1">
        <f t="shared" si="38"/>
        <v>0</v>
      </c>
    </row>
    <row r="2485" spans="1:8" x14ac:dyDescent="0.25">
      <c r="A2485" s="1" t="s">
        <v>7</v>
      </c>
      <c r="B2485" s="1" t="s">
        <v>11</v>
      </c>
      <c r="C2485" s="6">
        <v>1305434</v>
      </c>
      <c r="D2485" s="6">
        <v>1290914.5</v>
      </c>
      <c r="E2485" s="6">
        <v>1290914.5</v>
      </c>
      <c r="F2485" s="6">
        <v>1254848.5</v>
      </c>
      <c r="G2485" s="7" t="s">
        <v>24</v>
      </c>
      <c r="H2485" s="1">
        <f t="shared" si="38"/>
        <v>0.98887764528884647</v>
      </c>
    </row>
    <row r="2486" spans="1:8" x14ac:dyDescent="0.25">
      <c r="A2486" s="1" t="s">
        <v>7</v>
      </c>
      <c r="B2486" s="1" t="s">
        <v>11</v>
      </c>
      <c r="C2486" s="6">
        <v>469348</v>
      </c>
      <c r="D2486" s="6">
        <v>241</v>
      </c>
      <c r="E2486" s="6">
        <v>241</v>
      </c>
      <c r="F2486" s="6">
        <v>241</v>
      </c>
      <c r="G2486" s="7" t="s">
        <v>24</v>
      </c>
      <c r="H2486" s="1">
        <f t="shared" si="38"/>
        <v>5.1347827198581857E-4</v>
      </c>
    </row>
    <row r="2487" spans="1:8" x14ac:dyDescent="0.25">
      <c r="A2487" s="1" t="s">
        <v>7</v>
      </c>
      <c r="B2487" s="1" t="s">
        <v>11</v>
      </c>
      <c r="C2487" s="6">
        <v>46952000</v>
      </c>
      <c r="D2487" s="6">
        <v>24920627.359999999</v>
      </c>
      <c r="E2487" s="6">
        <v>24920627.359999999</v>
      </c>
      <c r="F2487" s="6">
        <v>22862122.260000002</v>
      </c>
      <c r="G2487" s="7" t="s">
        <v>24</v>
      </c>
      <c r="H2487" s="1">
        <f t="shared" si="38"/>
        <v>0.53076817515760777</v>
      </c>
    </row>
    <row r="2488" spans="1:8" x14ac:dyDescent="0.25">
      <c r="A2488" s="1" t="s">
        <v>7</v>
      </c>
      <c r="B2488" s="1" t="s">
        <v>11</v>
      </c>
      <c r="C2488" s="6">
        <v>1196695</v>
      </c>
      <c r="D2488" s="6">
        <v>499012.2</v>
      </c>
      <c r="E2488" s="6">
        <v>144588.9</v>
      </c>
      <c r="F2488" s="6">
        <v>144588.9</v>
      </c>
      <c r="G2488" s="7" t="s">
        <v>24</v>
      </c>
      <c r="H2488" s="1">
        <f t="shared" si="38"/>
        <v>0.41699196537129346</v>
      </c>
    </row>
    <row r="2489" spans="1:8" x14ac:dyDescent="0.25">
      <c r="A2489" s="1" t="s">
        <v>7</v>
      </c>
      <c r="B2489" s="1" t="s">
        <v>11</v>
      </c>
      <c r="C2489" s="6">
        <v>45000</v>
      </c>
      <c r="D2489" s="6">
        <v>0</v>
      </c>
      <c r="E2489" s="6">
        <v>0</v>
      </c>
      <c r="F2489" s="6">
        <v>0</v>
      </c>
      <c r="G2489" s="7" t="s">
        <v>24</v>
      </c>
      <c r="H2489" s="1">
        <f t="shared" si="38"/>
        <v>0</v>
      </c>
    </row>
    <row r="2490" spans="1:8" x14ac:dyDescent="0.25">
      <c r="A2490" s="1" t="s">
        <v>7</v>
      </c>
      <c r="B2490" s="1" t="s">
        <v>11</v>
      </c>
      <c r="C2490" s="6">
        <v>500000</v>
      </c>
      <c r="D2490" s="6">
        <v>348000</v>
      </c>
      <c r="E2490" s="6">
        <v>309000</v>
      </c>
      <c r="F2490" s="6">
        <v>309000</v>
      </c>
      <c r="G2490" s="7" t="s">
        <v>24</v>
      </c>
      <c r="H2490" s="1">
        <f t="shared" si="38"/>
        <v>0.69599999999999995</v>
      </c>
    </row>
    <row r="2491" spans="1:8" x14ac:dyDescent="0.25">
      <c r="A2491" s="1" t="s">
        <v>7</v>
      </c>
      <c r="B2491" s="1" t="s">
        <v>11</v>
      </c>
      <c r="C2491" s="6">
        <v>300000</v>
      </c>
      <c r="D2491" s="6">
        <v>0</v>
      </c>
      <c r="E2491" s="6">
        <v>0</v>
      </c>
      <c r="F2491" s="6">
        <v>0</v>
      </c>
      <c r="G2491" s="7" t="s">
        <v>24</v>
      </c>
      <c r="H2491" s="1">
        <f t="shared" si="38"/>
        <v>0</v>
      </c>
    </row>
    <row r="2492" spans="1:8" x14ac:dyDescent="0.25">
      <c r="A2492" s="1" t="s">
        <v>7</v>
      </c>
      <c r="B2492" s="1" t="s">
        <v>11</v>
      </c>
      <c r="C2492" s="6">
        <v>1960000</v>
      </c>
      <c r="D2492" s="6">
        <v>2056619.19</v>
      </c>
      <c r="E2492" s="6">
        <v>1882862.81</v>
      </c>
      <c r="F2492" s="6">
        <v>1882862.81</v>
      </c>
      <c r="G2492" s="7" t="s">
        <v>24</v>
      </c>
      <c r="H2492" s="1">
        <f t="shared" si="38"/>
        <v>1.0492955051020407</v>
      </c>
    </row>
    <row r="2493" spans="1:8" x14ac:dyDescent="0.25">
      <c r="A2493" s="1" t="s">
        <v>7</v>
      </c>
      <c r="B2493" s="1" t="s">
        <v>11</v>
      </c>
      <c r="C2493" s="6">
        <v>53000</v>
      </c>
      <c r="D2493" s="6">
        <v>0</v>
      </c>
      <c r="E2493" s="6">
        <v>0</v>
      </c>
      <c r="F2493" s="6">
        <v>0</v>
      </c>
      <c r="G2493" s="7" t="s">
        <v>24</v>
      </c>
      <c r="H2493" s="1">
        <f t="shared" si="38"/>
        <v>0</v>
      </c>
    </row>
    <row r="2494" spans="1:8" x14ac:dyDescent="0.25">
      <c r="A2494" s="1" t="s">
        <v>7</v>
      </c>
      <c r="B2494" s="1" t="s">
        <v>11</v>
      </c>
      <c r="C2494" s="6">
        <v>7243790</v>
      </c>
      <c r="D2494" s="6">
        <v>5744957.3099999996</v>
      </c>
      <c r="E2494" s="6">
        <v>5343081.99</v>
      </c>
      <c r="F2494" s="6">
        <v>5343081.99</v>
      </c>
      <c r="G2494" s="7" t="s">
        <v>24</v>
      </c>
      <c r="H2494" s="1">
        <f t="shared" si="38"/>
        <v>0.79308722505760099</v>
      </c>
    </row>
    <row r="2495" spans="1:8" x14ac:dyDescent="0.25">
      <c r="A2495" s="1" t="s">
        <v>7</v>
      </c>
      <c r="B2495" s="1" t="s">
        <v>11</v>
      </c>
      <c r="C2495" s="6">
        <v>11000</v>
      </c>
      <c r="D2495" s="6">
        <v>0</v>
      </c>
      <c r="E2495" s="6">
        <v>0</v>
      </c>
      <c r="F2495" s="6">
        <v>0</v>
      </c>
      <c r="G2495" s="7" t="s">
        <v>24</v>
      </c>
      <c r="H2495" s="1">
        <f t="shared" si="38"/>
        <v>0</v>
      </c>
    </row>
    <row r="2496" spans="1:8" x14ac:dyDescent="0.25">
      <c r="A2496" s="1" t="s">
        <v>7</v>
      </c>
      <c r="B2496" s="1" t="s">
        <v>11</v>
      </c>
      <c r="C2496" s="6">
        <v>3804500</v>
      </c>
      <c r="D2496" s="6">
        <v>3718276.71</v>
      </c>
      <c r="E2496" s="6">
        <v>3717229.335</v>
      </c>
      <c r="F2496" s="6">
        <v>3315614.5350000001</v>
      </c>
      <c r="G2496" s="7" t="s">
        <v>24</v>
      </c>
      <c r="H2496" s="1">
        <f t="shared" si="38"/>
        <v>0.97733649888290186</v>
      </c>
    </row>
    <row r="2497" spans="1:8" x14ac:dyDescent="0.25">
      <c r="A2497" s="1" t="s">
        <v>7</v>
      </c>
      <c r="B2497" s="1" t="s">
        <v>11</v>
      </c>
      <c r="C2497" s="6">
        <v>56375</v>
      </c>
      <c r="D2497" s="6">
        <v>0</v>
      </c>
      <c r="E2497" s="6">
        <v>0</v>
      </c>
      <c r="F2497" s="6">
        <v>0</v>
      </c>
      <c r="G2497" s="7" t="s">
        <v>24</v>
      </c>
      <c r="H2497" s="1">
        <f t="shared" si="38"/>
        <v>0</v>
      </c>
    </row>
    <row r="2498" spans="1:8" x14ac:dyDescent="0.25">
      <c r="A2498" s="1" t="s">
        <v>7</v>
      </c>
      <c r="B2498" s="1" t="s">
        <v>11</v>
      </c>
      <c r="C2498" s="6">
        <v>1500</v>
      </c>
      <c r="D2498" s="6">
        <v>0</v>
      </c>
      <c r="E2498" s="6">
        <v>0</v>
      </c>
      <c r="F2498" s="6">
        <v>0</v>
      </c>
      <c r="G2498" s="7" t="s">
        <v>24</v>
      </c>
      <c r="H2498" s="1">
        <f t="shared" ref="H2498:H2561" si="39">IF(OR(ISNA($D2498),ISNA($C2498),$C2498=0),0,$D2498/$C2498)</f>
        <v>0</v>
      </c>
    </row>
    <row r="2499" spans="1:8" x14ac:dyDescent="0.25">
      <c r="A2499" s="1" t="s">
        <v>7</v>
      </c>
      <c r="B2499" s="1" t="s">
        <v>11</v>
      </c>
      <c r="C2499" s="6">
        <v>30500</v>
      </c>
      <c r="D2499" s="6">
        <v>28002.66</v>
      </c>
      <c r="E2499" s="6">
        <v>25993.634999999998</v>
      </c>
      <c r="F2499" s="6">
        <v>25975.522499999999</v>
      </c>
      <c r="G2499" s="7" t="s">
        <v>24</v>
      </c>
      <c r="H2499" s="1">
        <f t="shared" si="39"/>
        <v>0.91812000000000005</v>
      </c>
    </row>
    <row r="2500" spans="1:8" x14ac:dyDescent="0.25">
      <c r="A2500" s="1" t="s">
        <v>7</v>
      </c>
      <c r="B2500" s="1" t="s">
        <v>11</v>
      </c>
      <c r="C2500" s="6">
        <v>45359</v>
      </c>
      <c r="D2500" s="6">
        <v>0</v>
      </c>
      <c r="E2500" s="6">
        <v>0</v>
      </c>
      <c r="F2500" s="6">
        <v>0</v>
      </c>
      <c r="G2500" s="7" t="s">
        <v>24</v>
      </c>
      <c r="H2500" s="1">
        <f t="shared" si="39"/>
        <v>0</v>
      </c>
    </row>
    <row r="2501" spans="1:8" x14ac:dyDescent="0.25">
      <c r="A2501" s="1" t="s">
        <v>7</v>
      </c>
      <c r="B2501" s="1" t="s">
        <v>11</v>
      </c>
      <c r="C2501" s="6">
        <v>57000</v>
      </c>
      <c r="D2501" s="6">
        <v>0</v>
      </c>
      <c r="E2501" s="6">
        <v>0</v>
      </c>
      <c r="F2501" s="6">
        <v>0</v>
      </c>
      <c r="G2501" s="7" t="s">
        <v>24</v>
      </c>
      <c r="H2501" s="1">
        <f t="shared" si="39"/>
        <v>0</v>
      </c>
    </row>
    <row r="2502" spans="1:8" x14ac:dyDescent="0.25">
      <c r="A2502" s="1" t="s">
        <v>7</v>
      </c>
      <c r="B2502" s="1" t="s">
        <v>11</v>
      </c>
      <c r="C2502" s="6">
        <v>1816</v>
      </c>
      <c r="D2502" s="6">
        <v>0</v>
      </c>
      <c r="E2502" s="6">
        <v>0</v>
      </c>
      <c r="F2502" s="6">
        <v>0</v>
      </c>
      <c r="G2502" s="7" t="s">
        <v>24</v>
      </c>
      <c r="H2502" s="1">
        <f t="shared" si="39"/>
        <v>0</v>
      </c>
    </row>
    <row r="2503" spans="1:8" x14ac:dyDescent="0.25">
      <c r="A2503" s="1" t="s">
        <v>7</v>
      </c>
      <c r="B2503" s="1" t="s">
        <v>11</v>
      </c>
      <c r="C2503" s="6">
        <v>1000</v>
      </c>
      <c r="D2503" s="6">
        <v>0</v>
      </c>
      <c r="E2503" s="6">
        <v>0</v>
      </c>
      <c r="F2503" s="6">
        <v>0</v>
      </c>
      <c r="G2503" s="7" t="s">
        <v>24</v>
      </c>
      <c r="H2503" s="1">
        <f t="shared" si="39"/>
        <v>0</v>
      </c>
    </row>
    <row r="2504" spans="1:8" x14ac:dyDescent="0.25">
      <c r="A2504" s="1" t="s">
        <v>7</v>
      </c>
      <c r="B2504" s="1" t="s">
        <v>11</v>
      </c>
      <c r="C2504" s="6">
        <v>10210</v>
      </c>
      <c r="D2504" s="6">
        <v>0</v>
      </c>
      <c r="E2504" s="6">
        <v>0</v>
      </c>
      <c r="F2504" s="6">
        <v>0</v>
      </c>
      <c r="G2504" s="7" t="s">
        <v>24</v>
      </c>
      <c r="H2504" s="1">
        <f t="shared" si="39"/>
        <v>0</v>
      </c>
    </row>
    <row r="2505" spans="1:8" x14ac:dyDescent="0.25">
      <c r="A2505" s="1" t="s">
        <v>7</v>
      </c>
      <c r="B2505" s="1" t="s">
        <v>11</v>
      </c>
      <c r="C2505" s="6">
        <v>36252</v>
      </c>
      <c r="D2505" s="6">
        <v>22428.737499999999</v>
      </c>
      <c r="E2505" s="6">
        <v>6732</v>
      </c>
      <c r="F2505" s="6">
        <v>0</v>
      </c>
      <c r="G2505" s="7" t="s">
        <v>24</v>
      </c>
      <c r="H2505" s="1">
        <f t="shared" si="39"/>
        <v>0.61868965850159985</v>
      </c>
    </row>
    <row r="2506" spans="1:8" x14ac:dyDescent="0.25">
      <c r="A2506" s="1" t="s">
        <v>7</v>
      </c>
      <c r="B2506" s="1" t="s">
        <v>11</v>
      </c>
      <c r="C2506" s="6">
        <v>250</v>
      </c>
      <c r="D2506" s="6">
        <v>0</v>
      </c>
      <c r="E2506" s="6">
        <v>0</v>
      </c>
      <c r="F2506" s="6">
        <v>0</v>
      </c>
      <c r="G2506" s="7" t="s">
        <v>24</v>
      </c>
      <c r="H2506" s="1">
        <f t="shared" si="39"/>
        <v>0</v>
      </c>
    </row>
    <row r="2507" spans="1:8" x14ac:dyDescent="0.25">
      <c r="A2507" s="1" t="s">
        <v>16</v>
      </c>
      <c r="B2507" s="1" t="s">
        <v>17</v>
      </c>
      <c r="C2507" s="6">
        <v>250</v>
      </c>
      <c r="D2507" s="6">
        <v>0</v>
      </c>
      <c r="E2507" s="6">
        <v>0</v>
      </c>
      <c r="F2507" s="6">
        <v>0</v>
      </c>
      <c r="G2507" s="7" t="s">
        <v>24</v>
      </c>
      <c r="H2507" s="1">
        <f t="shared" si="39"/>
        <v>0</v>
      </c>
    </row>
    <row r="2508" spans="1:8" x14ac:dyDescent="0.25">
      <c r="A2508" s="1" t="s">
        <v>16</v>
      </c>
      <c r="B2508" s="1" t="s">
        <v>17</v>
      </c>
      <c r="C2508" s="6">
        <v>317350</v>
      </c>
      <c r="D2508" s="6">
        <v>190937.25</v>
      </c>
      <c r="E2508" s="6">
        <v>55667.105000000003</v>
      </c>
      <c r="F2508" s="6">
        <v>55667.105000000003</v>
      </c>
      <c r="G2508" s="7" t="s">
        <v>24</v>
      </c>
      <c r="H2508" s="1">
        <f t="shared" si="39"/>
        <v>0.60166141484165747</v>
      </c>
    </row>
    <row r="2509" spans="1:8" x14ac:dyDescent="0.25">
      <c r="A2509" s="1" t="s">
        <v>16</v>
      </c>
      <c r="B2509" s="1" t="s">
        <v>17</v>
      </c>
      <c r="C2509" s="6">
        <v>13000</v>
      </c>
      <c r="D2509" s="6">
        <v>0</v>
      </c>
      <c r="E2509" s="6">
        <v>0</v>
      </c>
      <c r="F2509" s="6">
        <v>0</v>
      </c>
      <c r="G2509" s="7" t="s">
        <v>24</v>
      </c>
      <c r="H2509" s="1">
        <f t="shared" si="39"/>
        <v>0</v>
      </c>
    </row>
    <row r="2510" spans="1:8" x14ac:dyDescent="0.25">
      <c r="A2510" s="1" t="s">
        <v>16</v>
      </c>
      <c r="B2510" s="1" t="s">
        <v>17</v>
      </c>
      <c r="C2510" s="6">
        <v>250</v>
      </c>
      <c r="D2510" s="6">
        <v>0</v>
      </c>
      <c r="E2510" s="6">
        <v>0</v>
      </c>
      <c r="F2510" s="6">
        <v>0</v>
      </c>
      <c r="G2510" s="7" t="s">
        <v>24</v>
      </c>
      <c r="H2510" s="1">
        <f t="shared" si="39"/>
        <v>0</v>
      </c>
    </row>
    <row r="2511" spans="1:8" x14ac:dyDescent="0.25">
      <c r="A2511" s="1" t="s">
        <v>16</v>
      </c>
      <c r="B2511" s="1" t="s">
        <v>17</v>
      </c>
      <c r="C2511" s="6">
        <v>1250</v>
      </c>
      <c r="D2511" s="6">
        <v>0</v>
      </c>
      <c r="E2511" s="6">
        <v>0</v>
      </c>
      <c r="F2511" s="6">
        <v>0</v>
      </c>
      <c r="G2511" s="7" t="s">
        <v>24</v>
      </c>
      <c r="H2511" s="1">
        <f t="shared" si="39"/>
        <v>0</v>
      </c>
    </row>
    <row r="2512" spans="1:8" x14ac:dyDescent="0.25">
      <c r="A2512" s="1" t="s">
        <v>16</v>
      </c>
      <c r="B2512" s="1" t="s">
        <v>17</v>
      </c>
      <c r="C2512" s="6">
        <v>1500</v>
      </c>
      <c r="D2512" s="6">
        <v>0</v>
      </c>
      <c r="E2512" s="6">
        <v>0</v>
      </c>
      <c r="F2512" s="6">
        <v>0</v>
      </c>
      <c r="G2512" s="7" t="s">
        <v>24</v>
      </c>
      <c r="H2512" s="1">
        <f t="shared" si="39"/>
        <v>0</v>
      </c>
    </row>
    <row r="2513" spans="1:8" x14ac:dyDescent="0.25">
      <c r="A2513" s="1" t="s">
        <v>16</v>
      </c>
      <c r="B2513" s="1" t="s">
        <v>17</v>
      </c>
      <c r="C2513" s="6">
        <v>1713625</v>
      </c>
      <c r="D2513" s="6">
        <v>1906986.38</v>
      </c>
      <c r="E2513" s="6">
        <v>1865091.355</v>
      </c>
      <c r="F2513" s="6">
        <v>1615156.46</v>
      </c>
      <c r="G2513" s="7" t="s">
        <v>24</v>
      </c>
      <c r="H2513" s="1">
        <f t="shared" si="39"/>
        <v>1.1128376278357284</v>
      </c>
    </row>
    <row r="2514" spans="1:8" x14ac:dyDescent="0.25">
      <c r="A2514" s="1" t="s">
        <v>16</v>
      </c>
      <c r="B2514" s="1" t="s">
        <v>17</v>
      </c>
      <c r="C2514" s="6">
        <v>500</v>
      </c>
      <c r="D2514" s="6">
        <v>0</v>
      </c>
      <c r="E2514" s="6">
        <v>0</v>
      </c>
      <c r="F2514" s="6">
        <v>0</v>
      </c>
      <c r="G2514" s="7" t="s">
        <v>24</v>
      </c>
      <c r="H2514" s="1">
        <f t="shared" si="39"/>
        <v>0</v>
      </c>
    </row>
    <row r="2515" spans="1:8" x14ac:dyDescent="0.25">
      <c r="A2515" s="1" t="s">
        <v>16</v>
      </c>
      <c r="B2515" s="1" t="s">
        <v>17</v>
      </c>
      <c r="C2515" s="6">
        <v>327492</v>
      </c>
      <c r="D2515" s="6">
        <v>282242.15999999997</v>
      </c>
      <c r="E2515" s="6">
        <v>282242.15999999997</v>
      </c>
      <c r="F2515" s="6">
        <v>258721.98</v>
      </c>
      <c r="G2515" s="7" t="s">
        <v>24</v>
      </c>
      <c r="H2515" s="1">
        <f t="shared" si="39"/>
        <v>0.86182917445311635</v>
      </c>
    </row>
    <row r="2516" spans="1:8" x14ac:dyDescent="0.25">
      <c r="A2516" s="1" t="s">
        <v>16</v>
      </c>
      <c r="B2516" s="1" t="s">
        <v>17</v>
      </c>
      <c r="C2516" s="6">
        <v>288487</v>
      </c>
      <c r="D2516" s="6">
        <v>254206.4975</v>
      </c>
      <c r="E2516" s="6">
        <v>212201.4975</v>
      </c>
      <c r="F2516" s="6">
        <v>191291.33</v>
      </c>
      <c r="G2516" s="7" t="s">
        <v>24</v>
      </c>
      <c r="H2516" s="1">
        <f t="shared" si="39"/>
        <v>0.88117141326992199</v>
      </c>
    </row>
    <row r="2517" spans="1:8" x14ac:dyDescent="0.25">
      <c r="A2517" s="1" t="s">
        <v>16</v>
      </c>
      <c r="B2517" s="1" t="s">
        <v>17</v>
      </c>
      <c r="C2517" s="6">
        <v>682500</v>
      </c>
      <c r="D2517" s="6">
        <v>583684.86</v>
      </c>
      <c r="E2517" s="6">
        <v>466527.11</v>
      </c>
      <c r="F2517" s="6">
        <v>448433</v>
      </c>
      <c r="G2517" s="7" t="s">
        <v>24</v>
      </c>
      <c r="H2517" s="1">
        <f t="shared" si="39"/>
        <v>0.85521591208791203</v>
      </c>
    </row>
    <row r="2518" spans="1:8" x14ac:dyDescent="0.25">
      <c r="A2518" s="1" t="s">
        <v>16</v>
      </c>
      <c r="B2518" s="1" t="s">
        <v>17</v>
      </c>
      <c r="C2518" s="6">
        <v>2004539</v>
      </c>
      <c r="D2518" s="6">
        <v>1702273.9</v>
      </c>
      <c r="E2518" s="6">
        <v>1702273.9</v>
      </c>
      <c r="F2518" s="6">
        <v>1685944.6</v>
      </c>
      <c r="G2518" s="7" t="s">
        <v>24</v>
      </c>
      <c r="H2518" s="1">
        <f t="shared" si="39"/>
        <v>0.84920966865698289</v>
      </c>
    </row>
    <row r="2519" spans="1:8" x14ac:dyDescent="0.25">
      <c r="A2519" s="1" t="s">
        <v>16</v>
      </c>
      <c r="B2519" s="1" t="s">
        <v>17</v>
      </c>
      <c r="C2519" s="6">
        <v>21729942</v>
      </c>
      <c r="D2519" s="6">
        <v>21502836.710000001</v>
      </c>
      <c r="E2519" s="6">
        <v>20899121.010000002</v>
      </c>
      <c r="F2519" s="6">
        <v>20827112.489999998</v>
      </c>
      <c r="G2519" s="7" t="s">
        <v>24</v>
      </c>
      <c r="H2519" s="1">
        <f t="shared" si="39"/>
        <v>0.98954873924651987</v>
      </c>
    </row>
    <row r="2520" spans="1:8" x14ac:dyDescent="0.25">
      <c r="A2520" s="1" t="s">
        <v>16</v>
      </c>
      <c r="B2520" s="1" t="s">
        <v>17</v>
      </c>
      <c r="C2520" s="6">
        <v>608424</v>
      </c>
      <c r="D2520" s="6">
        <v>605423.04</v>
      </c>
      <c r="E2520" s="6">
        <v>605423.04</v>
      </c>
      <c r="F2520" s="6">
        <v>605423.04</v>
      </c>
      <c r="G2520" s="7" t="s">
        <v>24</v>
      </c>
      <c r="H2520" s="1">
        <f t="shared" si="39"/>
        <v>0.99506765019131405</v>
      </c>
    </row>
    <row r="2521" spans="1:8" x14ac:dyDescent="0.25">
      <c r="A2521" s="1" t="s">
        <v>16</v>
      </c>
      <c r="B2521" s="1" t="s">
        <v>17</v>
      </c>
      <c r="C2521" s="6">
        <v>6014020</v>
      </c>
      <c r="D2521" s="6">
        <v>3363581.36</v>
      </c>
      <c r="E2521" s="6">
        <v>3270310.58</v>
      </c>
      <c r="F2521" s="6">
        <v>3237977.45</v>
      </c>
      <c r="G2521" s="7" t="s">
        <v>24</v>
      </c>
      <c r="H2521" s="1">
        <f t="shared" si="39"/>
        <v>0.55929001898896247</v>
      </c>
    </row>
    <row r="2522" spans="1:8" x14ac:dyDescent="0.25">
      <c r="A2522" s="1" t="s">
        <v>16</v>
      </c>
      <c r="B2522" s="1" t="s">
        <v>17</v>
      </c>
      <c r="C2522" s="6">
        <v>1000000</v>
      </c>
      <c r="D2522" s="6">
        <v>573664.93999999994</v>
      </c>
      <c r="E2522" s="6">
        <v>490034.31</v>
      </c>
      <c r="F2522" s="6">
        <v>490034.31</v>
      </c>
      <c r="G2522" s="7" t="s">
        <v>24</v>
      </c>
      <c r="H2522" s="1">
        <f t="shared" si="39"/>
        <v>0.5736649399999999</v>
      </c>
    </row>
    <row r="2523" spans="1:8" x14ac:dyDescent="0.25">
      <c r="A2523" s="1" t="s">
        <v>16</v>
      </c>
      <c r="B2523" s="1" t="s">
        <v>17</v>
      </c>
      <c r="C2523" s="6">
        <v>4269110</v>
      </c>
      <c r="D2523" s="6">
        <v>1705935.41</v>
      </c>
      <c r="E2523" s="6">
        <v>1630243.66</v>
      </c>
      <c r="F2523" s="6">
        <v>1600015.66</v>
      </c>
      <c r="G2523" s="7" t="s">
        <v>24</v>
      </c>
      <c r="H2523" s="1">
        <f t="shared" si="39"/>
        <v>0.39959977840814592</v>
      </c>
    </row>
    <row r="2524" spans="1:8" x14ac:dyDescent="0.25">
      <c r="A2524" s="1" t="s">
        <v>16</v>
      </c>
      <c r="B2524" s="1" t="s">
        <v>17</v>
      </c>
      <c r="C2524" s="6">
        <v>2600000</v>
      </c>
      <c r="D2524" s="6">
        <v>541737.16</v>
      </c>
      <c r="E2524" s="6">
        <v>541737.16</v>
      </c>
      <c r="F2524" s="6">
        <v>541737.16</v>
      </c>
      <c r="G2524" s="7" t="s">
        <v>24</v>
      </c>
      <c r="H2524" s="1">
        <f t="shared" si="39"/>
        <v>0.20836044615384616</v>
      </c>
    </row>
    <row r="2525" spans="1:8" x14ac:dyDescent="0.25">
      <c r="A2525" s="1" t="s">
        <v>16</v>
      </c>
      <c r="B2525" s="1" t="s">
        <v>17</v>
      </c>
      <c r="C2525" s="6">
        <v>955195</v>
      </c>
      <c r="D2525" s="6">
        <v>672602.98</v>
      </c>
      <c r="E2525" s="6">
        <v>672602.98</v>
      </c>
      <c r="F2525" s="6">
        <v>672602.98</v>
      </c>
      <c r="G2525" s="7" t="s">
        <v>24</v>
      </c>
      <c r="H2525" s="1">
        <f t="shared" si="39"/>
        <v>0.70415253429927915</v>
      </c>
    </row>
    <row r="2526" spans="1:8" x14ac:dyDescent="0.25">
      <c r="A2526" s="1" t="s">
        <v>16</v>
      </c>
      <c r="B2526" s="1" t="s">
        <v>17</v>
      </c>
      <c r="C2526" s="6">
        <v>17000</v>
      </c>
      <c r="D2526" s="6">
        <v>0</v>
      </c>
      <c r="E2526" s="6">
        <v>0</v>
      </c>
      <c r="F2526" s="6">
        <v>0</v>
      </c>
      <c r="G2526" s="7" t="s">
        <v>24</v>
      </c>
      <c r="H2526" s="1">
        <f t="shared" si="39"/>
        <v>0</v>
      </c>
    </row>
    <row r="2527" spans="1:8" x14ac:dyDescent="0.25">
      <c r="A2527" s="1" t="s">
        <v>16</v>
      </c>
      <c r="B2527" s="1" t="s">
        <v>17</v>
      </c>
      <c r="C2527" s="6">
        <v>762000</v>
      </c>
      <c r="D2527" s="6">
        <v>12000</v>
      </c>
      <c r="E2527" s="6">
        <v>12000</v>
      </c>
      <c r="F2527" s="6">
        <v>12000</v>
      </c>
      <c r="G2527" s="7" t="s">
        <v>24</v>
      </c>
      <c r="H2527" s="1">
        <f t="shared" si="39"/>
        <v>1.5748031496062992E-2</v>
      </c>
    </row>
    <row r="2528" spans="1:8" x14ac:dyDescent="0.25">
      <c r="A2528" s="1" t="s">
        <v>16</v>
      </c>
      <c r="B2528" s="1" t="s">
        <v>17</v>
      </c>
      <c r="C2528" s="6">
        <v>406500</v>
      </c>
      <c r="D2528" s="6">
        <v>26368.5</v>
      </c>
      <c r="E2528" s="6">
        <v>23012.799999999999</v>
      </c>
      <c r="F2528" s="6">
        <v>12790.55</v>
      </c>
      <c r="G2528" s="7" t="s">
        <v>24</v>
      </c>
      <c r="H2528" s="1">
        <f t="shared" si="39"/>
        <v>6.4867158671586711E-2</v>
      </c>
    </row>
    <row r="2529" spans="1:8" x14ac:dyDescent="0.25">
      <c r="A2529" s="1" t="s">
        <v>16</v>
      </c>
      <c r="B2529" s="1" t="s">
        <v>17</v>
      </c>
      <c r="C2529" s="6">
        <v>15000</v>
      </c>
      <c r="D2529" s="6">
        <v>0</v>
      </c>
      <c r="E2529" s="6">
        <v>0</v>
      </c>
      <c r="F2529" s="6">
        <v>0</v>
      </c>
      <c r="G2529" s="7" t="s">
        <v>24</v>
      </c>
      <c r="H2529" s="1">
        <f t="shared" si="39"/>
        <v>0</v>
      </c>
    </row>
    <row r="2530" spans="1:8" x14ac:dyDescent="0.25">
      <c r="A2530" s="1" t="s">
        <v>16</v>
      </c>
      <c r="B2530" s="1" t="s">
        <v>17</v>
      </c>
      <c r="C2530" s="6">
        <v>477000</v>
      </c>
      <c r="D2530" s="6">
        <v>12000</v>
      </c>
      <c r="E2530" s="6">
        <v>12000</v>
      </c>
      <c r="F2530" s="6">
        <v>12000</v>
      </c>
      <c r="G2530" s="7" t="s">
        <v>24</v>
      </c>
      <c r="H2530" s="1">
        <f t="shared" si="39"/>
        <v>2.5157232704402517E-2</v>
      </c>
    </row>
    <row r="2531" spans="1:8" x14ac:dyDescent="0.25">
      <c r="A2531" s="1" t="s">
        <v>16</v>
      </c>
      <c r="B2531" s="1" t="s">
        <v>17</v>
      </c>
      <c r="C2531" s="6">
        <v>700000</v>
      </c>
      <c r="D2531" s="6">
        <v>1072.56</v>
      </c>
      <c r="E2531" s="6">
        <v>1071.18</v>
      </c>
      <c r="F2531" s="6">
        <v>1071.18</v>
      </c>
      <c r="G2531" s="7" t="s">
        <v>24</v>
      </c>
      <c r="H2531" s="1">
        <f t="shared" si="39"/>
        <v>1.5322285714285714E-3</v>
      </c>
    </row>
    <row r="2532" spans="1:8" x14ac:dyDescent="0.25">
      <c r="A2532" s="1" t="s">
        <v>16</v>
      </c>
      <c r="B2532" s="1" t="s">
        <v>17</v>
      </c>
      <c r="C2532" s="6">
        <v>307500</v>
      </c>
      <c r="D2532" s="6">
        <v>0</v>
      </c>
      <c r="E2532" s="6">
        <v>0</v>
      </c>
      <c r="F2532" s="6">
        <v>0</v>
      </c>
      <c r="G2532" s="7" t="s">
        <v>24</v>
      </c>
      <c r="H2532" s="1">
        <f t="shared" si="39"/>
        <v>0</v>
      </c>
    </row>
    <row r="2533" spans="1:8" x14ac:dyDescent="0.25">
      <c r="A2533" s="1" t="s">
        <v>16</v>
      </c>
      <c r="B2533" s="1" t="s">
        <v>17</v>
      </c>
      <c r="C2533" s="6">
        <v>222695</v>
      </c>
      <c r="D2533" s="6">
        <v>8390</v>
      </c>
      <c r="E2533" s="6">
        <v>8390</v>
      </c>
      <c r="F2533" s="6">
        <v>0</v>
      </c>
      <c r="G2533" s="7" t="s">
        <v>24</v>
      </c>
      <c r="H2533" s="1">
        <f t="shared" si="39"/>
        <v>3.7674846763510628E-2</v>
      </c>
    </row>
    <row r="2534" spans="1:8" x14ac:dyDescent="0.25">
      <c r="A2534" s="1" t="s">
        <v>16</v>
      </c>
      <c r="B2534" s="1" t="s">
        <v>17</v>
      </c>
      <c r="C2534" s="6">
        <v>600000</v>
      </c>
      <c r="D2534" s="6">
        <v>0</v>
      </c>
      <c r="E2534" s="6">
        <v>0</v>
      </c>
      <c r="F2534" s="6">
        <v>0</v>
      </c>
      <c r="G2534" s="7" t="s">
        <v>24</v>
      </c>
      <c r="H2534" s="1">
        <f t="shared" si="39"/>
        <v>0</v>
      </c>
    </row>
    <row r="2535" spans="1:8" x14ac:dyDescent="0.25">
      <c r="A2535" s="1" t="s">
        <v>16</v>
      </c>
      <c r="B2535" s="1" t="s">
        <v>17</v>
      </c>
      <c r="C2535" s="6">
        <v>400000</v>
      </c>
      <c r="D2535" s="6">
        <v>0</v>
      </c>
      <c r="E2535" s="6">
        <v>0</v>
      </c>
      <c r="F2535" s="6">
        <v>0</v>
      </c>
      <c r="G2535" s="7" t="s">
        <v>24</v>
      </c>
      <c r="H2535" s="1">
        <f t="shared" si="39"/>
        <v>0</v>
      </c>
    </row>
    <row r="2536" spans="1:8" x14ac:dyDescent="0.25">
      <c r="A2536" s="1" t="s">
        <v>16</v>
      </c>
      <c r="B2536" s="1" t="s">
        <v>17</v>
      </c>
      <c r="C2536" s="6">
        <v>3914500</v>
      </c>
      <c r="D2536" s="6">
        <v>1845366</v>
      </c>
      <c r="E2536" s="6">
        <v>1845366</v>
      </c>
      <c r="F2536" s="6">
        <v>1845366</v>
      </c>
      <c r="G2536" s="7" t="s">
        <v>24</v>
      </c>
      <c r="H2536" s="1">
        <f t="shared" si="39"/>
        <v>0.47141806105505174</v>
      </c>
    </row>
    <row r="2537" spans="1:8" x14ac:dyDescent="0.25">
      <c r="A2537" s="1" t="s">
        <v>16</v>
      </c>
      <c r="B2537" s="1" t="s">
        <v>17</v>
      </c>
      <c r="C2537" s="6">
        <v>36419107</v>
      </c>
      <c r="D2537" s="6">
        <v>25847676.48</v>
      </c>
      <c r="E2537" s="6">
        <v>24182172.52</v>
      </c>
      <c r="F2537" s="6">
        <v>23164182.73</v>
      </c>
      <c r="G2537" s="7" t="s">
        <v>24</v>
      </c>
      <c r="H2537" s="1">
        <f t="shared" si="39"/>
        <v>0.70972845325394718</v>
      </c>
    </row>
    <row r="2538" spans="1:8" x14ac:dyDescent="0.25">
      <c r="A2538" s="1" t="s">
        <v>16</v>
      </c>
      <c r="B2538" s="1" t="s">
        <v>17</v>
      </c>
      <c r="C2538" s="6">
        <v>588081</v>
      </c>
      <c r="D2538" s="6">
        <v>711831.8175</v>
      </c>
      <c r="E2538" s="6">
        <v>682749.005</v>
      </c>
      <c r="F2538" s="6">
        <v>633123.94999999995</v>
      </c>
      <c r="G2538" s="7" t="s">
        <v>24</v>
      </c>
      <c r="H2538" s="1">
        <f t="shared" si="39"/>
        <v>1.2104315859549961</v>
      </c>
    </row>
    <row r="2539" spans="1:8" x14ac:dyDescent="0.25">
      <c r="A2539" s="1" t="s">
        <v>16</v>
      </c>
      <c r="B2539" s="1" t="s">
        <v>17</v>
      </c>
      <c r="C2539" s="6">
        <v>1427000</v>
      </c>
      <c r="D2539" s="6">
        <v>1328544.5725</v>
      </c>
      <c r="E2539" s="6">
        <v>1327240.9824999999</v>
      </c>
      <c r="F2539" s="6">
        <v>1053633.47</v>
      </c>
      <c r="G2539" s="7" t="s">
        <v>24</v>
      </c>
      <c r="H2539" s="1">
        <f t="shared" si="39"/>
        <v>0.93100530658724601</v>
      </c>
    </row>
    <row r="2540" spans="1:8" x14ac:dyDescent="0.25">
      <c r="A2540" s="1" t="s">
        <v>16</v>
      </c>
      <c r="B2540" s="1" t="s">
        <v>17</v>
      </c>
      <c r="C2540" s="6">
        <v>546521</v>
      </c>
      <c r="D2540" s="6">
        <v>446153.13500000001</v>
      </c>
      <c r="E2540" s="6">
        <v>325579.85249999998</v>
      </c>
      <c r="F2540" s="6">
        <v>322934.80249999999</v>
      </c>
      <c r="G2540" s="7" t="s">
        <v>24</v>
      </c>
      <c r="H2540" s="1">
        <f t="shared" si="39"/>
        <v>0.81635131129453398</v>
      </c>
    </row>
    <row r="2541" spans="1:8" x14ac:dyDescent="0.25">
      <c r="A2541" s="1" t="s">
        <v>16</v>
      </c>
      <c r="B2541" s="1" t="s">
        <v>17</v>
      </c>
      <c r="C2541" s="6">
        <v>293951</v>
      </c>
      <c r="D2541" s="6">
        <v>672788.70750000002</v>
      </c>
      <c r="E2541" s="6">
        <v>609181.27500000002</v>
      </c>
      <c r="F2541" s="6">
        <v>557792.33750000002</v>
      </c>
      <c r="G2541" s="7" t="s">
        <v>24</v>
      </c>
      <c r="H2541" s="1">
        <f t="shared" si="39"/>
        <v>2.2887784273569407</v>
      </c>
    </row>
    <row r="2542" spans="1:8" x14ac:dyDescent="0.25">
      <c r="A2542" s="1" t="s">
        <v>16</v>
      </c>
      <c r="B2542" s="1" t="s">
        <v>17</v>
      </c>
      <c r="C2542" s="6">
        <v>12500</v>
      </c>
      <c r="D2542" s="6">
        <v>0</v>
      </c>
      <c r="E2542" s="6">
        <v>0</v>
      </c>
      <c r="F2542" s="6">
        <v>0</v>
      </c>
      <c r="G2542" s="7" t="s">
        <v>24</v>
      </c>
      <c r="H2542" s="1">
        <f t="shared" si="39"/>
        <v>0</v>
      </c>
    </row>
    <row r="2543" spans="1:8" x14ac:dyDescent="0.25">
      <c r="A2543" s="1" t="s">
        <v>16</v>
      </c>
      <c r="B2543" s="1" t="s">
        <v>17</v>
      </c>
      <c r="C2543" s="6">
        <v>103762</v>
      </c>
      <c r="D2543" s="6">
        <v>90000</v>
      </c>
      <c r="E2543" s="6">
        <v>90000</v>
      </c>
      <c r="F2543" s="6">
        <v>90000</v>
      </c>
      <c r="G2543" s="7" t="s">
        <v>24</v>
      </c>
      <c r="H2543" s="1">
        <f t="shared" si="39"/>
        <v>0.86736955725602827</v>
      </c>
    </row>
    <row r="2544" spans="1:8" x14ac:dyDescent="0.25">
      <c r="A2544" s="1" t="s">
        <v>16</v>
      </c>
      <c r="B2544" s="1" t="s">
        <v>17</v>
      </c>
      <c r="C2544" s="6">
        <v>481777</v>
      </c>
      <c r="D2544" s="6">
        <v>415186.22749999998</v>
      </c>
      <c r="E2544" s="6">
        <v>415186.22749999998</v>
      </c>
      <c r="F2544" s="6">
        <v>415186.22749999998</v>
      </c>
      <c r="G2544" s="7" t="s">
        <v>24</v>
      </c>
      <c r="H2544" s="1">
        <f t="shared" si="39"/>
        <v>0.86178092250148919</v>
      </c>
    </row>
    <row r="2545" spans="1:8" x14ac:dyDescent="0.25">
      <c r="A2545" s="1" t="s">
        <v>16</v>
      </c>
      <c r="B2545" s="1" t="s">
        <v>17</v>
      </c>
      <c r="C2545" s="6">
        <v>334173</v>
      </c>
      <c r="D2545" s="6">
        <v>331828.47999999998</v>
      </c>
      <c r="E2545" s="6">
        <v>321511.3</v>
      </c>
      <c r="F2545" s="6">
        <v>320508.79999999999</v>
      </c>
      <c r="G2545" s="7" t="s">
        <v>24</v>
      </c>
      <c r="H2545" s="1">
        <f t="shared" si="39"/>
        <v>0.99298411301930434</v>
      </c>
    </row>
    <row r="2546" spans="1:8" x14ac:dyDescent="0.25">
      <c r="A2546" s="1" t="s">
        <v>16</v>
      </c>
      <c r="B2546" s="1" t="s">
        <v>17</v>
      </c>
      <c r="C2546" s="6">
        <v>482683</v>
      </c>
      <c r="D2546" s="6">
        <v>457554.14250000002</v>
      </c>
      <c r="E2546" s="6">
        <v>455549.14250000002</v>
      </c>
      <c r="F2546" s="6">
        <v>453544.14250000002</v>
      </c>
      <c r="G2546" s="7" t="s">
        <v>24</v>
      </c>
      <c r="H2546" s="1">
        <f t="shared" si="39"/>
        <v>0.94793921165651163</v>
      </c>
    </row>
    <row r="2547" spans="1:8" x14ac:dyDescent="0.25">
      <c r="A2547" s="1" t="s">
        <v>16</v>
      </c>
      <c r="B2547" s="1" t="s">
        <v>17</v>
      </c>
      <c r="C2547" s="6">
        <v>856706</v>
      </c>
      <c r="D2547" s="6">
        <v>843897.57</v>
      </c>
      <c r="E2547" s="6">
        <v>831093.48</v>
      </c>
      <c r="F2547" s="6">
        <v>828490.98</v>
      </c>
      <c r="G2547" s="7" t="s">
        <v>24</v>
      </c>
      <c r="H2547" s="1">
        <f t="shared" si="39"/>
        <v>0.98504921174825433</v>
      </c>
    </row>
    <row r="2548" spans="1:8" x14ac:dyDescent="0.25">
      <c r="A2548" s="1" t="s">
        <v>16</v>
      </c>
      <c r="B2548" s="1" t="s">
        <v>17</v>
      </c>
      <c r="C2548" s="6">
        <v>84166</v>
      </c>
      <c r="D2548" s="6">
        <v>81714.539999999994</v>
      </c>
      <c r="E2548" s="6">
        <v>81714.539999999994</v>
      </c>
      <c r="F2548" s="6">
        <v>74904.994999999995</v>
      </c>
      <c r="G2548" s="7" t="s">
        <v>24</v>
      </c>
      <c r="H2548" s="1">
        <f t="shared" si="39"/>
        <v>0.97087351186940085</v>
      </c>
    </row>
    <row r="2549" spans="1:8" x14ac:dyDescent="0.25">
      <c r="A2549" s="1" t="s">
        <v>16</v>
      </c>
      <c r="B2549" s="1" t="s">
        <v>17</v>
      </c>
      <c r="C2549" s="6">
        <v>250</v>
      </c>
      <c r="D2549" s="6">
        <v>0</v>
      </c>
      <c r="E2549" s="6">
        <v>0</v>
      </c>
      <c r="F2549" s="6">
        <v>0</v>
      </c>
      <c r="G2549" s="7" t="s">
        <v>24</v>
      </c>
      <c r="H2549" s="1">
        <f t="shared" si="39"/>
        <v>0</v>
      </c>
    </row>
    <row r="2550" spans="1:8" x14ac:dyDescent="0.25">
      <c r="A2550" s="1" t="s">
        <v>16</v>
      </c>
      <c r="B2550" s="1" t="s">
        <v>17</v>
      </c>
      <c r="C2550" s="6">
        <v>191982</v>
      </c>
      <c r="D2550" s="6">
        <v>0</v>
      </c>
      <c r="E2550" s="6">
        <v>0</v>
      </c>
      <c r="F2550" s="6">
        <v>0</v>
      </c>
      <c r="G2550" s="7" t="s">
        <v>24</v>
      </c>
      <c r="H2550" s="1">
        <f t="shared" si="39"/>
        <v>0</v>
      </c>
    </row>
    <row r="2551" spans="1:8" x14ac:dyDescent="0.25">
      <c r="A2551" s="1" t="s">
        <v>16</v>
      </c>
      <c r="B2551" s="1" t="s">
        <v>17</v>
      </c>
      <c r="C2551" s="6">
        <v>409401</v>
      </c>
      <c r="D2551" s="6">
        <v>417900</v>
      </c>
      <c r="E2551" s="6">
        <v>417900</v>
      </c>
      <c r="F2551" s="6">
        <v>417900</v>
      </c>
      <c r="G2551" s="7" t="s">
        <v>24</v>
      </c>
      <c r="H2551" s="1">
        <f t="shared" si="39"/>
        <v>1.0207595975583841</v>
      </c>
    </row>
    <row r="2552" spans="1:8" x14ac:dyDescent="0.25">
      <c r="A2552" s="1" t="s">
        <v>16</v>
      </c>
      <c r="B2552" s="1" t="s">
        <v>17</v>
      </c>
      <c r="C2552" s="6">
        <v>13628798</v>
      </c>
      <c r="D2552" s="6">
        <v>8977816.8399999999</v>
      </c>
      <c r="E2552" s="6">
        <v>8890078.9350000005</v>
      </c>
      <c r="F2552" s="6">
        <v>8146224.5650000004</v>
      </c>
      <c r="G2552" s="7" t="s">
        <v>24</v>
      </c>
      <c r="H2552" s="1">
        <f t="shared" si="39"/>
        <v>0.65873871195390821</v>
      </c>
    </row>
    <row r="2553" spans="1:8" x14ac:dyDescent="0.25">
      <c r="A2553" s="1" t="s">
        <v>16</v>
      </c>
      <c r="B2553" s="1" t="s">
        <v>17</v>
      </c>
      <c r="C2553" s="6">
        <v>1000</v>
      </c>
      <c r="D2553" s="6">
        <v>0</v>
      </c>
      <c r="E2553" s="6">
        <v>0</v>
      </c>
      <c r="F2553" s="6">
        <v>0</v>
      </c>
      <c r="G2553" s="7" t="s">
        <v>24</v>
      </c>
      <c r="H2553" s="1">
        <f t="shared" si="39"/>
        <v>0</v>
      </c>
    </row>
    <row r="2554" spans="1:8" x14ac:dyDescent="0.25">
      <c r="A2554" s="1" t="s">
        <v>16</v>
      </c>
      <c r="B2554" s="1" t="s">
        <v>17</v>
      </c>
      <c r="C2554" s="6">
        <v>1000</v>
      </c>
      <c r="D2554" s="6">
        <v>0</v>
      </c>
      <c r="E2554" s="6">
        <v>0</v>
      </c>
      <c r="F2554" s="6">
        <v>0</v>
      </c>
      <c r="G2554" s="7" t="s">
        <v>24</v>
      </c>
      <c r="H2554" s="1">
        <f t="shared" si="39"/>
        <v>0</v>
      </c>
    </row>
    <row r="2555" spans="1:8" x14ac:dyDescent="0.25">
      <c r="A2555" s="1" t="s">
        <v>16</v>
      </c>
      <c r="B2555" s="1" t="s">
        <v>17</v>
      </c>
      <c r="C2555" s="6">
        <v>39533</v>
      </c>
      <c r="D2555" s="6">
        <v>1015.6</v>
      </c>
      <c r="E2555" s="6">
        <v>1015.6</v>
      </c>
      <c r="F2555" s="6">
        <v>1015.6</v>
      </c>
      <c r="G2555" s="7" t="s">
        <v>24</v>
      </c>
      <c r="H2555" s="1">
        <f t="shared" si="39"/>
        <v>2.5689929931955582E-2</v>
      </c>
    </row>
    <row r="2556" spans="1:8" x14ac:dyDescent="0.25">
      <c r="A2556" s="1" t="s">
        <v>16</v>
      </c>
      <c r="B2556" s="1" t="s">
        <v>17</v>
      </c>
      <c r="C2556" s="6">
        <v>258239</v>
      </c>
      <c r="D2556" s="6">
        <v>57243.8</v>
      </c>
      <c r="E2556" s="6">
        <v>51388.6</v>
      </c>
      <c r="F2556" s="6">
        <v>40100</v>
      </c>
      <c r="G2556" s="7" t="s">
        <v>24</v>
      </c>
      <c r="H2556" s="1">
        <f t="shared" si="39"/>
        <v>0.22166984847370072</v>
      </c>
    </row>
    <row r="2557" spans="1:8" x14ac:dyDescent="0.25">
      <c r="A2557" s="1" t="s">
        <v>16</v>
      </c>
      <c r="B2557" s="1" t="s">
        <v>17</v>
      </c>
      <c r="C2557" s="6">
        <v>964550</v>
      </c>
      <c r="D2557" s="6">
        <v>865408.37250000006</v>
      </c>
      <c r="E2557" s="6">
        <v>865408.37250000006</v>
      </c>
      <c r="F2557" s="6">
        <v>783801.14500000002</v>
      </c>
      <c r="G2557" s="7" t="s">
        <v>24</v>
      </c>
      <c r="H2557" s="1">
        <f t="shared" si="39"/>
        <v>0.89721463117515943</v>
      </c>
    </row>
    <row r="2558" spans="1:8" x14ac:dyDescent="0.25">
      <c r="A2558" s="1" t="s">
        <v>16</v>
      </c>
      <c r="B2558" s="1" t="s">
        <v>17</v>
      </c>
      <c r="C2558" s="6">
        <v>38769</v>
      </c>
      <c r="D2558" s="6">
        <v>18389.6675</v>
      </c>
      <c r="E2558" s="6">
        <v>17258.4175</v>
      </c>
      <c r="F2558" s="6">
        <v>16255.9175</v>
      </c>
      <c r="G2558" s="7" t="s">
        <v>24</v>
      </c>
      <c r="H2558" s="1">
        <f t="shared" si="39"/>
        <v>0.4743394851556656</v>
      </c>
    </row>
    <row r="2559" spans="1:8" x14ac:dyDescent="0.25">
      <c r="A2559" s="1" t="s">
        <v>16</v>
      </c>
      <c r="B2559" s="1" t="s">
        <v>17</v>
      </c>
      <c r="C2559" s="6">
        <v>86250</v>
      </c>
      <c r="D2559" s="6">
        <v>114179.735</v>
      </c>
      <c r="E2559" s="6">
        <v>114178.69749999999</v>
      </c>
      <c r="F2559" s="6">
        <v>114178.69749999999</v>
      </c>
      <c r="G2559" s="7" t="s">
        <v>24</v>
      </c>
      <c r="H2559" s="1">
        <f t="shared" si="39"/>
        <v>1.3238230144927536</v>
      </c>
    </row>
    <row r="2560" spans="1:8" x14ac:dyDescent="0.25">
      <c r="A2560" s="1" t="s">
        <v>16</v>
      </c>
      <c r="B2560" s="1" t="s">
        <v>17</v>
      </c>
      <c r="C2560" s="6">
        <v>56750</v>
      </c>
      <c r="D2560" s="6">
        <v>0</v>
      </c>
      <c r="E2560" s="6">
        <v>0</v>
      </c>
      <c r="F2560" s="6">
        <v>0</v>
      </c>
      <c r="G2560" s="7" t="s">
        <v>24</v>
      </c>
      <c r="H2560" s="1">
        <f t="shared" si="39"/>
        <v>0</v>
      </c>
    </row>
    <row r="2561" spans="1:8" x14ac:dyDescent="0.25">
      <c r="A2561" s="1" t="s">
        <v>16</v>
      </c>
      <c r="B2561" s="1" t="s">
        <v>17</v>
      </c>
      <c r="C2561" s="6">
        <v>162841</v>
      </c>
      <c r="D2561" s="6">
        <v>3361.7350000000001</v>
      </c>
      <c r="E2561" s="6">
        <v>1875.9849999999999</v>
      </c>
      <c r="F2561" s="6">
        <v>1813.4849999999999</v>
      </c>
      <c r="G2561" s="7" t="s">
        <v>24</v>
      </c>
      <c r="H2561" s="1">
        <f t="shared" si="39"/>
        <v>2.0644278775001381E-2</v>
      </c>
    </row>
    <row r="2562" spans="1:8" x14ac:dyDescent="0.25">
      <c r="A2562" s="1" t="s">
        <v>16</v>
      </c>
      <c r="B2562" s="1" t="s">
        <v>17</v>
      </c>
      <c r="C2562" s="6">
        <v>13250</v>
      </c>
      <c r="D2562" s="6">
        <v>0</v>
      </c>
      <c r="E2562" s="6">
        <v>0</v>
      </c>
      <c r="F2562" s="6">
        <v>0</v>
      </c>
      <c r="G2562" s="7" t="s">
        <v>24</v>
      </c>
      <c r="H2562" s="1">
        <f t="shared" ref="H2562:H2625" si="40">IF(OR(ISNA($D2562),ISNA($C2562),$C2562=0),0,$D2562/$C2562)</f>
        <v>0</v>
      </c>
    </row>
    <row r="2563" spans="1:8" x14ac:dyDescent="0.25">
      <c r="A2563" s="1" t="s">
        <v>16</v>
      </c>
      <c r="B2563" s="1" t="s">
        <v>17</v>
      </c>
      <c r="C2563" s="6">
        <v>500</v>
      </c>
      <c r="D2563" s="6">
        <v>0</v>
      </c>
      <c r="E2563" s="6">
        <v>0</v>
      </c>
      <c r="F2563" s="6">
        <v>0</v>
      </c>
      <c r="G2563" s="7" t="s">
        <v>24</v>
      </c>
      <c r="H2563" s="1">
        <f t="shared" si="40"/>
        <v>0</v>
      </c>
    </row>
    <row r="2564" spans="1:8" x14ac:dyDescent="0.25">
      <c r="A2564" s="1" t="s">
        <v>16</v>
      </c>
      <c r="B2564" s="1" t="s">
        <v>17</v>
      </c>
      <c r="C2564" s="6">
        <v>125</v>
      </c>
      <c r="D2564" s="6">
        <v>0</v>
      </c>
      <c r="E2564" s="6">
        <v>0</v>
      </c>
      <c r="F2564" s="6">
        <v>0</v>
      </c>
      <c r="G2564" s="7" t="s">
        <v>24</v>
      </c>
      <c r="H2564" s="1">
        <f t="shared" si="40"/>
        <v>0</v>
      </c>
    </row>
    <row r="2565" spans="1:8" x14ac:dyDescent="0.25">
      <c r="A2565" s="1" t="s">
        <v>16</v>
      </c>
      <c r="B2565" s="1" t="s">
        <v>17</v>
      </c>
      <c r="C2565" s="6">
        <v>750</v>
      </c>
      <c r="D2565" s="6">
        <v>0</v>
      </c>
      <c r="E2565" s="6">
        <v>0</v>
      </c>
      <c r="F2565" s="6">
        <v>0</v>
      </c>
      <c r="G2565" s="7" t="s">
        <v>24</v>
      </c>
      <c r="H2565" s="1">
        <f t="shared" si="40"/>
        <v>0</v>
      </c>
    </row>
    <row r="2566" spans="1:8" x14ac:dyDescent="0.25">
      <c r="A2566" s="1" t="s">
        <v>16</v>
      </c>
      <c r="B2566" s="1" t="s">
        <v>17</v>
      </c>
      <c r="C2566" s="6">
        <v>76904</v>
      </c>
      <c r="D2566" s="6">
        <v>0</v>
      </c>
      <c r="E2566" s="6">
        <v>0</v>
      </c>
      <c r="F2566" s="6">
        <v>0</v>
      </c>
      <c r="G2566" s="7" t="s">
        <v>24</v>
      </c>
      <c r="H2566" s="1">
        <f t="shared" si="40"/>
        <v>0</v>
      </c>
    </row>
    <row r="2567" spans="1:8" x14ac:dyDescent="0.25">
      <c r="A2567" s="1" t="s">
        <v>16</v>
      </c>
      <c r="B2567" s="1" t="s">
        <v>17</v>
      </c>
      <c r="C2567" s="6">
        <v>375</v>
      </c>
      <c r="D2567" s="6">
        <v>0</v>
      </c>
      <c r="E2567" s="6">
        <v>0</v>
      </c>
      <c r="F2567" s="6">
        <v>0</v>
      </c>
      <c r="G2567" s="7" t="s">
        <v>24</v>
      </c>
      <c r="H2567" s="1">
        <f t="shared" si="40"/>
        <v>0</v>
      </c>
    </row>
    <row r="2568" spans="1:8" x14ac:dyDescent="0.25">
      <c r="A2568" s="1" t="s">
        <v>16</v>
      </c>
      <c r="B2568" s="1" t="s">
        <v>17</v>
      </c>
      <c r="C2568" s="6">
        <v>112500</v>
      </c>
      <c r="D2568" s="6">
        <v>4947.5024999999996</v>
      </c>
      <c r="E2568" s="6">
        <v>4947.5024999999996</v>
      </c>
      <c r="F2568" s="6">
        <v>4947.5024999999996</v>
      </c>
      <c r="G2568" s="7" t="s">
        <v>24</v>
      </c>
      <c r="H2568" s="1">
        <f t="shared" si="40"/>
        <v>4.3977799999999997E-2</v>
      </c>
    </row>
    <row r="2569" spans="1:8" x14ac:dyDescent="0.25">
      <c r="A2569" s="1" t="s">
        <v>16</v>
      </c>
      <c r="B2569" s="1" t="s">
        <v>17</v>
      </c>
      <c r="C2569" s="6">
        <v>125</v>
      </c>
      <c r="D2569" s="6">
        <v>0</v>
      </c>
      <c r="E2569" s="6">
        <v>0</v>
      </c>
      <c r="F2569" s="6">
        <v>0</v>
      </c>
      <c r="G2569" s="7" t="s">
        <v>24</v>
      </c>
      <c r="H2569" s="1">
        <f t="shared" si="40"/>
        <v>0</v>
      </c>
    </row>
    <row r="2570" spans="1:8" x14ac:dyDescent="0.25">
      <c r="A2570" s="1" t="s">
        <v>16</v>
      </c>
      <c r="B2570" s="1" t="s">
        <v>17</v>
      </c>
      <c r="C2570" s="6">
        <v>37500</v>
      </c>
      <c r="D2570" s="6">
        <v>0</v>
      </c>
      <c r="E2570" s="6">
        <v>0</v>
      </c>
      <c r="F2570" s="6">
        <v>0</v>
      </c>
      <c r="G2570" s="7" t="s">
        <v>24</v>
      </c>
      <c r="H2570" s="1">
        <f t="shared" si="40"/>
        <v>0</v>
      </c>
    </row>
    <row r="2571" spans="1:8" x14ac:dyDescent="0.25">
      <c r="A2571" s="1" t="s">
        <v>16</v>
      </c>
      <c r="B2571" s="1" t="s">
        <v>17</v>
      </c>
      <c r="C2571" s="6">
        <v>166844</v>
      </c>
      <c r="D2571" s="6">
        <v>0</v>
      </c>
      <c r="E2571" s="6">
        <v>0</v>
      </c>
      <c r="F2571" s="6">
        <v>0</v>
      </c>
      <c r="G2571" s="7" t="s">
        <v>24</v>
      </c>
      <c r="H2571" s="1">
        <f t="shared" si="40"/>
        <v>0</v>
      </c>
    </row>
    <row r="2572" spans="1:8" x14ac:dyDescent="0.25">
      <c r="A2572" s="1" t="s">
        <v>16</v>
      </c>
      <c r="B2572" s="1" t="s">
        <v>17</v>
      </c>
      <c r="C2572" s="6">
        <v>58151</v>
      </c>
      <c r="D2572" s="6">
        <v>0</v>
      </c>
      <c r="E2572" s="6">
        <v>0</v>
      </c>
      <c r="F2572" s="6">
        <v>0</v>
      </c>
      <c r="G2572" s="7" t="s">
        <v>24</v>
      </c>
      <c r="H2572" s="1">
        <f t="shared" si="40"/>
        <v>0</v>
      </c>
    </row>
    <row r="2573" spans="1:8" x14ac:dyDescent="0.25">
      <c r="A2573" s="1" t="s">
        <v>16</v>
      </c>
      <c r="B2573" s="1" t="s">
        <v>17</v>
      </c>
      <c r="C2573" s="6">
        <v>3598679</v>
      </c>
      <c r="D2573" s="6">
        <v>2818399.1625000001</v>
      </c>
      <c r="E2573" s="6">
        <v>2714746.8450000002</v>
      </c>
      <c r="F2573" s="6">
        <v>2610529.5575000001</v>
      </c>
      <c r="G2573" s="7" t="s">
        <v>24</v>
      </c>
      <c r="H2573" s="1">
        <f t="shared" si="40"/>
        <v>0.78317603834629324</v>
      </c>
    </row>
    <row r="2574" spans="1:8" x14ac:dyDescent="0.25">
      <c r="A2574" s="1" t="s">
        <v>16</v>
      </c>
      <c r="B2574" s="1" t="s">
        <v>17</v>
      </c>
      <c r="C2574" s="6">
        <v>577000</v>
      </c>
      <c r="D2574" s="6">
        <v>612069.05500000005</v>
      </c>
      <c r="E2574" s="6">
        <v>612069.05500000005</v>
      </c>
      <c r="F2574" s="6">
        <v>552855.17000000004</v>
      </c>
      <c r="G2574" s="7" t="s">
        <v>24</v>
      </c>
      <c r="H2574" s="1">
        <f t="shared" si="40"/>
        <v>1.0607782582322358</v>
      </c>
    </row>
    <row r="2575" spans="1:8" x14ac:dyDescent="0.25">
      <c r="A2575" s="1" t="s">
        <v>16</v>
      </c>
      <c r="B2575" s="1" t="s">
        <v>17</v>
      </c>
      <c r="C2575" s="6">
        <v>250</v>
      </c>
      <c r="D2575" s="6">
        <v>0</v>
      </c>
      <c r="E2575" s="6">
        <v>0</v>
      </c>
      <c r="F2575" s="6">
        <v>0</v>
      </c>
      <c r="G2575" s="7" t="s">
        <v>24</v>
      </c>
      <c r="H2575" s="1">
        <f t="shared" si="40"/>
        <v>0</v>
      </c>
    </row>
    <row r="2576" spans="1:8" x14ac:dyDescent="0.25">
      <c r="A2576" s="1" t="s">
        <v>16</v>
      </c>
      <c r="B2576" s="1" t="s">
        <v>17</v>
      </c>
      <c r="C2576" s="6">
        <v>4096200</v>
      </c>
      <c r="D2576" s="6">
        <v>2344026.4775</v>
      </c>
      <c r="E2576" s="6">
        <v>2344026.4775</v>
      </c>
      <c r="F2576" s="6">
        <v>2224352.4550000001</v>
      </c>
      <c r="G2576" s="7" t="s">
        <v>24</v>
      </c>
      <c r="H2576" s="1">
        <f t="shared" si="40"/>
        <v>0.57224414762462772</v>
      </c>
    </row>
    <row r="2577" spans="1:8" x14ac:dyDescent="0.25">
      <c r="A2577" s="1" t="s">
        <v>16</v>
      </c>
      <c r="B2577" s="1" t="s">
        <v>17</v>
      </c>
      <c r="C2577" s="6">
        <v>660854</v>
      </c>
      <c r="D2577" s="6">
        <v>0</v>
      </c>
      <c r="E2577" s="6">
        <v>0</v>
      </c>
      <c r="F2577" s="6">
        <v>0</v>
      </c>
      <c r="G2577" s="7" t="s">
        <v>24</v>
      </c>
      <c r="H2577" s="1">
        <f t="shared" si="40"/>
        <v>0</v>
      </c>
    </row>
    <row r="2578" spans="1:8" x14ac:dyDescent="0.25">
      <c r="A2578" s="1" t="s">
        <v>16</v>
      </c>
      <c r="B2578" s="1" t="s">
        <v>17</v>
      </c>
      <c r="C2578" s="6">
        <v>3240300</v>
      </c>
      <c r="D2578" s="6">
        <v>508244.74249999999</v>
      </c>
      <c r="E2578" s="6">
        <v>119261.6375</v>
      </c>
      <c r="F2578" s="6">
        <v>61486.667500000003</v>
      </c>
      <c r="G2578" s="7" t="s">
        <v>24</v>
      </c>
      <c r="H2578" s="1">
        <f t="shared" si="40"/>
        <v>0.15685113801191247</v>
      </c>
    </row>
    <row r="2579" spans="1:8" x14ac:dyDescent="0.25">
      <c r="A2579" s="1" t="s">
        <v>16</v>
      </c>
      <c r="B2579" s="1" t="s">
        <v>17</v>
      </c>
      <c r="C2579" s="6">
        <v>559471</v>
      </c>
      <c r="D2579" s="6">
        <v>616650.86750000005</v>
      </c>
      <c r="E2579" s="6">
        <v>614976.61750000005</v>
      </c>
      <c r="F2579" s="6">
        <v>613974.11750000005</v>
      </c>
      <c r="G2579" s="7" t="s">
        <v>24</v>
      </c>
      <c r="H2579" s="1">
        <f t="shared" si="40"/>
        <v>1.1022034520109176</v>
      </c>
    </row>
    <row r="2580" spans="1:8" x14ac:dyDescent="0.25">
      <c r="A2580" s="1" t="s">
        <v>16</v>
      </c>
      <c r="B2580" s="1" t="s">
        <v>17</v>
      </c>
      <c r="C2580" s="6">
        <v>248014</v>
      </c>
      <c r="D2580" s="6">
        <v>248013.3</v>
      </c>
      <c r="E2580" s="6">
        <v>231999.6</v>
      </c>
      <c r="F2580" s="6">
        <v>214863.8</v>
      </c>
      <c r="G2580" s="7" t="s">
        <v>24</v>
      </c>
      <c r="H2580" s="1">
        <f t="shared" si="40"/>
        <v>0.999997177578685</v>
      </c>
    </row>
    <row r="2581" spans="1:8" x14ac:dyDescent="0.25">
      <c r="A2581" s="1" t="s">
        <v>16</v>
      </c>
      <c r="B2581" s="1" t="s">
        <v>17</v>
      </c>
      <c r="C2581" s="6">
        <v>401559</v>
      </c>
      <c r="D2581" s="6">
        <v>383522.07250000001</v>
      </c>
      <c r="E2581" s="6">
        <v>383522.07250000001</v>
      </c>
      <c r="F2581" s="6">
        <v>383522.07250000001</v>
      </c>
      <c r="G2581" s="7" t="s">
        <v>24</v>
      </c>
      <c r="H2581" s="1">
        <f t="shared" si="40"/>
        <v>0.95508274624650424</v>
      </c>
    </row>
    <row r="2582" spans="1:8" x14ac:dyDescent="0.25">
      <c r="A2582" s="1" t="s">
        <v>16</v>
      </c>
      <c r="B2582" s="1" t="s">
        <v>17</v>
      </c>
      <c r="C2582" s="6">
        <v>500</v>
      </c>
      <c r="D2582" s="6">
        <v>0</v>
      </c>
      <c r="E2582" s="6">
        <v>0</v>
      </c>
      <c r="F2582" s="6">
        <v>0</v>
      </c>
      <c r="G2582" s="7" t="s">
        <v>24</v>
      </c>
      <c r="H2582" s="1">
        <f t="shared" si="40"/>
        <v>0</v>
      </c>
    </row>
    <row r="2583" spans="1:8" x14ac:dyDescent="0.25">
      <c r="A2583" s="1" t="s">
        <v>16</v>
      </c>
      <c r="B2583" s="1" t="s">
        <v>17</v>
      </c>
      <c r="C2583" s="6">
        <v>1000</v>
      </c>
      <c r="D2583" s="6">
        <v>0</v>
      </c>
      <c r="E2583" s="6">
        <v>0</v>
      </c>
      <c r="F2583" s="6">
        <v>0</v>
      </c>
      <c r="G2583" s="7" t="s">
        <v>24</v>
      </c>
      <c r="H2583" s="1">
        <f t="shared" si="40"/>
        <v>0</v>
      </c>
    </row>
    <row r="2584" spans="1:8" x14ac:dyDescent="0.25">
      <c r="A2584" s="1" t="s">
        <v>16</v>
      </c>
      <c r="B2584" s="1" t="s">
        <v>17</v>
      </c>
      <c r="C2584" s="6">
        <v>1000000</v>
      </c>
      <c r="D2584" s="6">
        <v>1381715.04</v>
      </c>
      <c r="E2584" s="6">
        <v>1028874.82</v>
      </c>
      <c r="F2584" s="6">
        <v>1027983.85</v>
      </c>
      <c r="G2584" s="7" t="s">
        <v>24</v>
      </c>
      <c r="H2584" s="1">
        <f t="shared" si="40"/>
        <v>1.38171504</v>
      </c>
    </row>
    <row r="2585" spans="1:8" x14ac:dyDescent="0.25">
      <c r="A2585" s="1" t="s">
        <v>16</v>
      </c>
      <c r="B2585" s="1" t="s">
        <v>17</v>
      </c>
      <c r="C2585" s="6">
        <v>17000</v>
      </c>
      <c r="D2585" s="6">
        <v>5646.482</v>
      </c>
      <c r="E2585" s="6">
        <v>2023.357</v>
      </c>
      <c r="F2585" s="6">
        <v>2023.357</v>
      </c>
      <c r="G2585" s="7" t="s">
        <v>24</v>
      </c>
      <c r="H2585" s="1">
        <f t="shared" si="40"/>
        <v>0.332146</v>
      </c>
    </row>
    <row r="2586" spans="1:8" x14ac:dyDescent="0.25">
      <c r="A2586" s="1" t="s">
        <v>16</v>
      </c>
      <c r="B2586" s="1" t="s">
        <v>17</v>
      </c>
      <c r="C2586" s="6">
        <v>3825000</v>
      </c>
      <c r="D2586" s="6">
        <v>2964814.62</v>
      </c>
      <c r="E2586" s="6">
        <v>2964814.62</v>
      </c>
      <c r="F2586" s="6">
        <v>2964814.62</v>
      </c>
      <c r="G2586" s="7" t="s">
        <v>24</v>
      </c>
      <c r="H2586" s="1">
        <f t="shared" si="40"/>
        <v>0.77511493333333337</v>
      </c>
    </row>
    <row r="2587" spans="1:8" x14ac:dyDescent="0.25">
      <c r="A2587" s="1" t="s">
        <v>16</v>
      </c>
      <c r="B2587" s="1" t="s">
        <v>17</v>
      </c>
      <c r="C2587" s="6">
        <v>122000</v>
      </c>
      <c r="D2587" s="6">
        <v>118399.49</v>
      </c>
      <c r="E2587" s="6">
        <v>85861.93</v>
      </c>
      <c r="F2587" s="6">
        <v>85861.93</v>
      </c>
      <c r="G2587" s="7" t="s">
        <v>24</v>
      </c>
      <c r="H2587" s="1">
        <f t="shared" si="40"/>
        <v>0.97048762295081969</v>
      </c>
    </row>
    <row r="2588" spans="1:8" x14ac:dyDescent="0.25">
      <c r="A2588" s="1" t="s">
        <v>16</v>
      </c>
      <c r="B2588" s="1" t="s">
        <v>17</v>
      </c>
      <c r="C2588" s="6">
        <v>143100</v>
      </c>
      <c r="D2588" s="6">
        <v>111660</v>
      </c>
      <c r="E2588" s="6">
        <v>111660</v>
      </c>
      <c r="F2588" s="6">
        <v>111660</v>
      </c>
      <c r="G2588" s="7" t="s">
        <v>24</v>
      </c>
      <c r="H2588" s="1">
        <f t="shared" si="40"/>
        <v>0.78029350104821804</v>
      </c>
    </row>
    <row r="2589" spans="1:8" x14ac:dyDescent="0.25">
      <c r="A2589" s="1" t="s">
        <v>16</v>
      </c>
      <c r="B2589" s="1" t="s">
        <v>17</v>
      </c>
      <c r="C2589" s="6">
        <v>382464</v>
      </c>
      <c r="D2589" s="6">
        <v>303183.84000000003</v>
      </c>
      <c r="E2589" s="6">
        <v>300281.09000000003</v>
      </c>
      <c r="F2589" s="6">
        <v>266518.755</v>
      </c>
      <c r="G2589" s="7" t="s">
        <v>24</v>
      </c>
      <c r="H2589" s="1">
        <f t="shared" si="40"/>
        <v>0.79271209839357437</v>
      </c>
    </row>
    <row r="2590" spans="1:8" x14ac:dyDescent="0.25">
      <c r="A2590" s="1" t="s">
        <v>16</v>
      </c>
      <c r="B2590" s="1" t="s">
        <v>17</v>
      </c>
      <c r="C2590" s="6">
        <v>145463</v>
      </c>
      <c r="D2590" s="6">
        <v>51563.667500000003</v>
      </c>
      <c r="E2590" s="6">
        <v>48311.02</v>
      </c>
      <c r="F2590" s="6">
        <v>48156.52</v>
      </c>
      <c r="G2590" s="7" t="s">
        <v>24</v>
      </c>
      <c r="H2590" s="1">
        <f t="shared" si="40"/>
        <v>0.35447960993517252</v>
      </c>
    </row>
    <row r="2591" spans="1:8" x14ac:dyDescent="0.25">
      <c r="A2591" s="1" t="s">
        <v>16</v>
      </c>
      <c r="B2591" s="1" t="s">
        <v>17</v>
      </c>
      <c r="C2591" s="6">
        <v>691669</v>
      </c>
      <c r="D2591" s="6">
        <v>282877.85249999998</v>
      </c>
      <c r="E2591" s="6">
        <v>259615.07250000001</v>
      </c>
      <c r="F2591" s="6">
        <v>249390.76</v>
      </c>
      <c r="G2591" s="7" t="s">
        <v>24</v>
      </c>
      <c r="H2591" s="1">
        <f t="shared" si="40"/>
        <v>0.40897864802383799</v>
      </c>
    </row>
    <row r="2592" spans="1:8" x14ac:dyDescent="0.25">
      <c r="A2592" s="1" t="s">
        <v>16</v>
      </c>
      <c r="B2592" s="1" t="s">
        <v>17</v>
      </c>
      <c r="C2592" s="6">
        <v>288891</v>
      </c>
      <c r="D2592" s="6">
        <v>291732.42700000003</v>
      </c>
      <c r="E2592" s="6">
        <v>264755.66249999998</v>
      </c>
      <c r="F2592" s="6">
        <v>263425.897</v>
      </c>
      <c r="G2592" s="7" t="s">
        <v>24</v>
      </c>
      <c r="H2592" s="1">
        <f t="shared" si="40"/>
        <v>1.0098356369703454</v>
      </c>
    </row>
    <row r="2593" spans="1:8" x14ac:dyDescent="0.25">
      <c r="A2593" s="1" t="s">
        <v>16</v>
      </c>
      <c r="B2593" s="1" t="s">
        <v>17</v>
      </c>
      <c r="C2593" s="6">
        <v>2125</v>
      </c>
      <c r="D2593" s="6">
        <v>0</v>
      </c>
      <c r="E2593" s="6">
        <v>0</v>
      </c>
      <c r="F2593" s="6">
        <v>0</v>
      </c>
      <c r="G2593" s="7" t="s">
        <v>24</v>
      </c>
      <c r="H2593" s="1">
        <f t="shared" si="40"/>
        <v>0</v>
      </c>
    </row>
    <row r="2594" spans="1:8" x14ac:dyDescent="0.25">
      <c r="A2594" s="1" t="s">
        <v>16</v>
      </c>
      <c r="B2594" s="1" t="s">
        <v>17</v>
      </c>
      <c r="C2594" s="6">
        <v>500</v>
      </c>
      <c r="D2594" s="6">
        <v>0</v>
      </c>
      <c r="E2594" s="6">
        <v>0</v>
      </c>
      <c r="F2594" s="6">
        <v>0</v>
      </c>
      <c r="G2594" s="7" t="s">
        <v>24</v>
      </c>
      <c r="H2594" s="1">
        <f t="shared" si="40"/>
        <v>0</v>
      </c>
    </row>
    <row r="2595" spans="1:8" x14ac:dyDescent="0.25">
      <c r="A2595" s="1" t="s">
        <v>16</v>
      </c>
      <c r="B2595" s="1" t="s">
        <v>17</v>
      </c>
      <c r="C2595" s="6">
        <v>2849163</v>
      </c>
      <c r="D2595" s="6">
        <v>2734478.35</v>
      </c>
      <c r="E2595" s="6">
        <v>2665091.4874999998</v>
      </c>
      <c r="F2595" s="6">
        <v>2410860.6274999999</v>
      </c>
      <c r="G2595" s="7" t="s">
        <v>24</v>
      </c>
      <c r="H2595" s="1">
        <f t="shared" si="40"/>
        <v>0.95974795053845641</v>
      </c>
    </row>
    <row r="2596" spans="1:8" x14ac:dyDescent="0.25">
      <c r="A2596" s="1" t="s">
        <v>16</v>
      </c>
      <c r="B2596" s="1" t="s">
        <v>17</v>
      </c>
      <c r="C2596" s="6">
        <v>10023496</v>
      </c>
      <c r="D2596" s="6">
        <v>6844079.3799999999</v>
      </c>
      <c r="E2596" s="6">
        <v>6647909.2675000001</v>
      </c>
      <c r="F2596" s="6">
        <v>6097458.3375000004</v>
      </c>
      <c r="G2596" s="7" t="s">
        <v>24</v>
      </c>
      <c r="H2596" s="1">
        <f t="shared" si="40"/>
        <v>0.6828036226083195</v>
      </c>
    </row>
    <row r="2597" spans="1:8" x14ac:dyDescent="0.25">
      <c r="A2597" s="1" t="s">
        <v>16</v>
      </c>
      <c r="B2597" s="1" t="s">
        <v>17</v>
      </c>
      <c r="C2597" s="6">
        <v>8511808</v>
      </c>
      <c r="D2597" s="6">
        <v>7988337.0250000004</v>
      </c>
      <c r="E2597" s="6">
        <v>7856224.6875</v>
      </c>
      <c r="F2597" s="6">
        <v>7237465.0449999999</v>
      </c>
      <c r="G2597" s="7" t="s">
        <v>24</v>
      </c>
      <c r="H2597" s="1">
        <f t="shared" si="40"/>
        <v>0.93850061291326126</v>
      </c>
    </row>
    <row r="2598" spans="1:8" x14ac:dyDescent="0.25">
      <c r="A2598" s="1" t="s">
        <v>16</v>
      </c>
      <c r="B2598" s="1" t="s">
        <v>19</v>
      </c>
      <c r="C2598" s="6">
        <v>2500</v>
      </c>
      <c r="D2598" s="6">
        <v>0</v>
      </c>
      <c r="E2598" s="6">
        <v>0</v>
      </c>
      <c r="F2598" s="6">
        <v>0</v>
      </c>
      <c r="G2598" s="7" t="s">
        <v>24</v>
      </c>
      <c r="H2598" s="1">
        <f t="shared" si="40"/>
        <v>0</v>
      </c>
    </row>
    <row r="2599" spans="1:8" x14ac:dyDescent="0.25">
      <c r="A2599" s="1" t="s">
        <v>16</v>
      </c>
      <c r="B2599" s="1" t="s">
        <v>19</v>
      </c>
      <c r="C2599" s="6">
        <v>2500</v>
      </c>
      <c r="D2599" s="6">
        <v>0</v>
      </c>
      <c r="E2599" s="6">
        <v>0</v>
      </c>
      <c r="F2599" s="6">
        <v>0</v>
      </c>
      <c r="G2599" s="7" t="s">
        <v>24</v>
      </c>
      <c r="H2599" s="1">
        <f t="shared" si="40"/>
        <v>0</v>
      </c>
    </row>
    <row r="2600" spans="1:8" x14ac:dyDescent="0.25">
      <c r="A2600" s="1" t="s">
        <v>16</v>
      </c>
      <c r="B2600" s="1" t="s">
        <v>19</v>
      </c>
      <c r="C2600" s="6">
        <v>1250</v>
      </c>
      <c r="D2600" s="6">
        <v>0</v>
      </c>
      <c r="E2600" s="6">
        <v>0</v>
      </c>
      <c r="F2600" s="6">
        <v>0</v>
      </c>
      <c r="G2600" s="7" t="s">
        <v>24</v>
      </c>
      <c r="H2600" s="1">
        <f t="shared" si="40"/>
        <v>0</v>
      </c>
    </row>
    <row r="2601" spans="1:8" x14ac:dyDescent="0.25">
      <c r="A2601" s="1" t="s">
        <v>16</v>
      </c>
      <c r="B2601" s="1" t="s">
        <v>19</v>
      </c>
      <c r="C2601" s="6">
        <v>100000</v>
      </c>
      <c r="D2601" s="6">
        <v>0</v>
      </c>
      <c r="E2601" s="6">
        <v>0</v>
      </c>
      <c r="F2601" s="6">
        <v>0</v>
      </c>
      <c r="G2601" s="7" t="s">
        <v>24</v>
      </c>
      <c r="H2601" s="1">
        <f t="shared" si="40"/>
        <v>0</v>
      </c>
    </row>
    <row r="2602" spans="1:8" x14ac:dyDescent="0.25">
      <c r="A2602" s="1" t="s">
        <v>16</v>
      </c>
      <c r="B2602" s="1" t="s">
        <v>19</v>
      </c>
      <c r="C2602" s="6">
        <v>6250</v>
      </c>
      <c r="D2602" s="6">
        <v>0</v>
      </c>
      <c r="E2602" s="6">
        <v>0</v>
      </c>
      <c r="F2602" s="6">
        <v>0</v>
      </c>
      <c r="G2602" s="7" t="s">
        <v>24</v>
      </c>
      <c r="H2602" s="1">
        <f t="shared" si="40"/>
        <v>0</v>
      </c>
    </row>
    <row r="2603" spans="1:8" x14ac:dyDescent="0.25">
      <c r="A2603" s="1" t="s">
        <v>16</v>
      </c>
      <c r="B2603" s="1" t="s">
        <v>19</v>
      </c>
      <c r="C2603" s="6">
        <v>17500</v>
      </c>
      <c r="D2603" s="6">
        <v>7538.5</v>
      </c>
      <c r="E2603" s="6">
        <v>7538.5</v>
      </c>
      <c r="F2603" s="6">
        <v>7538.5</v>
      </c>
      <c r="G2603" s="7" t="s">
        <v>24</v>
      </c>
      <c r="H2603" s="1">
        <f t="shared" si="40"/>
        <v>0.43077142857142858</v>
      </c>
    </row>
    <row r="2604" spans="1:8" x14ac:dyDescent="0.25">
      <c r="A2604" s="1" t="s">
        <v>16</v>
      </c>
      <c r="B2604" s="1" t="s">
        <v>19</v>
      </c>
      <c r="C2604" s="6">
        <v>1375</v>
      </c>
      <c r="D2604" s="6">
        <v>0</v>
      </c>
      <c r="E2604" s="6">
        <v>0</v>
      </c>
      <c r="F2604" s="6">
        <v>0</v>
      </c>
      <c r="G2604" s="7" t="s">
        <v>24</v>
      </c>
      <c r="H2604" s="1">
        <f t="shared" si="40"/>
        <v>0</v>
      </c>
    </row>
    <row r="2605" spans="1:8" x14ac:dyDescent="0.25">
      <c r="A2605" s="1" t="s">
        <v>16</v>
      </c>
      <c r="B2605" s="1" t="s">
        <v>19</v>
      </c>
      <c r="C2605" s="6">
        <v>7000</v>
      </c>
      <c r="D2605" s="6">
        <v>32010</v>
      </c>
      <c r="E2605" s="6">
        <v>29342.5</v>
      </c>
      <c r="F2605" s="6">
        <v>26675</v>
      </c>
      <c r="G2605" s="7" t="s">
        <v>24</v>
      </c>
      <c r="H2605" s="1">
        <f t="shared" si="40"/>
        <v>4.572857142857143</v>
      </c>
    </row>
    <row r="2606" spans="1:8" x14ac:dyDescent="0.25">
      <c r="A2606" s="1" t="s">
        <v>16</v>
      </c>
      <c r="B2606" s="1" t="s">
        <v>19</v>
      </c>
      <c r="C2606" s="6">
        <v>7500</v>
      </c>
      <c r="D2606" s="6">
        <v>0</v>
      </c>
      <c r="E2606" s="6">
        <v>0</v>
      </c>
      <c r="F2606" s="6">
        <v>0</v>
      </c>
      <c r="G2606" s="7" t="s">
        <v>24</v>
      </c>
      <c r="H2606" s="1">
        <f t="shared" si="40"/>
        <v>0</v>
      </c>
    </row>
    <row r="2607" spans="1:8" x14ac:dyDescent="0.25">
      <c r="A2607" s="1" t="s">
        <v>16</v>
      </c>
      <c r="B2607" s="1" t="s">
        <v>19</v>
      </c>
      <c r="C2607" s="6">
        <v>7500</v>
      </c>
      <c r="D2607" s="6">
        <v>0</v>
      </c>
      <c r="E2607" s="6">
        <v>0</v>
      </c>
      <c r="F2607" s="6">
        <v>0</v>
      </c>
      <c r="G2607" s="7" t="s">
        <v>24</v>
      </c>
      <c r="H2607" s="1">
        <f t="shared" si="40"/>
        <v>0</v>
      </c>
    </row>
    <row r="2608" spans="1:8" x14ac:dyDescent="0.25">
      <c r="A2608" s="1" t="s">
        <v>16</v>
      </c>
      <c r="B2608" s="1" t="s">
        <v>19</v>
      </c>
      <c r="C2608" s="6">
        <v>1862275</v>
      </c>
      <c r="D2608" s="6">
        <v>1414656.5874999999</v>
      </c>
      <c r="E2608" s="6">
        <v>1405885.2475000001</v>
      </c>
      <c r="F2608" s="6">
        <v>1181986.0575000001</v>
      </c>
      <c r="G2608" s="7" t="s">
        <v>24</v>
      </c>
      <c r="H2608" s="1">
        <f t="shared" si="40"/>
        <v>0.75963892953511158</v>
      </c>
    </row>
    <row r="2609" spans="1:8" x14ac:dyDescent="0.25">
      <c r="A2609" s="1" t="s">
        <v>16</v>
      </c>
      <c r="B2609" s="1" t="s">
        <v>19</v>
      </c>
      <c r="C2609" s="6">
        <v>10000</v>
      </c>
      <c r="D2609" s="6">
        <v>3780</v>
      </c>
      <c r="E2609" s="6">
        <v>2625</v>
      </c>
      <c r="F2609" s="6">
        <v>2625</v>
      </c>
      <c r="G2609" s="7" t="s">
        <v>24</v>
      </c>
      <c r="H2609" s="1">
        <f t="shared" si="40"/>
        <v>0.378</v>
      </c>
    </row>
    <row r="2610" spans="1:8" x14ac:dyDescent="0.25">
      <c r="A2610" s="1" t="s">
        <v>16</v>
      </c>
      <c r="B2610" s="1" t="s">
        <v>19</v>
      </c>
      <c r="C2610" s="6">
        <v>500</v>
      </c>
      <c r="D2610" s="6">
        <v>0</v>
      </c>
      <c r="E2610" s="6">
        <v>0</v>
      </c>
      <c r="F2610" s="6">
        <v>0</v>
      </c>
      <c r="G2610" s="7" t="s">
        <v>24</v>
      </c>
      <c r="H2610" s="1">
        <f t="shared" si="40"/>
        <v>0</v>
      </c>
    </row>
    <row r="2611" spans="1:8" x14ac:dyDescent="0.25">
      <c r="A2611" s="1" t="s">
        <v>16</v>
      </c>
      <c r="B2611" s="1" t="s">
        <v>19</v>
      </c>
      <c r="C2611" s="6">
        <v>17500</v>
      </c>
      <c r="D2611" s="6">
        <v>4017.16</v>
      </c>
      <c r="E2611" s="6">
        <v>2430.0774999999999</v>
      </c>
      <c r="F2611" s="6">
        <v>2430.0774999999999</v>
      </c>
      <c r="G2611" s="7" t="s">
        <v>24</v>
      </c>
      <c r="H2611" s="1">
        <f t="shared" si="40"/>
        <v>0.22955199999999998</v>
      </c>
    </row>
    <row r="2612" spans="1:8" x14ac:dyDescent="0.25">
      <c r="A2612" s="1" t="s">
        <v>16</v>
      </c>
      <c r="B2612" s="1" t="s">
        <v>19</v>
      </c>
      <c r="C2612" s="6">
        <v>9500</v>
      </c>
      <c r="D2612" s="6">
        <v>0</v>
      </c>
      <c r="E2612" s="6">
        <v>0</v>
      </c>
      <c r="F2612" s="6">
        <v>0</v>
      </c>
      <c r="G2612" s="7" t="s">
        <v>24</v>
      </c>
      <c r="H2612" s="1">
        <f t="shared" si="40"/>
        <v>0</v>
      </c>
    </row>
    <row r="2613" spans="1:8" x14ac:dyDescent="0.25">
      <c r="A2613" s="1" t="s">
        <v>16</v>
      </c>
      <c r="B2613" s="1" t="s">
        <v>19</v>
      </c>
      <c r="C2613" s="6">
        <v>17500</v>
      </c>
      <c r="D2613" s="6">
        <v>0</v>
      </c>
      <c r="E2613" s="6">
        <v>0</v>
      </c>
      <c r="F2613" s="6">
        <v>0</v>
      </c>
      <c r="G2613" s="7" t="s">
        <v>24</v>
      </c>
      <c r="H2613" s="1">
        <f t="shared" si="40"/>
        <v>0</v>
      </c>
    </row>
    <row r="2614" spans="1:8" x14ac:dyDescent="0.25">
      <c r="A2614" s="1" t="s">
        <v>16</v>
      </c>
      <c r="B2614" s="1" t="s">
        <v>19</v>
      </c>
      <c r="C2614" s="6">
        <v>87000</v>
      </c>
      <c r="D2614" s="6">
        <v>575</v>
      </c>
      <c r="E2614" s="6">
        <v>575</v>
      </c>
      <c r="F2614" s="6">
        <v>575</v>
      </c>
      <c r="G2614" s="7" t="s">
        <v>24</v>
      </c>
      <c r="H2614" s="1">
        <f t="shared" si="40"/>
        <v>6.6091954022988505E-3</v>
      </c>
    </row>
    <row r="2615" spans="1:8" x14ac:dyDescent="0.25">
      <c r="A2615" s="1" t="s">
        <v>16</v>
      </c>
      <c r="B2615" s="1" t="s">
        <v>19</v>
      </c>
      <c r="C2615" s="6">
        <v>3250</v>
      </c>
      <c r="D2615" s="6">
        <v>0</v>
      </c>
      <c r="E2615" s="6">
        <v>0</v>
      </c>
      <c r="F2615" s="6">
        <v>0</v>
      </c>
      <c r="G2615" s="7" t="s">
        <v>24</v>
      </c>
      <c r="H2615" s="1">
        <f t="shared" si="40"/>
        <v>0</v>
      </c>
    </row>
    <row r="2616" spans="1:8" x14ac:dyDescent="0.25">
      <c r="A2616" s="1" t="s">
        <v>16</v>
      </c>
      <c r="B2616" s="1" t="s">
        <v>19</v>
      </c>
      <c r="C2616" s="6">
        <v>5000</v>
      </c>
      <c r="D2616" s="6">
        <v>0</v>
      </c>
      <c r="E2616" s="6">
        <v>0</v>
      </c>
      <c r="F2616" s="6">
        <v>0</v>
      </c>
      <c r="G2616" s="7" t="s">
        <v>24</v>
      </c>
      <c r="H2616" s="1">
        <f t="shared" si="40"/>
        <v>0</v>
      </c>
    </row>
    <row r="2617" spans="1:8" x14ac:dyDescent="0.25">
      <c r="A2617" s="1" t="s">
        <v>16</v>
      </c>
      <c r="B2617" s="1" t="s">
        <v>19</v>
      </c>
      <c r="C2617" s="6">
        <v>8750</v>
      </c>
      <c r="D2617" s="6">
        <v>0</v>
      </c>
      <c r="E2617" s="6">
        <v>0</v>
      </c>
      <c r="F2617" s="6">
        <v>0</v>
      </c>
      <c r="G2617" s="7" t="s">
        <v>24</v>
      </c>
      <c r="H2617" s="1">
        <f t="shared" si="40"/>
        <v>0</v>
      </c>
    </row>
    <row r="2618" spans="1:8" x14ac:dyDescent="0.25">
      <c r="A2618" s="1" t="s">
        <v>16</v>
      </c>
      <c r="B2618" s="1" t="s">
        <v>19</v>
      </c>
      <c r="C2618" s="6">
        <v>2000</v>
      </c>
      <c r="D2618" s="6">
        <v>0</v>
      </c>
      <c r="E2618" s="6">
        <v>0</v>
      </c>
      <c r="F2618" s="6">
        <v>0</v>
      </c>
      <c r="G2618" s="7" t="s">
        <v>24</v>
      </c>
      <c r="H2618" s="1">
        <f t="shared" si="40"/>
        <v>0</v>
      </c>
    </row>
    <row r="2619" spans="1:8" x14ac:dyDescent="0.25">
      <c r="A2619" s="1" t="s">
        <v>16</v>
      </c>
      <c r="B2619" s="1" t="s">
        <v>19</v>
      </c>
      <c r="C2619" s="6">
        <v>122575</v>
      </c>
      <c r="D2619" s="6">
        <v>963.20749999999998</v>
      </c>
      <c r="E2619" s="6">
        <v>582.9325</v>
      </c>
      <c r="F2619" s="6">
        <v>582.9325</v>
      </c>
      <c r="G2619" s="7" t="s">
        <v>24</v>
      </c>
      <c r="H2619" s="1">
        <f t="shared" si="40"/>
        <v>7.8581072812563737E-3</v>
      </c>
    </row>
    <row r="2620" spans="1:8" x14ac:dyDescent="0.25">
      <c r="A2620" s="1" t="s">
        <v>16</v>
      </c>
      <c r="B2620" s="1" t="s">
        <v>19</v>
      </c>
      <c r="C2620" s="6">
        <v>208625</v>
      </c>
      <c r="D2620" s="6">
        <v>9795.4125000000004</v>
      </c>
      <c r="E2620" s="6">
        <v>9795.4125000000004</v>
      </c>
      <c r="F2620" s="6">
        <v>9795.4125000000004</v>
      </c>
      <c r="G2620" s="7" t="s">
        <v>24</v>
      </c>
      <c r="H2620" s="1">
        <f t="shared" si="40"/>
        <v>4.6952246854403835E-2</v>
      </c>
    </row>
    <row r="2621" spans="1:8" x14ac:dyDescent="0.25">
      <c r="A2621" s="1" t="s">
        <v>16</v>
      </c>
      <c r="B2621" s="1" t="s">
        <v>19</v>
      </c>
      <c r="C2621" s="6">
        <v>2500</v>
      </c>
      <c r="D2621" s="6">
        <v>0</v>
      </c>
      <c r="E2621" s="6">
        <v>0</v>
      </c>
      <c r="F2621" s="6">
        <v>0</v>
      </c>
      <c r="G2621" s="7" t="s">
        <v>24</v>
      </c>
      <c r="H2621" s="1">
        <f t="shared" si="40"/>
        <v>0</v>
      </c>
    </row>
    <row r="2622" spans="1:8" x14ac:dyDescent="0.25">
      <c r="A2622" s="1" t="s">
        <v>16</v>
      </c>
      <c r="B2622" s="1" t="s">
        <v>19</v>
      </c>
      <c r="C2622" s="6">
        <v>5625</v>
      </c>
      <c r="D2622" s="6">
        <v>547.75</v>
      </c>
      <c r="E2622" s="6">
        <v>547.75</v>
      </c>
      <c r="F2622" s="6">
        <v>547.75</v>
      </c>
      <c r="G2622" s="7" t="s">
        <v>24</v>
      </c>
      <c r="H2622" s="1">
        <f t="shared" si="40"/>
        <v>9.7377777777777771E-2</v>
      </c>
    </row>
    <row r="2623" spans="1:8" x14ac:dyDescent="0.25">
      <c r="A2623" s="1" t="s">
        <v>16</v>
      </c>
      <c r="B2623" s="1" t="s">
        <v>19</v>
      </c>
      <c r="C2623" s="6">
        <v>139472</v>
      </c>
      <c r="D2623" s="6">
        <v>129711.03</v>
      </c>
      <c r="E2623" s="6">
        <v>113234.2375</v>
      </c>
      <c r="F2623" s="6">
        <v>113222.7825</v>
      </c>
      <c r="G2623" s="7" t="s">
        <v>24</v>
      </c>
      <c r="H2623" s="1">
        <f t="shared" si="40"/>
        <v>0.93001484168865434</v>
      </c>
    </row>
    <row r="2624" spans="1:8" x14ac:dyDescent="0.25">
      <c r="A2624" s="1" t="s">
        <v>16</v>
      </c>
      <c r="B2624" s="1" t="s">
        <v>19</v>
      </c>
      <c r="C2624" s="6">
        <v>501469</v>
      </c>
      <c r="D2624" s="6">
        <v>0</v>
      </c>
      <c r="E2624" s="6">
        <v>0</v>
      </c>
      <c r="F2624" s="6">
        <v>0</v>
      </c>
      <c r="G2624" s="7" t="s">
        <v>24</v>
      </c>
      <c r="H2624" s="1">
        <f t="shared" si="40"/>
        <v>0</v>
      </c>
    </row>
    <row r="2625" spans="1:8" x14ac:dyDescent="0.25">
      <c r="A2625" s="1" t="s">
        <v>12</v>
      </c>
      <c r="B2625" s="1" t="s">
        <v>13</v>
      </c>
      <c r="C2625" s="6">
        <v>15250</v>
      </c>
      <c r="D2625" s="6">
        <v>335.25</v>
      </c>
      <c r="E2625" s="6">
        <v>0</v>
      </c>
      <c r="F2625" s="6">
        <v>0</v>
      </c>
      <c r="G2625" s="7" t="s">
        <v>24</v>
      </c>
      <c r="H2625" s="1">
        <f t="shared" si="40"/>
        <v>2.198360655737705E-2</v>
      </c>
    </row>
    <row r="2626" spans="1:8" x14ac:dyDescent="0.25">
      <c r="A2626" s="1" t="s">
        <v>12</v>
      </c>
      <c r="B2626" s="1" t="s">
        <v>13</v>
      </c>
      <c r="C2626" s="6">
        <v>175120</v>
      </c>
      <c r="D2626" s="6">
        <v>161481.83499999999</v>
      </c>
      <c r="E2626" s="6">
        <v>108504.14</v>
      </c>
      <c r="F2626" s="6">
        <v>100275.26</v>
      </c>
      <c r="G2626" s="7" t="s">
        <v>24</v>
      </c>
      <c r="H2626" s="1">
        <f t="shared" ref="H2626:H2689" si="41">IF(OR(ISNA($D2626),ISNA($C2626),$C2626=0),0,$D2626/$C2626)</f>
        <v>0.92212103129282774</v>
      </c>
    </row>
    <row r="2627" spans="1:8" x14ac:dyDescent="0.25">
      <c r="A2627" s="1" t="s">
        <v>12</v>
      </c>
      <c r="B2627" s="1" t="s">
        <v>13</v>
      </c>
      <c r="C2627" s="6">
        <v>1146036</v>
      </c>
      <c r="D2627" s="6">
        <v>476722.34</v>
      </c>
      <c r="E2627" s="6">
        <v>435188.36499999999</v>
      </c>
      <c r="F2627" s="6">
        <v>406845.79249999998</v>
      </c>
      <c r="G2627" s="7" t="s">
        <v>24</v>
      </c>
      <c r="H2627" s="1">
        <f t="shared" si="41"/>
        <v>0.41597501300133682</v>
      </c>
    </row>
    <row r="2628" spans="1:8" x14ac:dyDescent="0.25">
      <c r="A2628" s="1" t="s">
        <v>12</v>
      </c>
      <c r="B2628" s="1" t="s">
        <v>13</v>
      </c>
      <c r="C2628" s="6">
        <v>93125</v>
      </c>
      <c r="D2628" s="6">
        <v>0</v>
      </c>
      <c r="E2628" s="6">
        <v>0</v>
      </c>
      <c r="F2628" s="6">
        <v>0</v>
      </c>
      <c r="G2628" s="7" t="s">
        <v>24</v>
      </c>
      <c r="H2628" s="1">
        <f t="shared" si="41"/>
        <v>0</v>
      </c>
    </row>
    <row r="2629" spans="1:8" x14ac:dyDescent="0.25">
      <c r="A2629" s="1" t="s">
        <v>12</v>
      </c>
      <c r="B2629" s="1" t="s">
        <v>13</v>
      </c>
      <c r="C2629" s="6">
        <v>164785</v>
      </c>
      <c r="D2629" s="6">
        <v>0</v>
      </c>
      <c r="E2629" s="6">
        <v>0</v>
      </c>
      <c r="F2629" s="6">
        <v>0</v>
      </c>
      <c r="G2629" s="7" t="s">
        <v>24</v>
      </c>
      <c r="H2629" s="1">
        <f t="shared" si="41"/>
        <v>0</v>
      </c>
    </row>
    <row r="2630" spans="1:8" x14ac:dyDescent="0.25">
      <c r="A2630" s="1" t="s">
        <v>12</v>
      </c>
      <c r="B2630" s="1" t="s">
        <v>13</v>
      </c>
      <c r="C2630" s="6">
        <v>1289500</v>
      </c>
      <c r="D2630" s="6">
        <v>552418.75</v>
      </c>
      <c r="E2630" s="6">
        <v>527990</v>
      </c>
      <c r="F2630" s="6">
        <v>527990</v>
      </c>
      <c r="G2630" s="7" t="s">
        <v>24</v>
      </c>
      <c r="H2630" s="1">
        <f t="shared" si="41"/>
        <v>0.42839763474214809</v>
      </c>
    </row>
    <row r="2631" spans="1:8" x14ac:dyDescent="0.25">
      <c r="A2631" s="1" t="s">
        <v>12</v>
      </c>
      <c r="B2631" s="1" t="s">
        <v>13</v>
      </c>
      <c r="C2631" s="6">
        <v>431000</v>
      </c>
      <c r="D2631" s="6">
        <v>181812.5</v>
      </c>
      <c r="E2631" s="6">
        <v>170125</v>
      </c>
      <c r="F2631" s="6">
        <v>170125</v>
      </c>
      <c r="G2631" s="7" t="s">
        <v>24</v>
      </c>
      <c r="H2631" s="1">
        <f t="shared" si="41"/>
        <v>0.42183874709976799</v>
      </c>
    </row>
    <row r="2632" spans="1:8" x14ac:dyDescent="0.25">
      <c r="A2632" s="1" t="s">
        <v>12</v>
      </c>
      <c r="B2632" s="1" t="s">
        <v>13</v>
      </c>
      <c r="C2632" s="6">
        <v>970275</v>
      </c>
      <c r="D2632" s="6">
        <v>695278.75</v>
      </c>
      <c r="E2632" s="6">
        <v>666162.5</v>
      </c>
      <c r="F2632" s="6">
        <v>666162.5</v>
      </c>
      <c r="G2632" s="7" t="s">
        <v>24</v>
      </c>
      <c r="H2632" s="1">
        <f t="shared" si="41"/>
        <v>0.71657906263688131</v>
      </c>
    </row>
    <row r="2633" spans="1:8" x14ac:dyDescent="0.25">
      <c r="A2633" s="1" t="s">
        <v>12</v>
      </c>
      <c r="B2633" s="1" t="s">
        <v>13</v>
      </c>
      <c r="C2633" s="6">
        <v>80750</v>
      </c>
      <c r="D2633" s="6">
        <v>58375</v>
      </c>
      <c r="E2633" s="6">
        <v>50250</v>
      </c>
      <c r="F2633" s="6">
        <v>50250</v>
      </c>
      <c r="G2633" s="7" t="s">
        <v>24</v>
      </c>
      <c r="H2633" s="1">
        <f t="shared" si="41"/>
        <v>0.72291021671826627</v>
      </c>
    </row>
    <row r="2634" spans="1:8" x14ac:dyDescent="0.25">
      <c r="A2634" s="1" t="s">
        <v>12</v>
      </c>
      <c r="B2634" s="1" t="s">
        <v>13</v>
      </c>
      <c r="C2634" s="6">
        <v>1250</v>
      </c>
      <c r="D2634" s="6">
        <v>0</v>
      </c>
      <c r="E2634" s="6">
        <v>0</v>
      </c>
      <c r="F2634" s="6">
        <v>0</v>
      </c>
      <c r="G2634" s="7" t="s">
        <v>24</v>
      </c>
      <c r="H2634" s="1">
        <f t="shared" si="41"/>
        <v>0</v>
      </c>
    </row>
    <row r="2635" spans="1:8" x14ac:dyDescent="0.25">
      <c r="A2635" s="1" t="s">
        <v>12</v>
      </c>
      <c r="B2635" s="1" t="s">
        <v>13</v>
      </c>
      <c r="C2635" s="6">
        <v>1089174</v>
      </c>
      <c r="D2635" s="6">
        <v>0</v>
      </c>
      <c r="E2635" s="6">
        <v>0</v>
      </c>
      <c r="F2635" s="6">
        <v>0</v>
      </c>
      <c r="G2635" s="7" t="s">
        <v>24</v>
      </c>
      <c r="H2635" s="1">
        <f t="shared" si="41"/>
        <v>0</v>
      </c>
    </row>
    <row r="2636" spans="1:8" x14ac:dyDescent="0.25">
      <c r="A2636" s="1" t="s">
        <v>12</v>
      </c>
      <c r="B2636" s="1" t="s">
        <v>13</v>
      </c>
      <c r="C2636" s="6">
        <v>437384</v>
      </c>
      <c r="D2636" s="6">
        <v>3654.9074999999998</v>
      </c>
      <c r="E2636" s="6">
        <v>3654.9074999999998</v>
      </c>
      <c r="F2636" s="6">
        <v>3654.9074999999998</v>
      </c>
      <c r="G2636" s="7" t="s">
        <v>24</v>
      </c>
      <c r="H2636" s="1">
        <f t="shared" si="41"/>
        <v>8.3562898962925014E-3</v>
      </c>
    </row>
    <row r="2637" spans="1:8" x14ac:dyDescent="0.25">
      <c r="A2637" s="1" t="s">
        <v>12</v>
      </c>
      <c r="B2637" s="1" t="s">
        <v>13</v>
      </c>
      <c r="C2637" s="6">
        <v>251000</v>
      </c>
      <c r="D2637" s="6">
        <v>0</v>
      </c>
      <c r="E2637" s="6">
        <v>0</v>
      </c>
      <c r="F2637" s="6">
        <v>0</v>
      </c>
      <c r="G2637" s="7" t="s">
        <v>24</v>
      </c>
      <c r="H2637" s="1">
        <f t="shared" si="41"/>
        <v>0</v>
      </c>
    </row>
    <row r="2638" spans="1:8" x14ac:dyDescent="0.25">
      <c r="A2638" s="1" t="s">
        <v>12</v>
      </c>
      <c r="B2638" s="1" t="s">
        <v>13</v>
      </c>
      <c r="C2638" s="6">
        <v>6089360</v>
      </c>
      <c r="D2638" s="6">
        <v>4052857.2349999999</v>
      </c>
      <c r="E2638" s="6">
        <v>3295871.1575000002</v>
      </c>
      <c r="F2638" s="6">
        <v>2229138.5649999999</v>
      </c>
      <c r="G2638" s="7" t="s">
        <v>24</v>
      </c>
      <c r="H2638" s="1">
        <f t="shared" si="41"/>
        <v>0.66556374315198963</v>
      </c>
    </row>
    <row r="2639" spans="1:8" x14ac:dyDescent="0.25">
      <c r="A2639" s="1" t="s">
        <v>12</v>
      </c>
      <c r="B2639" s="1" t="s">
        <v>13</v>
      </c>
      <c r="C2639" s="6">
        <v>326166</v>
      </c>
      <c r="D2639" s="6">
        <v>188312.51250000001</v>
      </c>
      <c r="E2639" s="6">
        <v>124662.5</v>
      </c>
      <c r="F2639" s="6">
        <v>115997.8125</v>
      </c>
      <c r="G2639" s="7" t="s">
        <v>24</v>
      </c>
      <c r="H2639" s="1">
        <f t="shared" si="41"/>
        <v>0.57735175493460389</v>
      </c>
    </row>
    <row r="2640" spans="1:8" x14ac:dyDescent="0.25">
      <c r="A2640" s="1" t="s">
        <v>12</v>
      </c>
      <c r="B2640" s="1" t="s">
        <v>13</v>
      </c>
      <c r="C2640" s="6">
        <v>4560138</v>
      </c>
      <c r="D2640" s="6">
        <v>2728388.9849999999</v>
      </c>
      <c r="E2640" s="6">
        <v>1714008.2124999999</v>
      </c>
      <c r="F2640" s="6">
        <v>1410123.43</v>
      </c>
      <c r="G2640" s="7" t="s">
        <v>24</v>
      </c>
      <c r="H2640" s="1">
        <f t="shared" si="41"/>
        <v>0.5983128109280903</v>
      </c>
    </row>
    <row r="2641" spans="1:8" x14ac:dyDescent="0.25">
      <c r="A2641" s="1" t="s">
        <v>12</v>
      </c>
      <c r="B2641" s="1" t="s">
        <v>13</v>
      </c>
      <c r="C2641" s="6">
        <v>186142</v>
      </c>
      <c r="D2641" s="6">
        <v>82067.904999999999</v>
      </c>
      <c r="E2641" s="6">
        <v>69669.904999999999</v>
      </c>
      <c r="F2641" s="6">
        <v>66175.442500000005</v>
      </c>
      <c r="G2641" s="7" t="s">
        <v>24</v>
      </c>
      <c r="H2641" s="1">
        <f t="shared" si="41"/>
        <v>0.4408887032480579</v>
      </c>
    </row>
    <row r="2642" spans="1:8" x14ac:dyDescent="0.25">
      <c r="A2642" s="1" t="s">
        <v>12</v>
      </c>
      <c r="B2642" s="1" t="s">
        <v>13</v>
      </c>
      <c r="C2642" s="6">
        <v>84165</v>
      </c>
      <c r="D2642" s="6">
        <v>0</v>
      </c>
      <c r="E2642" s="6">
        <v>0</v>
      </c>
      <c r="F2642" s="6">
        <v>0</v>
      </c>
      <c r="G2642" s="7" t="s">
        <v>24</v>
      </c>
      <c r="H2642" s="1">
        <f t="shared" si="41"/>
        <v>0</v>
      </c>
    </row>
    <row r="2643" spans="1:8" x14ac:dyDescent="0.25">
      <c r="A2643" s="1" t="s">
        <v>12</v>
      </c>
      <c r="B2643" s="1" t="s">
        <v>13</v>
      </c>
      <c r="C2643" s="6">
        <v>464775</v>
      </c>
      <c r="D2643" s="6">
        <v>229475</v>
      </c>
      <c r="E2643" s="6">
        <v>38178.767500000002</v>
      </c>
      <c r="F2643" s="6">
        <v>32113.467499999999</v>
      </c>
      <c r="G2643" s="7" t="s">
        <v>24</v>
      </c>
      <c r="H2643" s="1">
        <f t="shared" si="41"/>
        <v>0.49373352697541822</v>
      </c>
    </row>
    <row r="2644" spans="1:8" x14ac:dyDescent="0.25">
      <c r="A2644" s="1" t="s">
        <v>12</v>
      </c>
      <c r="B2644" s="1" t="s">
        <v>13</v>
      </c>
      <c r="C2644" s="6">
        <v>1139104</v>
      </c>
      <c r="D2644" s="6">
        <v>406167.99249999999</v>
      </c>
      <c r="E2644" s="6">
        <v>239493.71249999999</v>
      </c>
      <c r="F2644" s="6">
        <v>217147.92249999999</v>
      </c>
      <c r="G2644" s="7" t="s">
        <v>24</v>
      </c>
      <c r="H2644" s="1">
        <f t="shared" si="41"/>
        <v>0.35656796262676632</v>
      </c>
    </row>
    <row r="2645" spans="1:8" x14ac:dyDescent="0.25">
      <c r="A2645" s="1" t="s">
        <v>12</v>
      </c>
      <c r="B2645" s="1" t="s">
        <v>13</v>
      </c>
      <c r="C2645" s="6">
        <v>1076790</v>
      </c>
      <c r="D2645" s="6">
        <v>812262.58750000002</v>
      </c>
      <c r="E2645" s="6">
        <v>581180.51</v>
      </c>
      <c r="F2645" s="6">
        <v>437414.09749999997</v>
      </c>
      <c r="G2645" s="7" t="s">
        <v>24</v>
      </c>
      <c r="H2645" s="1">
        <f t="shared" si="41"/>
        <v>0.75433704575636851</v>
      </c>
    </row>
    <row r="2646" spans="1:8" x14ac:dyDescent="0.25">
      <c r="A2646" s="1" t="s">
        <v>12</v>
      </c>
      <c r="B2646" s="1" t="s">
        <v>13</v>
      </c>
      <c r="C2646" s="6">
        <v>2703649</v>
      </c>
      <c r="D2646" s="6">
        <v>3207120.8725000001</v>
      </c>
      <c r="E2646" s="6">
        <v>2891546.5674999999</v>
      </c>
      <c r="F2646" s="6">
        <v>2827295.8975</v>
      </c>
      <c r="G2646" s="7" t="s">
        <v>24</v>
      </c>
      <c r="H2646" s="1">
        <f t="shared" si="41"/>
        <v>1.1862193918293389</v>
      </c>
    </row>
    <row r="2647" spans="1:8" x14ac:dyDescent="0.25">
      <c r="A2647" s="1" t="s">
        <v>12</v>
      </c>
      <c r="B2647" s="1" t="s">
        <v>13</v>
      </c>
      <c r="C2647" s="6">
        <v>667393</v>
      </c>
      <c r="D2647" s="6">
        <v>412500</v>
      </c>
      <c r="E2647" s="6">
        <v>351779.88500000001</v>
      </c>
      <c r="F2647" s="6">
        <v>324258.88</v>
      </c>
      <c r="G2647" s="7" t="s">
        <v>24</v>
      </c>
      <c r="H2647" s="1">
        <f t="shared" si="41"/>
        <v>0.61807660553826604</v>
      </c>
    </row>
    <row r="2648" spans="1:8" x14ac:dyDescent="0.25">
      <c r="A2648" s="1" t="s">
        <v>12</v>
      </c>
      <c r="B2648" s="1" t="s">
        <v>13</v>
      </c>
      <c r="C2648" s="6">
        <v>411223</v>
      </c>
      <c r="D2648" s="6">
        <v>0</v>
      </c>
      <c r="E2648" s="6">
        <v>0</v>
      </c>
      <c r="F2648" s="6">
        <v>0</v>
      </c>
      <c r="G2648" s="7" t="s">
        <v>24</v>
      </c>
      <c r="H2648" s="1">
        <f t="shared" si="41"/>
        <v>0</v>
      </c>
    </row>
    <row r="2649" spans="1:8" x14ac:dyDescent="0.25">
      <c r="A2649" s="1" t="s">
        <v>12</v>
      </c>
      <c r="B2649" s="1" t="s">
        <v>13</v>
      </c>
      <c r="C2649" s="6">
        <v>4732615</v>
      </c>
      <c r="D2649" s="6">
        <v>0</v>
      </c>
      <c r="E2649" s="6">
        <v>0</v>
      </c>
      <c r="F2649" s="6">
        <v>0</v>
      </c>
      <c r="G2649" s="7" t="s">
        <v>24</v>
      </c>
      <c r="H2649" s="1">
        <f t="shared" si="41"/>
        <v>0</v>
      </c>
    </row>
    <row r="2650" spans="1:8" x14ac:dyDescent="0.25">
      <c r="A2650" s="1" t="s">
        <v>12</v>
      </c>
      <c r="B2650" s="1" t="s">
        <v>13</v>
      </c>
      <c r="C2650" s="6">
        <v>259927</v>
      </c>
      <c r="D2650" s="6">
        <v>332631.32500000001</v>
      </c>
      <c r="E2650" s="6">
        <v>98773.014999999999</v>
      </c>
      <c r="F2650" s="6">
        <v>98773.014999999999</v>
      </c>
      <c r="G2650" s="7" t="s">
        <v>24</v>
      </c>
      <c r="H2650" s="1">
        <f t="shared" si="41"/>
        <v>1.2797105533476707</v>
      </c>
    </row>
    <row r="2651" spans="1:8" x14ac:dyDescent="0.25">
      <c r="A2651" s="1" t="s">
        <v>12</v>
      </c>
      <c r="B2651" s="1" t="s">
        <v>13</v>
      </c>
      <c r="C2651" s="6">
        <v>5059776</v>
      </c>
      <c r="D2651" s="6">
        <v>8147173.6900000004</v>
      </c>
      <c r="E2651" s="6">
        <v>6112719.8174999999</v>
      </c>
      <c r="F2651" s="6">
        <v>5779433.7699999996</v>
      </c>
      <c r="G2651" s="7" t="s">
        <v>24</v>
      </c>
      <c r="H2651" s="1">
        <f t="shared" si="41"/>
        <v>1.6101846583722284</v>
      </c>
    </row>
    <row r="2652" spans="1:8" x14ac:dyDescent="0.25">
      <c r="A2652" s="1" t="s">
        <v>12</v>
      </c>
      <c r="B2652" s="1" t="s">
        <v>13</v>
      </c>
      <c r="C2652" s="6">
        <v>302890</v>
      </c>
      <c r="D2652" s="6">
        <v>625000</v>
      </c>
      <c r="E2652" s="6">
        <v>609984.91249999998</v>
      </c>
      <c r="F2652" s="6">
        <v>609984.91249999998</v>
      </c>
      <c r="G2652" s="7" t="s">
        <v>24</v>
      </c>
      <c r="H2652" s="1">
        <f t="shared" si="41"/>
        <v>2.0634553798408661</v>
      </c>
    </row>
    <row r="2653" spans="1:8" x14ac:dyDescent="0.25">
      <c r="A2653" s="1" t="s">
        <v>12</v>
      </c>
      <c r="B2653" s="1" t="s">
        <v>13</v>
      </c>
      <c r="C2653" s="6">
        <v>4427441</v>
      </c>
      <c r="D2653" s="6">
        <v>3376974.93</v>
      </c>
      <c r="E2653" s="6">
        <v>2498030.9874999998</v>
      </c>
      <c r="F2653" s="6">
        <v>2158584.105</v>
      </c>
      <c r="G2653" s="7" t="s">
        <v>24</v>
      </c>
      <c r="H2653" s="1">
        <f t="shared" si="41"/>
        <v>0.76273742100685249</v>
      </c>
    </row>
    <row r="2654" spans="1:8" x14ac:dyDescent="0.25">
      <c r="A2654" s="1" t="s">
        <v>12</v>
      </c>
      <c r="B2654" s="1" t="s">
        <v>13</v>
      </c>
      <c r="C2654" s="6">
        <v>170500</v>
      </c>
      <c r="D2654" s="6">
        <v>0</v>
      </c>
      <c r="E2654" s="6">
        <v>0</v>
      </c>
      <c r="F2654" s="6">
        <v>0</v>
      </c>
      <c r="G2654" s="7" t="s">
        <v>24</v>
      </c>
      <c r="H2654" s="1">
        <f t="shared" si="41"/>
        <v>0</v>
      </c>
    </row>
    <row r="2655" spans="1:8" x14ac:dyDescent="0.25">
      <c r="A2655" s="1" t="s">
        <v>12</v>
      </c>
      <c r="B2655" s="1" t="s">
        <v>13</v>
      </c>
      <c r="C2655" s="6">
        <v>908038</v>
      </c>
      <c r="D2655" s="6">
        <v>446073.34250000003</v>
      </c>
      <c r="E2655" s="6">
        <v>400351.8175</v>
      </c>
      <c r="F2655" s="6">
        <v>307766.745</v>
      </c>
      <c r="G2655" s="7" t="s">
        <v>24</v>
      </c>
      <c r="H2655" s="1">
        <f t="shared" si="41"/>
        <v>0.4912496420854634</v>
      </c>
    </row>
    <row r="2656" spans="1:8" x14ac:dyDescent="0.25">
      <c r="A2656" s="1" t="s">
        <v>12</v>
      </c>
      <c r="B2656" s="1" t="s">
        <v>13</v>
      </c>
      <c r="C2656" s="6">
        <v>947990</v>
      </c>
      <c r="D2656" s="6">
        <v>396351.09499999997</v>
      </c>
      <c r="E2656" s="6">
        <v>209872.48</v>
      </c>
      <c r="F2656" s="6">
        <v>177692.065</v>
      </c>
      <c r="G2656" s="7" t="s">
        <v>24</v>
      </c>
      <c r="H2656" s="1">
        <f t="shared" si="41"/>
        <v>0.41809628266120946</v>
      </c>
    </row>
    <row r="2657" spans="1:8" x14ac:dyDescent="0.25">
      <c r="A2657" s="1" t="s">
        <v>12</v>
      </c>
      <c r="B2657" s="1" t="s">
        <v>13</v>
      </c>
      <c r="C2657" s="6">
        <v>261533</v>
      </c>
      <c r="D2657" s="6">
        <v>0</v>
      </c>
      <c r="E2657" s="6">
        <v>0</v>
      </c>
      <c r="F2657" s="6">
        <v>0</v>
      </c>
      <c r="G2657" s="7" t="s">
        <v>24</v>
      </c>
      <c r="H2657" s="1">
        <f t="shared" si="41"/>
        <v>0</v>
      </c>
    </row>
    <row r="2658" spans="1:8" x14ac:dyDescent="0.25">
      <c r="A2658" s="1" t="s">
        <v>12</v>
      </c>
      <c r="B2658" s="1" t="s">
        <v>13</v>
      </c>
      <c r="C2658" s="6">
        <v>17131110</v>
      </c>
      <c r="D2658" s="6">
        <v>55000</v>
      </c>
      <c r="E2658" s="6">
        <v>40546.980000000003</v>
      </c>
      <c r="F2658" s="6">
        <v>40546.980000000003</v>
      </c>
      <c r="G2658" s="7" t="s">
        <v>24</v>
      </c>
      <c r="H2658" s="1">
        <f t="shared" si="41"/>
        <v>3.2105333513123202E-3</v>
      </c>
    </row>
    <row r="2659" spans="1:8" x14ac:dyDescent="0.25">
      <c r="A2659" s="1" t="s">
        <v>12</v>
      </c>
      <c r="B2659" s="1" t="s">
        <v>13</v>
      </c>
      <c r="C2659" s="6">
        <v>243470</v>
      </c>
      <c r="D2659" s="6">
        <v>536538.31999999995</v>
      </c>
      <c r="E2659" s="6">
        <v>458823.27250000002</v>
      </c>
      <c r="F2659" s="6">
        <v>419871.51500000001</v>
      </c>
      <c r="G2659" s="7" t="s">
        <v>24</v>
      </c>
      <c r="H2659" s="1">
        <f t="shared" si="41"/>
        <v>2.2037142974493777</v>
      </c>
    </row>
    <row r="2660" spans="1:8" x14ac:dyDescent="0.25">
      <c r="A2660" s="1" t="s">
        <v>12</v>
      </c>
      <c r="B2660" s="1" t="s">
        <v>13</v>
      </c>
      <c r="C2660" s="6">
        <v>79750</v>
      </c>
      <c r="D2660" s="6">
        <v>0</v>
      </c>
      <c r="E2660" s="6">
        <v>0</v>
      </c>
      <c r="F2660" s="6">
        <v>0</v>
      </c>
      <c r="G2660" s="7" t="s">
        <v>24</v>
      </c>
      <c r="H2660" s="1">
        <f t="shared" si="41"/>
        <v>0</v>
      </c>
    </row>
    <row r="2661" spans="1:8" x14ac:dyDescent="0.25">
      <c r="A2661" s="1" t="s">
        <v>12</v>
      </c>
      <c r="B2661" s="1" t="s">
        <v>13</v>
      </c>
      <c r="C2661" s="6">
        <v>50500</v>
      </c>
      <c r="D2661" s="6">
        <v>2105.7275</v>
      </c>
      <c r="E2661" s="6">
        <v>878.77750000000003</v>
      </c>
      <c r="F2661" s="6">
        <v>878.77750000000003</v>
      </c>
      <c r="G2661" s="7" t="s">
        <v>24</v>
      </c>
      <c r="H2661" s="1">
        <f t="shared" si="41"/>
        <v>4.1697574257425742E-2</v>
      </c>
    </row>
    <row r="2662" spans="1:8" x14ac:dyDescent="0.25">
      <c r="A2662" s="1" t="s">
        <v>12</v>
      </c>
      <c r="B2662" s="1" t="s">
        <v>13</v>
      </c>
      <c r="C2662" s="6">
        <v>8000</v>
      </c>
      <c r="D2662" s="6">
        <v>0</v>
      </c>
      <c r="E2662" s="6">
        <v>0</v>
      </c>
      <c r="F2662" s="6">
        <v>0</v>
      </c>
      <c r="G2662" s="7" t="s">
        <v>24</v>
      </c>
      <c r="H2662" s="1">
        <f t="shared" si="41"/>
        <v>0</v>
      </c>
    </row>
    <row r="2663" spans="1:8" x14ac:dyDescent="0.25">
      <c r="A2663" s="1" t="s">
        <v>12</v>
      </c>
      <c r="B2663" s="1" t="s">
        <v>13</v>
      </c>
      <c r="C2663" s="6">
        <v>454510</v>
      </c>
      <c r="D2663" s="6">
        <v>0</v>
      </c>
      <c r="E2663" s="6">
        <v>0</v>
      </c>
      <c r="F2663" s="6">
        <v>0</v>
      </c>
      <c r="G2663" s="7" t="s">
        <v>24</v>
      </c>
      <c r="H2663" s="1">
        <f t="shared" si="41"/>
        <v>0</v>
      </c>
    </row>
    <row r="2664" spans="1:8" x14ac:dyDescent="0.25">
      <c r="A2664" s="1" t="s">
        <v>12</v>
      </c>
      <c r="B2664" s="1" t="s">
        <v>13</v>
      </c>
      <c r="C2664" s="6">
        <v>961390</v>
      </c>
      <c r="D2664" s="6">
        <v>0</v>
      </c>
      <c r="E2664" s="6">
        <v>0</v>
      </c>
      <c r="F2664" s="6">
        <v>0</v>
      </c>
      <c r="G2664" s="7" t="s">
        <v>24</v>
      </c>
      <c r="H2664" s="1">
        <f t="shared" si="41"/>
        <v>0</v>
      </c>
    </row>
    <row r="2665" spans="1:8" x14ac:dyDescent="0.25">
      <c r="A2665" s="1" t="s">
        <v>12</v>
      </c>
      <c r="B2665" s="1" t="s">
        <v>13</v>
      </c>
      <c r="C2665" s="6">
        <v>51760</v>
      </c>
      <c r="D2665" s="6">
        <v>0</v>
      </c>
      <c r="E2665" s="6">
        <v>0</v>
      </c>
      <c r="F2665" s="6">
        <v>0</v>
      </c>
      <c r="G2665" s="7" t="s">
        <v>24</v>
      </c>
      <c r="H2665" s="1">
        <f t="shared" si="41"/>
        <v>0</v>
      </c>
    </row>
    <row r="2666" spans="1:8" x14ac:dyDescent="0.25">
      <c r="A2666" s="1" t="s">
        <v>12</v>
      </c>
      <c r="B2666" s="1" t="s">
        <v>13</v>
      </c>
      <c r="C2666" s="6">
        <v>111639</v>
      </c>
      <c r="D2666" s="6">
        <v>0</v>
      </c>
      <c r="E2666" s="6">
        <v>0</v>
      </c>
      <c r="F2666" s="6">
        <v>0</v>
      </c>
      <c r="G2666" s="7" t="s">
        <v>24</v>
      </c>
      <c r="H2666" s="1">
        <f t="shared" si="41"/>
        <v>0</v>
      </c>
    </row>
    <row r="2667" spans="1:8" x14ac:dyDescent="0.25">
      <c r="A2667" s="1" t="s">
        <v>12</v>
      </c>
      <c r="B2667" s="1" t="s">
        <v>13</v>
      </c>
      <c r="C2667" s="6">
        <v>252250</v>
      </c>
      <c r="D2667" s="6">
        <v>0</v>
      </c>
      <c r="E2667" s="6">
        <v>0</v>
      </c>
      <c r="F2667" s="6">
        <v>0</v>
      </c>
      <c r="G2667" s="7" t="s">
        <v>24</v>
      </c>
      <c r="H2667" s="1">
        <f t="shared" si="41"/>
        <v>0</v>
      </c>
    </row>
    <row r="2668" spans="1:8" x14ac:dyDescent="0.25">
      <c r="A2668" s="1" t="s">
        <v>12</v>
      </c>
      <c r="B2668" s="1" t="s">
        <v>13</v>
      </c>
      <c r="C2668" s="6">
        <v>1598775</v>
      </c>
      <c r="D2668" s="6">
        <v>39309.055</v>
      </c>
      <c r="E2668" s="6">
        <v>32797.732499999998</v>
      </c>
      <c r="F2668" s="6">
        <v>17318.38</v>
      </c>
      <c r="G2668" s="7" t="s">
        <v>24</v>
      </c>
      <c r="H2668" s="1">
        <f t="shared" si="41"/>
        <v>2.4586983784459976E-2</v>
      </c>
    </row>
    <row r="2669" spans="1:8" x14ac:dyDescent="0.25">
      <c r="A2669" s="1" t="s">
        <v>12</v>
      </c>
      <c r="B2669" s="1" t="s">
        <v>14</v>
      </c>
      <c r="C2669" s="6">
        <v>3178849</v>
      </c>
      <c r="D2669" s="6">
        <v>2351441.7400000002</v>
      </c>
      <c r="E2669" s="6">
        <v>1735705.7749999999</v>
      </c>
      <c r="F2669" s="6">
        <v>1735705.7749999999</v>
      </c>
      <c r="G2669" s="7" t="s">
        <v>24</v>
      </c>
      <c r="H2669" s="1">
        <f t="shared" si="41"/>
        <v>0.73971482759954943</v>
      </c>
    </row>
    <row r="2670" spans="1:8" x14ac:dyDescent="0.25">
      <c r="A2670" s="1" t="s">
        <v>12</v>
      </c>
      <c r="B2670" s="1" t="s">
        <v>14</v>
      </c>
      <c r="C2670" s="6">
        <v>8470530</v>
      </c>
      <c r="D2670" s="6">
        <v>9033556.9250000007</v>
      </c>
      <c r="E2670" s="6">
        <v>8170229.8174999999</v>
      </c>
      <c r="F2670" s="6">
        <v>8170229.8174999999</v>
      </c>
      <c r="G2670" s="7" t="s">
        <v>24</v>
      </c>
      <c r="H2670" s="1">
        <f t="shared" si="41"/>
        <v>1.0664689133973908</v>
      </c>
    </row>
    <row r="2671" spans="1:8" x14ac:dyDescent="0.25">
      <c r="A2671" s="1" t="s">
        <v>12</v>
      </c>
      <c r="B2671" s="1" t="s">
        <v>14</v>
      </c>
      <c r="C2671" s="6">
        <v>407220</v>
      </c>
      <c r="D2671" s="6">
        <v>582064.6825</v>
      </c>
      <c r="E2671" s="6">
        <v>456081.495</v>
      </c>
      <c r="F2671" s="6">
        <v>456081.495</v>
      </c>
      <c r="G2671" s="7" t="s">
        <v>24</v>
      </c>
      <c r="H2671" s="1">
        <f t="shared" si="41"/>
        <v>1.4293617270762733</v>
      </c>
    </row>
    <row r="2672" spans="1:8" x14ac:dyDescent="0.25">
      <c r="A2672" s="1" t="s">
        <v>12</v>
      </c>
      <c r="B2672" s="1" t="s">
        <v>14</v>
      </c>
      <c r="C2672" s="6">
        <v>26514652</v>
      </c>
      <c r="D2672" s="6">
        <v>22562126.8325</v>
      </c>
      <c r="E2672" s="6">
        <v>18710057.317499999</v>
      </c>
      <c r="F2672" s="6">
        <v>18710057.317499999</v>
      </c>
      <c r="G2672" s="7" t="s">
        <v>24</v>
      </c>
      <c r="H2672" s="1">
        <f t="shared" si="41"/>
        <v>0.85093052824151716</v>
      </c>
    </row>
    <row r="2673" spans="1:8" x14ac:dyDescent="0.25">
      <c r="A2673" s="1" t="s">
        <v>12</v>
      </c>
      <c r="B2673" s="1" t="s">
        <v>14</v>
      </c>
      <c r="C2673" s="6">
        <v>1840590</v>
      </c>
      <c r="D2673" s="6">
        <v>1572067.63</v>
      </c>
      <c r="E2673" s="6">
        <v>1409043.0049999999</v>
      </c>
      <c r="F2673" s="6">
        <v>1408048.69</v>
      </c>
      <c r="G2673" s="7" t="s">
        <v>24</v>
      </c>
      <c r="H2673" s="1">
        <f t="shared" si="41"/>
        <v>0.85411070906611464</v>
      </c>
    </row>
    <row r="2674" spans="1:8" x14ac:dyDescent="0.25">
      <c r="A2674" s="1" t="s">
        <v>12</v>
      </c>
      <c r="B2674" s="1" t="s">
        <v>14</v>
      </c>
      <c r="C2674" s="6">
        <v>8453194</v>
      </c>
      <c r="D2674" s="6">
        <v>5981410.7474999996</v>
      </c>
      <c r="E2674" s="6">
        <v>5054932.8825000003</v>
      </c>
      <c r="F2674" s="6">
        <v>5054932.8825000003</v>
      </c>
      <c r="G2674" s="7" t="s">
        <v>24</v>
      </c>
      <c r="H2674" s="1">
        <f t="shared" si="41"/>
        <v>0.70759179873311784</v>
      </c>
    </row>
    <row r="2675" spans="1:8" x14ac:dyDescent="0.25">
      <c r="A2675" s="1" t="s">
        <v>12</v>
      </c>
      <c r="B2675" s="1" t="s">
        <v>14</v>
      </c>
      <c r="C2675" s="6">
        <v>28947390</v>
      </c>
      <c r="D2675" s="6">
        <v>27959199.539999999</v>
      </c>
      <c r="E2675" s="6">
        <v>27020483.747499999</v>
      </c>
      <c r="F2675" s="6">
        <v>26882211.074999999</v>
      </c>
      <c r="G2675" s="7" t="s">
        <v>24</v>
      </c>
      <c r="H2675" s="1">
        <f t="shared" si="41"/>
        <v>0.96586253682974521</v>
      </c>
    </row>
    <row r="2676" spans="1:8" x14ac:dyDescent="0.25">
      <c r="A2676" s="1" t="s">
        <v>12</v>
      </c>
      <c r="B2676" s="1" t="s">
        <v>14</v>
      </c>
      <c r="C2676" s="6">
        <v>4756924</v>
      </c>
      <c r="D2676" s="6">
        <v>4026931.59</v>
      </c>
      <c r="E2676" s="6">
        <v>2046037.9424999999</v>
      </c>
      <c r="F2676" s="6">
        <v>1859621.8875</v>
      </c>
      <c r="G2676" s="7" t="s">
        <v>24</v>
      </c>
      <c r="H2676" s="1">
        <f t="shared" si="41"/>
        <v>0.84654108201013933</v>
      </c>
    </row>
    <row r="2677" spans="1:8" x14ac:dyDescent="0.25">
      <c r="A2677" s="1" t="s">
        <v>12</v>
      </c>
      <c r="B2677" s="1" t="s">
        <v>14</v>
      </c>
      <c r="C2677" s="6">
        <v>510301</v>
      </c>
      <c r="D2677" s="6">
        <v>0</v>
      </c>
      <c r="E2677" s="6">
        <v>0</v>
      </c>
      <c r="F2677" s="6">
        <v>0</v>
      </c>
      <c r="G2677" s="7" t="s">
        <v>24</v>
      </c>
      <c r="H2677" s="1">
        <f t="shared" si="41"/>
        <v>0</v>
      </c>
    </row>
    <row r="2678" spans="1:8" x14ac:dyDescent="0.25">
      <c r="A2678" s="1" t="s">
        <v>12</v>
      </c>
      <c r="B2678" s="1" t="s">
        <v>14</v>
      </c>
      <c r="C2678" s="6">
        <v>2022331</v>
      </c>
      <c r="D2678" s="6">
        <v>2837774.9624999999</v>
      </c>
      <c r="E2678" s="6">
        <v>2352184.7025000001</v>
      </c>
      <c r="F2678" s="6">
        <v>2283328.0350000001</v>
      </c>
      <c r="G2678" s="7" t="s">
        <v>24</v>
      </c>
      <c r="H2678" s="1">
        <f t="shared" si="41"/>
        <v>1.4032198302355054</v>
      </c>
    </row>
    <row r="2679" spans="1:8" x14ac:dyDescent="0.25">
      <c r="A2679" s="1" t="s">
        <v>12</v>
      </c>
      <c r="B2679" s="1" t="s">
        <v>14</v>
      </c>
      <c r="C2679" s="6">
        <v>26334025</v>
      </c>
      <c r="D2679" s="6">
        <v>24135756.385000002</v>
      </c>
      <c r="E2679" s="6">
        <v>19620496.107500002</v>
      </c>
      <c r="F2679" s="6">
        <v>19620496.107500002</v>
      </c>
      <c r="G2679" s="7" t="s">
        <v>24</v>
      </c>
      <c r="H2679" s="1">
        <f t="shared" si="41"/>
        <v>0.91652363757534228</v>
      </c>
    </row>
    <row r="2680" spans="1:8" x14ac:dyDescent="0.25">
      <c r="A2680" s="1" t="s">
        <v>12</v>
      </c>
      <c r="B2680" s="1" t="s">
        <v>14</v>
      </c>
      <c r="C2680" s="6">
        <v>2500</v>
      </c>
      <c r="D2680" s="6">
        <v>0</v>
      </c>
      <c r="E2680" s="6">
        <v>0</v>
      </c>
      <c r="F2680" s="6">
        <v>0</v>
      </c>
      <c r="G2680" s="7" t="s">
        <v>24</v>
      </c>
      <c r="H2680" s="1">
        <f t="shared" si="41"/>
        <v>0</v>
      </c>
    </row>
    <row r="2681" spans="1:8" x14ac:dyDescent="0.25">
      <c r="A2681" s="1" t="s">
        <v>12</v>
      </c>
      <c r="B2681" s="1" t="s">
        <v>14</v>
      </c>
      <c r="C2681" s="6">
        <v>564067</v>
      </c>
      <c r="D2681" s="6">
        <v>0</v>
      </c>
      <c r="E2681" s="6">
        <v>0</v>
      </c>
      <c r="F2681" s="6">
        <v>0</v>
      </c>
      <c r="G2681" s="7" t="s">
        <v>24</v>
      </c>
      <c r="H2681" s="1">
        <f t="shared" si="41"/>
        <v>0</v>
      </c>
    </row>
    <row r="2682" spans="1:8" x14ac:dyDescent="0.25">
      <c r="A2682" s="1" t="s">
        <v>12</v>
      </c>
      <c r="B2682" s="1" t="s">
        <v>14</v>
      </c>
      <c r="C2682" s="6">
        <v>84965</v>
      </c>
      <c r="D2682" s="6">
        <v>0</v>
      </c>
      <c r="E2682" s="6">
        <v>0</v>
      </c>
      <c r="F2682" s="6">
        <v>0</v>
      </c>
      <c r="G2682" s="7" t="s">
        <v>24</v>
      </c>
      <c r="H2682" s="1">
        <f t="shared" si="41"/>
        <v>0</v>
      </c>
    </row>
    <row r="2683" spans="1:8" x14ac:dyDescent="0.25">
      <c r="A2683" s="1" t="s">
        <v>12</v>
      </c>
      <c r="B2683" s="1" t="s">
        <v>14</v>
      </c>
      <c r="C2683" s="6">
        <v>2700</v>
      </c>
      <c r="D2683" s="6">
        <v>0</v>
      </c>
      <c r="E2683" s="6">
        <v>0</v>
      </c>
      <c r="F2683" s="6">
        <v>0</v>
      </c>
      <c r="G2683" s="7" t="s">
        <v>24</v>
      </c>
      <c r="H2683" s="1">
        <f t="shared" si="41"/>
        <v>0</v>
      </c>
    </row>
    <row r="2684" spans="1:8" x14ac:dyDescent="0.25">
      <c r="A2684" s="1" t="s">
        <v>12</v>
      </c>
      <c r="B2684" s="1" t="s">
        <v>14</v>
      </c>
      <c r="C2684" s="6">
        <v>6225405</v>
      </c>
      <c r="D2684" s="6">
        <v>3953166.9725000001</v>
      </c>
      <c r="E2684" s="6">
        <v>3225617.6274999999</v>
      </c>
      <c r="F2684" s="6">
        <v>3225617.6274999999</v>
      </c>
      <c r="G2684" s="7" t="s">
        <v>24</v>
      </c>
      <c r="H2684" s="1">
        <f t="shared" si="41"/>
        <v>0.63500558959617892</v>
      </c>
    </row>
    <row r="2685" spans="1:8" x14ac:dyDescent="0.25">
      <c r="A2685" s="1" t="s">
        <v>12</v>
      </c>
      <c r="B2685" s="1" t="s">
        <v>14</v>
      </c>
      <c r="C2685" s="6">
        <v>95573770</v>
      </c>
      <c r="D2685" s="6">
        <v>16940723.497499999</v>
      </c>
      <c r="E2685" s="6">
        <v>8593781.7449999992</v>
      </c>
      <c r="F2685" s="6">
        <v>7989959.9874999998</v>
      </c>
      <c r="G2685" s="7" t="s">
        <v>24</v>
      </c>
      <c r="H2685" s="1">
        <f t="shared" si="41"/>
        <v>0.17725285397342805</v>
      </c>
    </row>
    <row r="2686" spans="1:8" x14ac:dyDescent="0.25">
      <c r="A2686" s="1" t="s">
        <v>12</v>
      </c>
      <c r="B2686" s="1" t="s">
        <v>14</v>
      </c>
      <c r="C2686" s="6">
        <v>1094775</v>
      </c>
      <c r="D2686" s="6">
        <v>581472.16500000004</v>
      </c>
      <c r="E2686" s="6">
        <v>539785.02749999997</v>
      </c>
      <c r="F2686" s="6">
        <v>538806.27749999997</v>
      </c>
      <c r="G2686" s="7" t="s">
        <v>24</v>
      </c>
      <c r="H2686" s="1">
        <f t="shared" si="41"/>
        <v>0.53113394533123248</v>
      </c>
    </row>
    <row r="2687" spans="1:8" x14ac:dyDescent="0.25">
      <c r="A2687" s="1" t="s">
        <v>12</v>
      </c>
      <c r="B2687" s="1" t="s">
        <v>14</v>
      </c>
      <c r="C2687" s="6">
        <v>13122908</v>
      </c>
      <c r="D2687" s="6">
        <v>1547765.5325</v>
      </c>
      <c r="E2687" s="6">
        <v>1277953.0049999999</v>
      </c>
      <c r="F2687" s="6">
        <v>1186322.5774999999</v>
      </c>
      <c r="G2687" s="7" t="s">
        <v>24</v>
      </c>
      <c r="H2687" s="1">
        <f t="shared" si="41"/>
        <v>0.11794379206956263</v>
      </c>
    </row>
    <row r="2688" spans="1:8" x14ac:dyDescent="0.25">
      <c r="A2688" s="1" t="s">
        <v>12</v>
      </c>
      <c r="B2688" s="1" t="s">
        <v>14</v>
      </c>
      <c r="C2688" s="6">
        <v>8500</v>
      </c>
      <c r="D2688" s="6">
        <v>0</v>
      </c>
      <c r="E2688" s="6">
        <v>0</v>
      </c>
      <c r="F2688" s="6">
        <v>0</v>
      </c>
      <c r="G2688" s="7" t="s">
        <v>24</v>
      </c>
      <c r="H2688" s="1">
        <f t="shared" si="41"/>
        <v>0</v>
      </c>
    </row>
    <row r="2689" spans="1:8" x14ac:dyDescent="0.25">
      <c r="A2689" s="1" t="s">
        <v>12</v>
      </c>
      <c r="B2689" s="1" t="s">
        <v>15</v>
      </c>
      <c r="C2689" s="6">
        <v>7198235</v>
      </c>
      <c r="D2689" s="6">
        <v>7886243.0175000001</v>
      </c>
      <c r="E2689" s="6">
        <v>6631909.5525000002</v>
      </c>
      <c r="F2689" s="6">
        <v>6380939.7050000001</v>
      </c>
      <c r="G2689" s="7" t="s">
        <v>24</v>
      </c>
      <c r="H2689" s="1">
        <f t="shared" si="41"/>
        <v>1.0955800994966127</v>
      </c>
    </row>
    <row r="2690" spans="1:8" x14ac:dyDescent="0.25">
      <c r="A2690" s="1" t="s">
        <v>12</v>
      </c>
      <c r="B2690" s="1" t="s">
        <v>15</v>
      </c>
      <c r="C2690" s="6">
        <v>4346325</v>
      </c>
      <c r="D2690" s="6">
        <v>370406.5025</v>
      </c>
      <c r="E2690" s="6">
        <v>324248.4425</v>
      </c>
      <c r="F2690" s="6">
        <v>277041.33500000002</v>
      </c>
      <c r="G2690" s="7" t="s">
        <v>24</v>
      </c>
      <c r="H2690" s="1">
        <f t="shared" ref="H2690:H2753" si="42">IF(OR(ISNA($D2690),ISNA($C2690),$C2690=0),0,$D2690/$C2690)</f>
        <v>8.522291878771146E-2</v>
      </c>
    </row>
    <row r="2691" spans="1:8" x14ac:dyDescent="0.25">
      <c r="A2691" s="1" t="s">
        <v>12</v>
      </c>
      <c r="B2691" s="1" t="s">
        <v>15</v>
      </c>
      <c r="C2691" s="6">
        <v>500000</v>
      </c>
      <c r="D2691" s="6">
        <v>703411.36750000005</v>
      </c>
      <c r="E2691" s="6">
        <v>231827.3425</v>
      </c>
      <c r="F2691" s="6">
        <v>214916.64749999999</v>
      </c>
      <c r="G2691" s="7" t="s">
        <v>24</v>
      </c>
      <c r="H2691" s="1">
        <f t="shared" si="42"/>
        <v>1.4068227350000002</v>
      </c>
    </row>
    <row r="2692" spans="1:8" x14ac:dyDescent="0.25">
      <c r="A2692" s="1" t="s">
        <v>12</v>
      </c>
      <c r="B2692" s="1" t="s">
        <v>15</v>
      </c>
      <c r="C2692" s="6">
        <v>862500</v>
      </c>
      <c r="D2692" s="6">
        <v>449848.9</v>
      </c>
      <c r="E2692" s="6">
        <v>449848.9</v>
      </c>
      <c r="F2692" s="6">
        <v>449848.9</v>
      </c>
      <c r="G2692" s="7" t="s">
        <v>24</v>
      </c>
      <c r="H2692" s="1">
        <f t="shared" si="42"/>
        <v>0.52156394202898548</v>
      </c>
    </row>
    <row r="2693" spans="1:8" x14ac:dyDescent="0.25">
      <c r="A2693" s="1" t="s">
        <v>12</v>
      </c>
      <c r="B2693" s="1" t="s">
        <v>15</v>
      </c>
      <c r="C2693" s="6">
        <v>311250</v>
      </c>
      <c r="D2693" s="6">
        <v>0</v>
      </c>
      <c r="E2693" s="6">
        <v>0</v>
      </c>
      <c r="F2693" s="6">
        <v>0</v>
      </c>
      <c r="G2693" s="7" t="s">
        <v>24</v>
      </c>
      <c r="H2693" s="1">
        <f t="shared" si="42"/>
        <v>0</v>
      </c>
    </row>
    <row r="2694" spans="1:8" x14ac:dyDescent="0.25">
      <c r="A2694" s="1" t="s">
        <v>12</v>
      </c>
      <c r="B2694" s="1" t="s">
        <v>15</v>
      </c>
      <c r="C2694" s="6">
        <v>31683759</v>
      </c>
      <c r="D2694" s="6">
        <v>22435423.657499999</v>
      </c>
      <c r="E2694" s="6">
        <v>15585003.965</v>
      </c>
      <c r="F2694" s="6">
        <v>11988232.7775</v>
      </c>
      <c r="G2694" s="7" t="s">
        <v>24</v>
      </c>
      <c r="H2694" s="1">
        <f t="shared" si="42"/>
        <v>0.70810485768118614</v>
      </c>
    </row>
    <row r="2695" spans="1:8" x14ac:dyDescent="0.25">
      <c r="A2695" s="1" t="s">
        <v>12</v>
      </c>
      <c r="B2695" s="1" t="s">
        <v>15</v>
      </c>
      <c r="C2695" s="6">
        <v>2250</v>
      </c>
      <c r="D2695" s="6">
        <v>0</v>
      </c>
      <c r="E2695" s="6">
        <v>0</v>
      </c>
      <c r="F2695" s="6">
        <v>0</v>
      </c>
      <c r="G2695" s="7" t="s">
        <v>24</v>
      </c>
      <c r="H2695" s="1">
        <f t="shared" si="42"/>
        <v>0</v>
      </c>
    </row>
    <row r="2696" spans="1:8" x14ac:dyDescent="0.25">
      <c r="A2696" s="1" t="s">
        <v>12</v>
      </c>
      <c r="B2696" s="1" t="s">
        <v>15</v>
      </c>
      <c r="C2696" s="6">
        <v>83645600</v>
      </c>
      <c r="D2696" s="6">
        <v>80341966.237499997</v>
      </c>
      <c r="E2696" s="6">
        <v>76712765.617500007</v>
      </c>
      <c r="F2696" s="6">
        <v>72513433.417500004</v>
      </c>
      <c r="G2696" s="7" t="s">
        <v>24</v>
      </c>
      <c r="H2696" s="1">
        <f t="shared" si="42"/>
        <v>0.96050439278933974</v>
      </c>
    </row>
    <row r="2697" spans="1:8" x14ac:dyDescent="0.25">
      <c r="A2697" s="1" t="s">
        <v>12</v>
      </c>
      <c r="B2697" s="1" t="s">
        <v>15</v>
      </c>
      <c r="C2697" s="6">
        <v>6861325</v>
      </c>
      <c r="D2697" s="6">
        <v>1948217.2549999999</v>
      </c>
      <c r="E2697" s="6">
        <v>814965.77</v>
      </c>
      <c r="F2697" s="6">
        <v>45476.26</v>
      </c>
      <c r="G2697" s="7" t="s">
        <v>24</v>
      </c>
      <c r="H2697" s="1">
        <f t="shared" si="42"/>
        <v>0.28394184140818279</v>
      </c>
    </row>
    <row r="2698" spans="1:8" x14ac:dyDescent="0.25">
      <c r="A2698" s="1" t="s">
        <v>12</v>
      </c>
      <c r="B2698" s="1" t="s">
        <v>15</v>
      </c>
      <c r="C2698" s="6">
        <v>443747</v>
      </c>
      <c r="D2698" s="6">
        <v>60422.25</v>
      </c>
      <c r="E2698" s="6">
        <v>43571.042500000003</v>
      </c>
      <c r="F2698" s="6">
        <v>40321.042500000003</v>
      </c>
      <c r="G2698" s="7" t="s">
        <v>24</v>
      </c>
      <c r="H2698" s="1">
        <f t="shared" si="42"/>
        <v>0.13616373744498556</v>
      </c>
    </row>
    <row r="2699" spans="1:8" x14ac:dyDescent="0.25">
      <c r="A2699" s="1" t="s">
        <v>12</v>
      </c>
      <c r="B2699" s="1" t="s">
        <v>15</v>
      </c>
      <c r="C2699" s="6">
        <v>441575</v>
      </c>
      <c r="D2699" s="6">
        <v>136346.58499999999</v>
      </c>
      <c r="E2699" s="6">
        <v>134310</v>
      </c>
      <c r="F2699" s="6">
        <v>134310</v>
      </c>
      <c r="G2699" s="7" t="s">
        <v>24</v>
      </c>
      <c r="H2699" s="1">
        <f t="shared" si="42"/>
        <v>0.30877333408820695</v>
      </c>
    </row>
    <row r="2700" spans="1:8" x14ac:dyDescent="0.25">
      <c r="A2700" s="1" t="s">
        <v>12</v>
      </c>
      <c r="B2700" s="1" t="s">
        <v>15</v>
      </c>
      <c r="C2700" s="6">
        <v>236725</v>
      </c>
      <c r="D2700" s="6">
        <v>0</v>
      </c>
      <c r="E2700" s="6">
        <v>0</v>
      </c>
      <c r="F2700" s="6">
        <v>0</v>
      </c>
      <c r="G2700" s="7" t="s">
        <v>24</v>
      </c>
      <c r="H2700" s="1">
        <f t="shared" si="42"/>
        <v>0</v>
      </c>
    </row>
    <row r="2701" spans="1:8" x14ac:dyDescent="0.25">
      <c r="A2701" s="1" t="s">
        <v>12</v>
      </c>
      <c r="B2701" s="1" t="s">
        <v>15</v>
      </c>
      <c r="C2701" s="6">
        <v>4575881</v>
      </c>
      <c r="D2701" s="6">
        <v>3715288.8450000002</v>
      </c>
      <c r="E2701" s="6">
        <v>3692531.12</v>
      </c>
      <c r="F2701" s="6">
        <v>3651913.4950000001</v>
      </c>
      <c r="G2701" s="7" t="s">
        <v>24</v>
      </c>
      <c r="H2701" s="1">
        <f t="shared" si="42"/>
        <v>0.81192864171948531</v>
      </c>
    </row>
    <row r="2702" spans="1:8" x14ac:dyDescent="0.25">
      <c r="A2702" s="1" t="s">
        <v>12</v>
      </c>
      <c r="B2702" s="1" t="s">
        <v>15</v>
      </c>
      <c r="C2702" s="6">
        <v>35912250</v>
      </c>
      <c r="D2702" s="6">
        <v>33989868.707500003</v>
      </c>
      <c r="E2702" s="6">
        <v>24997460.892499998</v>
      </c>
      <c r="F2702" s="6">
        <v>18753669.602499999</v>
      </c>
      <c r="G2702" s="7" t="s">
        <v>24</v>
      </c>
      <c r="H2702" s="1">
        <f t="shared" si="42"/>
        <v>0.94647004037619487</v>
      </c>
    </row>
    <row r="2703" spans="1:8" x14ac:dyDescent="0.25">
      <c r="A2703" s="1" t="s">
        <v>12</v>
      </c>
      <c r="B2703" s="1" t="s">
        <v>15</v>
      </c>
      <c r="C2703" s="6">
        <v>145777201</v>
      </c>
      <c r="D2703" s="6">
        <v>144904184.58250001</v>
      </c>
      <c r="E2703" s="6">
        <v>144534216.33000001</v>
      </c>
      <c r="F2703" s="6">
        <v>130108401.4425</v>
      </c>
      <c r="G2703" s="7" t="s">
        <v>24</v>
      </c>
      <c r="H2703" s="1">
        <f t="shared" si="42"/>
        <v>0.99401129661215004</v>
      </c>
    </row>
    <row r="2704" spans="1:8" x14ac:dyDescent="0.25">
      <c r="A2704" s="1" t="s">
        <v>12</v>
      </c>
      <c r="B2704" s="1" t="s">
        <v>15</v>
      </c>
      <c r="C2704" s="6">
        <v>7750000</v>
      </c>
      <c r="D2704" s="6">
        <v>1944336.0825</v>
      </c>
      <c r="E2704" s="6">
        <v>1547946.575</v>
      </c>
      <c r="F2704" s="6">
        <v>1398860.41</v>
      </c>
      <c r="G2704" s="7" t="s">
        <v>24</v>
      </c>
      <c r="H2704" s="1">
        <f t="shared" si="42"/>
        <v>0.25088207516129035</v>
      </c>
    </row>
    <row r="2705" spans="1:8" x14ac:dyDescent="0.25">
      <c r="A2705" s="1" t="s">
        <v>12</v>
      </c>
      <c r="B2705" s="1" t="s">
        <v>15</v>
      </c>
      <c r="C2705" s="6">
        <v>250000</v>
      </c>
      <c r="D2705" s="6">
        <v>0</v>
      </c>
      <c r="E2705" s="6">
        <v>0</v>
      </c>
      <c r="F2705" s="6">
        <v>0</v>
      </c>
      <c r="G2705" s="7" t="s">
        <v>24</v>
      </c>
      <c r="H2705" s="1">
        <f t="shared" si="42"/>
        <v>0</v>
      </c>
    </row>
    <row r="2706" spans="1:8" x14ac:dyDescent="0.25">
      <c r="A2706" s="1" t="s">
        <v>12</v>
      </c>
      <c r="B2706" s="1" t="s">
        <v>15</v>
      </c>
      <c r="C2706" s="6">
        <v>801250</v>
      </c>
      <c r="D2706" s="6">
        <v>0</v>
      </c>
      <c r="E2706" s="6">
        <v>0</v>
      </c>
      <c r="F2706" s="6">
        <v>0</v>
      </c>
      <c r="G2706" s="7" t="s">
        <v>24</v>
      </c>
      <c r="H2706" s="1">
        <f t="shared" si="42"/>
        <v>0</v>
      </c>
    </row>
    <row r="2707" spans="1:8" x14ac:dyDescent="0.25">
      <c r="A2707" s="1" t="s">
        <v>12</v>
      </c>
      <c r="B2707" s="1" t="s">
        <v>15</v>
      </c>
      <c r="C2707" s="6">
        <v>15000</v>
      </c>
      <c r="D2707" s="6">
        <v>0</v>
      </c>
      <c r="E2707" s="6">
        <v>0</v>
      </c>
      <c r="F2707" s="6">
        <v>0</v>
      </c>
      <c r="G2707" s="7" t="s">
        <v>24</v>
      </c>
      <c r="H2707" s="1">
        <f t="shared" si="42"/>
        <v>0</v>
      </c>
    </row>
    <row r="2708" spans="1:8" x14ac:dyDescent="0.25">
      <c r="A2708" s="1" t="s">
        <v>12</v>
      </c>
      <c r="B2708" s="1" t="s">
        <v>15</v>
      </c>
      <c r="C2708" s="6">
        <v>416925</v>
      </c>
      <c r="D2708" s="6">
        <v>0</v>
      </c>
      <c r="E2708" s="6">
        <v>0</v>
      </c>
      <c r="F2708" s="6">
        <v>0</v>
      </c>
      <c r="G2708" s="7" t="s">
        <v>24</v>
      </c>
      <c r="H2708" s="1">
        <f t="shared" si="42"/>
        <v>0</v>
      </c>
    </row>
    <row r="2709" spans="1:8" x14ac:dyDescent="0.25">
      <c r="A2709" s="1" t="s">
        <v>12</v>
      </c>
      <c r="B2709" s="1" t="s">
        <v>15</v>
      </c>
      <c r="C2709" s="6">
        <v>16269713</v>
      </c>
      <c r="D2709" s="6">
        <v>15044742.24</v>
      </c>
      <c r="E2709" s="6">
        <v>13849426.51</v>
      </c>
      <c r="F2709" s="6">
        <v>13711808.52</v>
      </c>
      <c r="G2709" s="7" t="s">
        <v>24</v>
      </c>
      <c r="H2709" s="1">
        <f t="shared" si="42"/>
        <v>0.92470852067273712</v>
      </c>
    </row>
    <row r="2710" spans="1:8" x14ac:dyDescent="0.25">
      <c r="A2710" s="1" t="s">
        <v>12</v>
      </c>
      <c r="B2710" s="1" t="s">
        <v>15</v>
      </c>
      <c r="C2710" s="6">
        <v>10288805</v>
      </c>
      <c r="D2710" s="6">
        <v>10176019.922499999</v>
      </c>
      <c r="E2710" s="6">
        <v>8824475.4975000005</v>
      </c>
      <c r="F2710" s="6">
        <v>8673289.0625</v>
      </c>
      <c r="G2710" s="7" t="s">
        <v>24</v>
      </c>
      <c r="H2710" s="1">
        <f t="shared" si="42"/>
        <v>0.98903807803724531</v>
      </c>
    </row>
    <row r="2711" spans="1:8" x14ac:dyDescent="0.25">
      <c r="A2711" s="1" t="s">
        <v>12</v>
      </c>
      <c r="B2711" s="1" t="s">
        <v>15</v>
      </c>
      <c r="C2711" s="6">
        <v>38829537</v>
      </c>
      <c r="D2711" s="6">
        <v>35187230.060000002</v>
      </c>
      <c r="E2711" s="6">
        <v>32653227.4175</v>
      </c>
      <c r="F2711" s="6">
        <v>32344617.682500001</v>
      </c>
      <c r="G2711" s="7" t="s">
        <v>24</v>
      </c>
      <c r="H2711" s="1">
        <f t="shared" si="42"/>
        <v>0.90619751814192384</v>
      </c>
    </row>
    <row r="2712" spans="1:8" x14ac:dyDescent="0.25">
      <c r="A2712" s="1" t="s">
        <v>12</v>
      </c>
      <c r="B2712" s="1" t="s">
        <v>15</v>
      </c>
      <c r="C2712" s="6">
        <v>1230019</v>
      </c>
      <c r="D2712" s="6">
        <v>1571394.9750000001</v>
      </c>
      <c r="E2712" s="6">
        <v>1046579.8824999999</v>
      </c>
      <c r="F2712" s="6">
        <v>960799.80500000005</v>
      </c>
      <c r="G2712" s="7" t="s">
        <v>24</v>
      </c>
      <c r="H2712" s="1">
        <f t="shared" si="42"/>
        <v>1.2775371559301116</v>
      </c>
    </row>
    <row r="2713" spans="1:8" x14ac:dyDescent="0.25">
      <c r="A2713" s="1" t="s">
        <v>12</v>
      </c>
      <c r="B2713" s="1" t="s">
        <v>15</v>
      </c>
      <c r="C2713" s="6">
        <v>615379</v>
      </c>
      <c r="D2713" s="6">
        <v>335122.61499999999</v>
      </c>
      <c r="E2713" s="6">
        <v>242731.92</v>
      </c>
      <c r="F2713" s="6">
        <v>219292.41250000001</v>
      </c>
      <c r="G2713" s="7" t="s">
        <v>24</v>
      </c>
      <c r="H2713" s="1">
        <f t="shared" si="42"/>
        <v>0.54457921866037029</v>
      </c>
    </row>
    <row r="2714" spans="1:8" x14ac:dyDescent="0.25">
      <c r="A2714" s="1" t="s">
        <v>12</v>
      </c>
      <c r="B2714" s="1" t="s">
        <v>15</v>
      </c>
      <c r="C2714" s="6">
        <v>155273</v>
      </c>
      <c r="D2714" s="6">
        <v>595312.48</v>
      </c>
      <c r="E2714" s="6">
        <v>325582.92249999999</v>
      </c>
      <c r="F2714" s="6">
        <v>307252.70750000002</v>
      </c>
      <c r="G2714" s="7" t="s">
        <v>24</v>
      </c>
      <c r="H2714" s="1">
        <f t="shared" si="42"/>
        <v>3.8339729379866427</v>
      </c>
    </row>
    <row r="2715" spans="1:8" x14ac:dyDescent="0.25">
      <c r="A2715" s="1" t="s">
        <v>12</v>
      </c>
      <c r="B2715" s="1" t="s">
        <v>15</v>
      </c>
      <c r="C2715" s="6">
        <v>980000</v>
      </c>
      <c r="D2715" s="6">
        <v>1056203.1074999999</v>
      </c>
      <c r="E2715" s="6">
        <v>565551.19750000001</v>
      </c>
      <c r="F2715" s="6">
        <v>438852.125</v>
      </c>
      <c r="G2715" s="7" t="s">
        <v>24</v>
      </c>
      <c r="H2715" s="1">
        <f t="shared" si="42"/>
        <v>1.0777582729591837</v>
      </c>
    </row>
    <row r="2716" spans="1:8" x14ac:dyDescent="0.25">
      <c r="A2716" s="1" t="s">
        <v>12</v>
      </c>
      <c r="B2716" s="1" t="s">
        <v>15</v>
      </c>
      <c r="C2716" s="6">
        <v>3097250</v>
      </c>
      <c r="D2716" s="6">
        <v>2666651.3574999999</v>
      </c>
      <c r="E2716" s="6">
        <v>2063512.8875</v>
      </c>
      <c r="F2716" s="6">
        <v>2063512.8875</v>
      </c>
      <c r="G2716" s="7" t="s">
        <v>24</v>
      </c>
      <c r="H2716" s="1">
        <f t="shared" si="42"/>
        <v>0.86097388247639028</v>
      </c>
    </row>
    <row r="2717" spans="1:8" x14ac:dyDescent="0.25">
      <c r="A2717" s="1" t="s">
        <v>12</v>
      </c>
      <c r="B2717" s="1" t="s">
        <v>15</v>
      </c>
      <c r="C2717" s="6">
        <v>1420000</v>
      </c>
      <c r="D2717" s="6">
        <v>1257319.0575000001</v>
      </c>
      <c r="E2717" s="6">
        <v>1023001.0649999999</v>
      </c>
      <c r="F2717" s="6">
        <v>915333.98499999999</v>
      </c>
      <c r="G2717" s="7" t="s">
        <v>24</v>
      </c>
      <c r="H2717" s="1">
        <f t="shared" si="42"/>
        <v>0.88543595598591562</v>
      </c>
    </row>
    <row r="2718" spans="1:8" x14ac:dyDescent="0.25">
      <c r="A2718" s="1" t="s">
        <v>12</v>
      </c>
      <c r="B2718" s="1" t="s">
        <v>15</v>
      </c>
      <c r="C2718" s="6">
        <v>2355250</v>
      </c>
      <c r="D2718" s="6">
        <v>3216930.06</v>
      </c>
      <c r="E2718" s="6">
        <v>2429546.3774999999</v>
      </c>
      <c r="F2718" s="6">
        <v>2179391.1575000002</v>
      </c>
      <c r="G2718" s="7" t="s">
        <v>24</v>
      </c>
      <c r="H2718" s="1">
        <f t="shared" si="42"/>
        <v>1.3658550302515657</v>
      </c>
    </row>
    <row r="2719" spans="1:8" x14ac:dyDescent="0.25">
      <c r="A2719" s="1" t="s">
        <v>12</v>
      </c>
      <c r="B2719" s="1" t="s">
        <v>15</v>
      </c>
      <c r="C2719" s="6">
        <v>83545000</v>
      </c>
      <c r="D2719" s="6">
        <v>89815707.265000001</v>
      </c>
      <c r="E2719" s="6">
        <v>76085055.232500002</v>
      </c>
      <c r="F2719" s="6">
        <v>72790922.702500001</v>
      </c>
      <c r="G2719" s="7" t="s">
        <v>24</v>
      </c>
      <c r="H2719" s="1">
        <f t="shared" si="42"/>
        <v>1.0750578402657252</v>
      </c>
    </row>
    <row r="2720" spans="1:8" x14ac:dyDescent="0.25">
      <c r="A2720" s="1" t="s">
        <v>12</v>
      </c>
      <c r="B2720" s="1" t="s">
        <v>15</v>
      </c>
      <c r="C2720" s="6">
        <v>375000</v>
      </c>
      <c r="D2720" s="6">
        <v>47631.197500000002</v>
      </c>
      <c r="E2720" s="6">
        <v>47631.197500000002</v>
      </c>
      <c r="F2720" s="6">
        <v>47631.197500000002</v>
      </c>
      <c r="G2720" s="7" t="s">
        <v>24</v>
      </c>
      <c r="H2720" s="1">
        <f t="shared" si="42"/>
        <v>0.12701652666666668</v>
      </c>
    </row>
    <row r="2721" spans="1:8" x14ac:dyDescent="0.25">
      <c r="A2721" s="1" t="s">
        <v>12</v>
      </c>
      <c r="B2721" s="1" t="s">
        <v>15</v>
      </c>
      <c r="C2721" s="6">
        <v>4943500</v>
      </c>
      <c r="D2721" s="6">
        <v>3958349.855</v>
      </c>
      <c r="E2721" s="6">
        <v>3481414.07</v>
      </c>
      <c r="F2721" s="6">
        <v>3070640.8525</v>
      </c>
      <c r="G2721" s="7" t="s">
        <v>24</v>
      </c>
      <c r="H2721" s="1">
        <f t="shared" si="42"/>
        <v>0.80071808536462019</v>
      </c>
    </row>
    <row r="2722" spans="1:8" x14ac:dyDescent="0.25">
      <c r="A2722" s="1" t="s">
        <v>12</v>
      </c>
      <c r="B2722" s="1" t="s">
        <v>15</v>
      </c>
      <c r="C2722" s="6">
        <v>19356275</v>
      </c>
      <c r="D2722" s="6">
        <v>22385325.085000001</v>
      </c>
      <c r="E2722" s="6">
        <v>16615837.237500001</v>
      </c>
      <c r="F2722" s="6">
        <v>11491011.74</v>
      </c>
      <c r="G2722" s="7" t="s">
        <v>24</v>
      </c>
      <c r="H2722" s="1">
        <f t="shared" si="42"/>
        <v>1.1564893082475838</v>
      </c>
    </row>
    <row r="2723" spans="1:8" x14ac:dyDescent="0.25">
      <c r="A2723" s="1" t="s">
        <v>12</v>
      </c>
      <c r="B2723" s="1" t="s">
        <v>15</v>
      </c>
      <c r="C2723" s="6">
        <v>4685924</v>
      </c>
      <c r="D2723" s="6">
        <v>1021763.02</v>
      </c>
      <c r="E2723" s="6">
        <v>620233.1825</v>
      </c>
      <c r="F2723" s="6">
        <v>593216.08499999996</v>
      </c>
      <c r="G2723" s="7" t="s">
        <v>24</v>
      </c>
      <c r="H2723" s="1">
        <f t="shared" si="42"/>
        <v>0.2180494220563543</v>
      </c>
    </row>
    <row r="2724" spans="1:8" x14ac:dyDescent="0.25">
      <c r="A2724" s="1" t="s">
        <v>12</v>
      </c>
      <c r="B2724" s="1" t="s">
        <v>15</v>
      </c>
      <c r="C2724" s="6">
        <v>248096250</v>
      </c>
      <c r="D2724" s="6">
        <v>271961022.42250001</v>
      </c>
      <c r="E2724" s="6">
        <v>219413319.8475</v>
      </c>
      <c r="F2724" s="6">
        <v>210728689.73500001</v>
      </c>
      <c r="G2724" s="7" t="s">
        <v>24</v>
      </c>
      <c r="H2724" s="1">
        <f t="shared" si="42"/>
        <v>1.0961915886374745</v>
      </c>
    </row>
    <row r="2725" spans="1:8" x14ac:dyDescent="0.25">
      <c r="A2725" s="1" t="s">
        <v>12</v>
      </c>
      <c r="B2725" s="1" t="s">
        <v>15</v>
      </c>
      <c r="C2725" s="6">
        <v>6375000</v>
      </c>
      <c r="D2725" s="6">
        <v>6929669.2850000001</v>
      </c>
      <c r="E2725" s="6">
        <v>5302288.3025000002</v>
      </c>
      <c r="F2725" s="6">
        <v>5268395.6924999999</v>
      </c>
      <c r="G2725" s="7" t="s">
        <v>24</v>
      </c>
      <c r="H2725" s="1">
        <f t="shared" si="42"/>
        <v>1.0870069466666668</v>
      </c>
    </row>
    <row r="2726" spans="1:8" x14ac:dyDescent="0.25">
      <c r="A2726" s="1" t="s">
        <v>12</v>
      </c>
      <c r="B2726" s="1" t="s">
        <v>15</v>
      </c>
      <c r="C2726" s="6">
        <v>69744962</v>
      </c>
      <c r="D2726" s="6">
        <v>73401732.717500001</v>
      </c>
      <c r="E2726" s="6">
        <v>64432147.560000002</v>
      </c>
      <c r="F2726" s="6">
        <v>64432147.560000002</v>
      </c>
      <c r="G2726" s="7" t="s">
        <v>24</v>
      </c>
      <c r="H2726" s="1">
        <f t="shared" si="42"/>
        <v>1.0524306073534029</v>
      </c>
    </row>
    <row r="2727" spans="1:8" x14ac:dyDescent="0.25">
      <c r="A2727" s="1" t="s">
        <v>12</v>
      </c>
      <c r="B2727" s="1" t="s">
        <v>15</v>
      </c>
      <c r="C2727" s="6">
        <v>50000</v>
      </c>
      <c r="D2727" s="6">
        <v>0</v>
      </c>
      <c r="E2727" s="6">
        <v>0</v>
      </c>
      <c r="F2727" s="6">
        <v>0</v>
      </c>
      <c r="G2727" s="7" t="s">
        <v>24</v>
      </c>
      <c r="H2727" s="1">
        <f t="shared" si="42"/>
        <v>0</v>
      </c>
    </row>
    <row r="2728" spans="1:8" x14ac:dyDescent="0.25">
      <c r="A2728" s="1" t="s">
        <v>12</v>
      </c>
      <c r="B2728" s="1" t="s">
        <v>15</v>
      </c>
      <c r="C2728" s="6">
        <v>1500000</v>
      </c>
      <c r="D2728" s="6">
        <v>0</v>
      </c>
      <c r="E2728" s="6">
        <v>0</v>
      </c>
      <c r="F2728" s="6">
        <v>0</v>
      </c>
      <c r="G2728" s="7" t="s">
        <v>24</v>
      </c>
      <c r="H2728" s="1">
        <f t="shared" si="42"/>
        <v>0</v>
      </c>
    </row>
    <row r="2729" spans="1:8" x14ac:dyDescent="0.25">
      <c r="A2729" s="1" t="s">
        <v>12</v>
      </c>
      <c r="B2729" s="1" t="s">
        <v>15</v>
      </c>
      <c r="C2729" s="6">
        <v>5726500</v>
      </c>
      <c r="D2729" s="6">
        <v>7208023.5774999997</v>
      </c>
      <c r="E2729" s="6">
        <v>5812671.46</v>
      </c>
      <c r="F2729" s="6">
        <v>4965675.97</v>
      </c>
      <c r="G2729" s="7" t="s">
        <v>24</v>
      </c>
      <c r="H2729" s="1">
        <f t="shared" si="42"/>
        <v>1.2587136256875928</v>
      </c>
    </row>
    <row r="2730" spans="1:8" x14ac:dyDescent="0.25">
      <c r="A2730" s="1" t="s">
        <v>12</v>
      </c>
      <c r="B2730" s="1" t="s">
        <v>15</v>
      </c>
      <c r="C2730" s="6">
        <v>164750</v>
      </c>
      <c r="D2730" s="6">
        <v>65747.794999999998</v>
      </c>
      <c r="E2730" s="6">
        <v>33770.837500000001</v>
      </c>
      <c r="F2730" s="6">
        <v>30253.794999999998</v>
      </c>
      <c r="G2730" s="7" t="s">
        <v>24</v>
      </c>
      <c r="H2730" s="1">
        <f t="shared" si="42"/>
        <v>0.39907614567526556</v>
      </c>
    </row>
    <row r="2731" spans="1:8" x14ac:dyDescent="0.25">
      <c r="A2731" s="1" t="s">
        <v>12</v>
      </c>
      <c r="B2731" s="1" t="s">
        <v>15</v>
      </c>
      <c r="C2731" s="6">
        <v>1628750</v>
      </c>
      <c r="D2731" s="6">
        <v>578907.96250000002</v>
      </c>
      <c r="E2731" s="6">
        <v>494223.2525</v>
      </c>
      <c r="F2731" s="6">
        <v>314473.64250000002</v>
      </c>
      <c r="G2731" s="7" t="s">
        <v>24</v>
      </c>
      <c r="H2731" s="1">
        <f t="shared" si="42"/>
        <v>0.35543082885648503</v>
      </c>
    </row>
    <row r="2732" spans="1:8" x14ac:dyDescent="0.25">
      <c r="A2732" s="1" t="s">
        <v>12</v>
      </c>
      <c r="B2732" s="1" t="s">
        <v>15</v>
      </c>
      <c r="C2732" s="6">
        <v>2186500</v>
      </c>
      <c r="D2732" s="6">
        <v>2089517.8774999999</v>
      </c>
      <c r="E2732" s="6">
        <v>1697100.6125</v>
      </c>
      <c r="F2732" s="6">
        <v>1486251.5</v>
      </c>
      <c r="G2732" s="7" t="s">
        <v>24</v>
      </c>
      <c r="H2732" s="1">
        <f t="shared" si="42"/>
        <v>0.95564503887491425</v>
      </c>
    </row>
    <row r="2733" spans="1:8" x14ac:dyDescent="0.25">
      <c r="A2733" s="1" t="s">
        <v>12</v>
      </c>
      <c r="B2733" s="1" t="s">
        <v>15</v>
      </c>
      <c r="C2733" s="6">
        <v>9694000</v>
      </c>
      <c r="D2733" s="6">
        <v>2609356.5274999999</v>
      </c>
      <c r="E2733" s="6">
        <v>2555572.42</v>
      </c>
      <c r="F2733" s="6">
        <v>2390782.9049999998</v>
      </c>
      <c r="G2733" s="7" t="s">
        <v>24</v>
      </c>
      <c r="H2733" s="1">
        <f t="shared" si="42"/>
        <v>0.26917232592325147</v>
      </c>
    </row>
    <row r="2734" spans="1:8" x14ac:dyDescent="0.25">
      <c r="A2734" s="1" t="s">
        <v>12</v>
      </c>
      <c r="B2734" s="1" t="s">
        <v>15</v>
      </c>
      <c r="C2734" s="6">
        <v>3105500</v>
      </c>
      <c r="D2734" s="6">
        <v>2239783.7374999998</v>
      </c>
      <c r="E2734" s="6">
        <v>1752428.5925</v>
      </c>
      <c r="F2734" s="6">
        <v>1584279.57</v>
      </c>
      <c r="G2734" s="7" t="s">
        <v>24</v>
      </c>
      <c r="H2734" s="1">
        <f t="shared" si="42"/>
        <v>0.72123127918209617</v>
      </c>
    </row>
    <row r="2735" spans="1:8" x14ac:dyDescent="0.25">
      <c r="A2735" s="1" t="s">
        <v>12</v>
      </c>
      <c r="B2735" s="1" t="s">
        <v>15</v>
      </c>
      <c r="C2735" s="6">
        <v>913000</v>
      </c>
      <c r="D2735" s="6">
        <v>669535.75749999995</v>
      </c>
      <c r="E2735" s="6">
        <v>585200.63249999995</v>
      </c>
      <c r="F2735" s="6">
        <v>499758.90250000003</v>
      </c>
      <c r="G2735" s="7" t="s">
        <v>24</v>
      </c>
      <c r="H2735" s="1">
        <f t="shared" si="42"/>
        <v>0.73333598849945225</v>
      </c>
    </row>
    <row r="2736" spans="1:8" x14ac:dyDescent="0.25">
      <c r="A2736" s="1" t="s">
        <v>12</v>
      </c>
      <c r="B2736" s="1" t="s">
        <v>15</v>
      </c>
      <c r="C2736" s="6">
        <v>573112</v>
      </c>
      <c r="D2736" s="6">
        <v>364140.2525</v>
      </c>
      <c r="E2736" s="6">
        <v>349544.97</v>
      </c>
      <c r="F2736" s="6">
        <v>324569.46500000003</v>
      </c>
      <c r="G2736" s="7" t="s">
        <v>24</v>
      </c>
      <c r="H2736" s="1">
        <f t="shared" si="42"/>
        <v>0.6353736311576097</v>
      </c>
    </row>
    <row r="2737" spans="1:8" x14ac:dyDescent="0.25">
      <c r="A2737" s="1" t="s">
        <v>7</v>
      </c>
      <c r="B2737" s="1" t="s">
        <v>8</v>
      </c>
      <c r="C2737" s="6">
        <v>299499</v>
      </c>
      <c r="D2737" s="6">
        <v>263535.81</v>
      </c>
      <c r="E2737" s="6">
        <v>249190.35</v>
      </c>
      <c r="F2737" s="6">
        <v>213584.79</v>
      </c>
      <c r="G2737" s="7" t="s">
        <v>25</v>
      </c>
      <c r="H2737" s="1">
        <f t="shared" si="42"/>
        <v>0.87992217002394002</v>
      </c>
    </row>
    <row r="2738" spans="1:8" x14ac:dyDescent="0.25">
      <c r="A2738" s="1" t="s">
        <v>7</v>
      </c>
      <c r="B2738" s="1" t="s">
        <v>8</v>
      </c>
      <c r="C2738" s="6">
        <v>200000</v>
      </c>
      <c r="D2738" s="6">
        <v>184200</v>
      </c>
      <c r="E2738" s="6">
        <v>184200</v>
      </c>
      <c r="F2738" s="6">
        <v>184200</v>
      </c>
      <c r="G2738" s="7" t="s">
        <v>25</v>
      </c>
      <c r="H2738" s="1">
        <f t="shared" si="42"/>
        <v>0.92100000000000004</v>
      </c>
    </row>
    <row r="2739" spans="1:8" x14ac:dyDescent="0.25">
      <c r="A2739" s="1" t="s">
        <v>7</v>
      </c>
      <c r="B2739" s="1" t="s">
        <v>8</v>
      </c>
      <c r="C2739" s="6">
        <v>1902200</v>
      </c>
      <c r="D2739" s="6">
        <v>740878.38</v>
      </c>
      <c r="E2739" s="6">
        <v>0</v>
      </c>
      <c r="F2739" s="6">
        <v>0</v>
      </c>
      <c r="G2739" s="7" t="s">
        <v>25</v>
      </c>
      <c r="H2739" s="1">
        <f t="shared" si="42"/>
        <v>0.38948500683419202</v>
      </c>
    </row>
    <row r="2740" spans="1:8" x14ac:dyDescent="0.25">
      <c r="A2740" s="1" t="s">
        <v>7</v>
      </c>
      <c r="B2740" s="1" t="s">
        <v>8</v>
      </c>
      <c r="C2740" s="6">
        <v>4875</v>
      </c>
      <c r="D2740" s="6">
        <v>1457.8</v>
      </c>
      <c r="E2740" s="6">
        <v>1457.8</v>
      </c>
      <c r="F2740" s="6">
        <v>1457.8</v>
      </c>
      <c r="G2740" s="7" t="s">
        <v>25</v>
      </c>
      <c r="H2740" s="1">
        <f t="shared" si="42"/>
        <v>0.29903589743589742</v>
      </c>
    </row>
    <row r="2741" spans="1:8" x14ac:dyDescent="0.25">
      <c r="A2741" s="1" t="s">
        <v>7</v>
      </c>
      <c r="B2741" s="1" t="s">
        <v>8</v>
      </c>
      <c r="C2741" s="6">
        <v>3350085</v>
      </c>
      <c r="D2741" s="6">
        <v>2366321.7599999998</v>
      </c>
      <c r="E2741" s="6">
        <v>2146550.25</v>
      </c>
      <c r="F2741" s="6">
        <v>2145285.25</v>
      </c>
      <c r="G2741" s="7" t="s">
        <v>25</v>
      </c>
      <c r="H2741" s="1">
        <f t="shared" si="42"/>
        <v>0.70634678224582359</v>
      </c>
    </row>
    <row r="2742" spans="1:8" x14ac:dyDescent="0.25">
      <c r="A2742" s="1" t="s">
        <v>7</v>
      </c>
      <c r="B2742" s="1" t="s">
        <v>8</v>
      </c>
      <c r="C2742" s="6">
        <v>136750</v>
      </c>
      <c r="D2742" s="6">
        <v>19023.88</v>
      </c>
      <c r="E2742" s="6">
        <v>18904.599999999999</v>
      </c>
      <c r="F2742" s="6">
        <v>18573.88</v>
      </c>
      <c r="G2742" s="7" t="s">
        <v>25</v>
      </c>
      <c r="H2742" s="1">
        <f t="shared" si="42"/>
        <v>0.13911429616087753</v>
      </c>
    </row>
    <row r="2743" spans="1:8" x14ac:dyDescent="0.25">
      <c r="A2743" s="1" t="s">
        <v>7</v>
      </c>
      <c r="B2743" s="1" t="s">
        <v>8</v>
      </c>
      <c r="C2743" s="6">
        <v>84250</v>
      </c>
      <c r="D2743" s="6">
        <v>51900</v>
      </c>
      <c r="E2743" s="6">
        <v>34486.379999999997</v>
      </c>
      <c r="F2743" s="6">
        <v>18639.38</v>
      </c>
      <c r="G2743" s="7" t="s">
        <v>25</v>
      </c>
      <c r="H2743" s="1">
        <f t="shared" si="42"/>
        <v>0.61602373887240358</v>
      </c>
    </row>
    <row r="2744" spans="1:8" x14ac:dyDescent="0.25">
      <c r="A2744" s="1" t="s">
        <v>7</v>
      </c>
      <c r="B2744" s="1" t="s">
        <v>8</v>
      </c>
      <c r="C2744" s="6">
        <v>561300</v>
      </c>
      <c r="D2744" s="6">
        <v>0</v>
      </c>
      <c r="E2744" s="6">
        <v>0</v>
      </c>
      <c r="F2744" s="6">
        <v>0</v>
      </c>
      <c r="G2744" s="7" t="s">
        <v>25</v>
      </c>
      <c r="H2744" s="1">
        <f t="shared" si="42"/>
        <v>0</v>
      </c>
    </row>
    <row r="2745" spans="1:8" x14ac:dyDescent="0.25">
      <c r="A2745" s="1" t="s">
        <v>7</v>
      </c>
      <c r="B2745" s="1" t="s">
        <v>8</v>
      </c>
      <c r="C2745" s="6">
        <v>2135075</v>
      </c>
      <c r="D2745" s="6">
        <v>1826788.36</v>
      </c>
      <c r="E2745" s="6">
        <v>1817617.93</v>
      </c>
      <c r="F2745" s="6">
        <v>1816247.37</v>
      </c>
      <c r="G2745" s="7" t="s">
        <v>25</v>
      </c>
      <c r="H2745" s="1">
        <f t="shared" si="42"/>
        <v>0.85560851960703965</v>
      </c>
    </row>
    <row r="2746" spans="1:8" x14ac:dyDescent="0.25">
      <c r="A2746" s="1" t="s">
        <v>7</v>
      </c>
      <c r="B2746" s="1" t="s">
        <v>8</v>
      </c>
      <c r="C2746" s="6">
        <v>2687242</v>
      </c>
      <c r="D2746" s="6">
        <v>2990500.8</v>
      </c>
      <c r="E2746" s="6">
        <v>2710212.71</v>
      </c>
      <c r="F2746" s="6">
        <v>2684923.86</v>
      </c>
      <c r="G2746" s="7" t="s">
        <v>25</v>
      </c>
      <c r="H2746" s="1">
        <f t="shared" si="42"/>
        <v>1.1128513174474051</v>
      </c>
    </row>
    <row r="2747" spans="1:8" x14ac:dyDescent="0.25">
      <c r="A2747" s="1" t="s">
        <v>7</v>
      </c>
      <c r="B2747" s="1" t="s">
        <v>8</v>
      </c>
      <c r="C2747" s="6">
        <v>39000</v>
      </c>
      <c r="D2747" s="6">
        <v>0</v>
      </c>
      <c r="E2747" s="6">
        <v>0</v>
      </c>
      <c r="F2747" s="6">
        <v>0</v>
      </c>
      <c r="G2747" s="7" t="s">
        <v>25</v>
      </c>
      <c r="H2747" s="1">
        <f t="shared" si="42"/>
        <v>0</v>
      </c>
    </row>
    <row r="2748" spans="1:8" x14ac:dyDescent="0.25">
      <c r="A2748" s="1" t="s">
        <v>7</v>
      </c>
      <c r="B2748" s="1" t="s">
        <v>8</v>
      </c>
      <c r="C2748" s="6">
        <v>1631000</v>
      </c>
      <c r="D2748" s="6">
        <v>1465099.44</v>
      </c>
      <c r="E2748" s="6">
        <v>1465099.44</v>
      </c>
      <c r="F2748" s="6">
        <v>1465099.44</v>
      </c>
      <c r="G2748" s="7" t="s">
        <v>25</v>
      </c>
      <c r="H2748" s="1">
        <f t="shared" si="42"/>
        <v>0.89828291845493557</v>
      </c>
    </row>
    <row r="2749" spans="1:8" x14ac:dyDescent="0.25">
      <c r="A2749" s="1" t="s">
        <v>7</v>
      </c>
      <c r="B2749" s="1" t="s">
        <v>8</v>
      </c>
      <c r="C2749" s="6">
        <v>452000</v>
      </c>
      <c r="D2749" s="6">
        <v>38875</v>
      </c>
      <c r="E2749" s="6">
        <v>38875</v>
      </c>
      <c r="F2749" s="6">
        <v>38875</v>
      </c>
      <c r="G2749" s="7" t="s">
        <v>25</v>
      </c>
      <c r="H2749" s="1">
        <f t="shared" si="42"/>
        <v>8.6006637168141595E-2</v>
      </c>
    </row>
    <row r="2750" spans="1:8" x14ac:dyDescent="0.25">
      <c r="A2750" s="1" t="s">
        <v>7</v>
      </c>
      <c r="B2750" s="1" t="s">
        <v>8</v>
      </c>
      <c r="C2750" s="6">
        <v>1250</v>
      </c>
      <c r="D2750" s="6">
        <v>0</v>
      </c>
      <c r="E2750" s="6">
        <v>0</v>
      </c>
      <c r="F2750" s="6">
        <v>0</v>
      </c>
      <c r="G2750" s="7" t="s">
        <v>25</v>
      </c>
      <c r="H2750" s="1">
        <f t="shared" si="42"/>
        <v>0</v>
      </c>
    </row>
    <row r="2751" spans="1:8" x14ac:dyDescent="0.25">
      <c r="A2751" s="1" t="s">
        <v>7</v>
      </c>
      <c r="B2751" s="1" t="s">
        <v>8</v>
      </c>
      <c r="C2751" s="6">
        <v>17500</v>
      </c>
      <c r="D2751" s="6">
        <v>0</v>
      </c>
      <c r="E2751" s="6">
        <v>0</v>
      </c>
      <c r="F2751" s="6">
        <v>0</v>
      </c>
      <c r="G2751" s="7" t="s">
        <v>25</v>
      </c>
      <c r="H2751" s="1">
        <f t="shared" si="42"/>
        <v>0</v>
      </c>
    </row>
    <row r="2752" spans="1:8" x14ac:dyDescent="0.25">
      <c r="A2752" s="1" t="s">
        <v>7</v>
      </c>
      <c r="B2752" s="1" t="s">
        <v>8</v>
      </c>
      <c r="C2752" s="6">
        <v>74400</v>
      </c>
      <c r="D2752" s="6">
        <v>5187.5</v>
      </c>
      <c r="E2752" s="6">
        <v>5187.5</v>
      </c>
      <c r="F2752" s="6">
        <v>5187.5</v>
      </c>
      <c r="G2752" s="7" t="s">
        <v>25</v>
      </c>
      <c r="H2752" s="1">
        <f t="shared" si="42"/>
        <v>6.9724462365591391E-2</v>
      </c>
    </row>
    <row r="2753" spans="1:8" x14ac:dyDescent="0.25">
      <c r="A2753" s="1" t="s">
        <v>7</v>
      </c>
      <c r="B2753" s="1" t="s">
        <v>8</v>
      </c>
      <c r="C2753" s="6">
        <v>595050</v>
      </c>
      <c r="D2753" s="6">
        <v>0</v>
      </c>
      <c r="E2753" s="6">
        <v>0</v>
      </c>
      <c r="F2753" s="6">
        <v>0</v>
      </c>
      <c r="G2753" s="7" t="s">
        <v>25</v>
      </c>
      <c r="H2753" s="1">
        <f t="shared" si="42"/>
        <v>0</v>
      </c>
    </row>
    <row r="2754" spans="1:8" x14ac:dyDescent="0.25">
      <c r="A2754" s="1" t="s">
        <v>7</v>
      </c>
      <c r="B2754" s="1" t="s">
        <v>8</v>
      </c>
      <c r="C2754" s="6">
        <v>188750</v>
      </c>
      <c r="D2754" s="6">
        <v>0</v>
      </c>
      <c r="E2754" s="6">
        <v>0</v>
      </c>
      <c r="F2754" s="6">
        <v>0</v>
      </c>
      <c r="G2754" s="7" t="s">
        <v>25</v>
      </c>
      <c r="H2754" s="1">
        <f t="shared" ref="H2754:H2817" si="43">IF(OR(ISNA($D2754),ISNA($C2754),$C2754=0),0,$D2754/$C2754)</f>
        <v>0</v>
      </c>
    </row>
    <row r="2755" spans="1:8" x14ac:dyDescent="0.25">
      <c r="A2755" s="1" t="s">
        <v>7</v>
      </c>
      <c r="B2755" s="1" t="s">
        <v>8</v>
      </c>
      <c r="C2755" s="6">
        <v>87750</v>
      </c>
      <c r="D2755" s="6">
        <v>37500</v>
      </c>
      <c r="E2755" s="6">
        <v>37500</v>
      </c>
      <c r="F2755" s="6">
        <v>37500</v>
      </c>
      <c r="G2755" s="7" t="s">
        <v>25</v>
      </c>
      <c r="H2755" s="1">
        <f t="shared" si="43"/>
        <v>0.42735042735042733</v>
      </c>
    </row>
    <row r="2756" spans="1:8" x14ac:dyDescent="0.25">
      <c r="A2756" s="1" t="s">
        <v>7</v>
      </c>
      <c r="B2756" s="1" t="s">
        <v>8</v>
      </c>
      <c r="C2756" s="6">
        <v>42000</v>
      </c>
      <c r="D2756" s="6">
        <v>0</v>
      </c>
      <c r="E2756" s="6">
        <v>0</v>
      </c>
      <c r="F2756" s="6">
        <v>0</v>
      </c>
      <c r="G2756" s="7" t="s">
        <v>25</v>
      </c>
      <c r="H2756" s="1">
        <f t="shared" si="43"/>
        <v>0</v>
      </c>
    </row>
    <row r="2757" spans="1:8" x14ac:dyDescent="0.25">
      <c r="A2757" s="1" t="s">
        <v>7</v>
      </c>
      <c r="B2757" s="1" t="s">
        <v>8</v>
      </c>
      <c r="C2757" s="6">
        <v>3175000</v>
      </c>
      <c r="D2757" s="6">
        <v>553064.87</v>
      </c>
      <c r="E2757" s="6">
        <v>553064.87</v>
      </c>
      <c r="F2757" s="6">
        <v>553064.87</v>
      </c>
      <c r="G2757" s="7" t="s">
        <v>25</v>
      </c>
      <c r="H2757" s="1">
        <f t="shared" si="43"/>
        <v>0.17419365984251969</v>
      </c>
    </row>
    <row r="2758" spans="1:8" x14ac:dyDescent="0.25">
      <c r="A2758" s="1" t="s">
        <v>7</v>
      </c>
      <c r="B2758" s="1" t="s">
        <v>8</v>
      </c>
      <c r="C2758" s="6">
        <v>1795250</v>
      </c>
      <c r="D2758" s="6">
        <v>1520619.73</v>
      </c>
      <c r="E2758" s="6">
        <v>1515894.73</v>
      </c>
      <c r="F2758" s="6">
        <v>1508565.98</v>
      </c>
      <c r="G2758" s="7" t="s">
        <v>25</v>
      </c>
      <c r="H2758" s="1">
        <f t="shared" si="43"/>
        <v>0.84702394095529865</v>
      </c>
    </row>
    <row r="2759" spans="1:8" x14ac:dyDescent="0.25">
      <c r="A2759" s="1" t="s">
        <v>7</v>
      </c>
      <c r="B2759" s="1" t="s">
        <v>8</v>
      </c>
      <c r="C2759" s="6">
        <v>83750</v>
      </c>
      <c r="D2759" s="6">
        <v>0</v>
      </c>
      <c r="E2759" s="6">
        <v>0</v>
      </c>
      <c r="F2759" s="6">
        <v>0</v>
      </c>
      <c r="G2759" s="7" t="s">
        <v>25</v>
      </c>
      <c r="H2759" s="1">
        <f t="shared" si="43"/>
        <v>0</v>
      </c>
    </row>
    <row r="2760" spans="1:8" x14ac:dyDescent="0.25">
      <c r="A2760" s="1" t="s">
        <v>7</v>
      </c>
      <c r="B2760" s="1" t="s">
        <v>8</v>
      </c>
      <c r="C2760" s="6">
        <v>4999700</v>
      </c>
      <c r="D2760" s="6">
        <v>1507631.62</v>
      </c>
      <c r="E2760" s="6">
        <v>1154717.04</v>
      </c>
      <c r="F2760" s="6">
        <v>990388.42</v>
      </c>
      <c r="G2760" s="7" t="s">
        <v>25</v>
      </c>
      <c r="H2760" s="1">
        <f t="shared" si="43"/>
        <v>0.30154441666499993</v>
      </c>
    </row>
    <row r="2761" spans="1:8" x14ac:dyDescent="0.25">
      <c r="A2761" s="1" t="s">
        <v>7</v>
      </c>
      <c r="B2761" s="1" t="s">
        <v>8</v>
      </c>
      <c r="C2761" s="6">
        <v>172500</v>
      </c>
      <c r="D2761" s="6">
        <v>35500</v>
      </c>
      <c r="E2761" s="6">
        <v>35500</v>
      </c>
      <c r="F2761" s="6">
        <v>35500</v>
      </c>
      <c r="G2761" s="7" t="s">
        <v>25</v>
      </c>
      <c r="H2761" s="1">
        <f t="shared" si="43"/>
        <v>0.20579710144927535</v>
      </c>
    </row>
    <row r="2762" spans="1:8" x14ac:dyDescent="0.25">
      <c r="A2762" s="1" t="s">
        <v>7</v>
      </c>
      <c r="B2762" s="1" t="s">
        <v>8</v>
      </c>
      <c r="C2762" s="6">
        <v>1416989</v>
      </c>
      <c r="D2762" s="6">
        <v>32149.46</v>
      </c>
      <c r="E2762" s="6">
        <v>29921.71</v>
      </c>
      <c r="F2762" s="6">
        <v>29921.71</v>
      </c>
      <c r="G2762" s="7" t="s">
        <v>25</v>
      </c>
      <c r="H2762" s="1">
        <f t="shared" si="43"/>
        <v>2.2688574152657501E-2</v>
      </c>
    </row>
    <row r="2763" spans="1:8" x14ac:dyDescent="0.25">
      <c r="A2763" s="1" t="s">
        <v>7</v>
      </c>
      <c r="B2763" s="1" t="s">
        <v>8</v>
      </c>
      <c r="C2763" s="6">
        <v>2250</v>
      </c>
      <c r="D2763" s="6">
        <v>178.5</v>
      </c>
      <c r="E2763" s="6">
        <v>178.5</v>
      </c>
      <c r="F2763" s="6">
        <v>178.5</v>
      </c>
      <c r="G2763" s="7" t="s">
        <v>25</v>
      </c>
      <c r="H2763" s="1">
        <f t="shared" si="43"/>
        <v>7.9333333333333339E-2</v>
      </c>
    </row>
    <row r="2764" spans="1:8" x14ac:dyDescent="0.25">
      <c r="A2764" s="1" t="s">
        <v>7</v>
      </c>
      <c r="B2764" s="1" t="s">
        <v>8</v>
      </c>
      <c r="C2764" s="6">
        <v>2500</v>
      </c>
      <c r="D2764" s="6">
        <v>0</v>
      </c>
      <c r="E2764" s="6">
        <v>0</v>
      </c>
      <c r="F2764" s="6">
        <v>0</v>
      </c>
      <c r="G2764" s="7" t="s">
        <v>25</v>
      </c>
      <c r="H2764" s="1">
        <f t="shared" si="43"/>
        <v>0</v>
      </c>
    </row>
    <row r="2765" spans="1:8" x14ac:dyDescent="0.25">
      <c r="A2765" s="1" t="s">
        <v>7</v>
      </c>
      <c r="B2765" s="1" t="s">
        <v>8</v>
      </c>
      <c r="C2765" s="6">
        <v>18750</v>
      </c>
      <c r="D2765" s="6">
        <v>0</v>
      </c>
      <c r="E2765" s="6">
        <v>0</v>
      </c>
      <c r="F2765" s="6">
        <v>0</v>
      </c>
      <c r="G2765" s="7" t="s">
        <v>25</v>
      </c>
      <c r="H2765" s="1">
        <f t="shared" si="43"/>
        <v>0</v>
      </c>
    </row>
    <row r="2766" spans="1:8" x14ac:dyDescent="0.25">
      <c r="A2766" s="1" t="s">
        <v>7</v>
      </c>
      <c r="B2766" s="1" t="s">
        <v>8</v>
      </c>
      <c r="C2766" s="6">
        <v>34000</v>
      </c>
      <c r="D2766" s="6">
        <v>9000</v>
      </c>
      <c r="E2766" s="6">
        <v>9000</v>
      </c>
      <c r="F2766" s="6">
        <v>7500</v>
      </c>
      <c r="G2766" s="7" t="s">
        <v>25</v>
      </c>
      <c r="H2766" s="1">
        <f t="shared" si="43"/>
        <v>0.26470588235294118</v>
      </c>
    </row>
    <row r="2767" spans="1:8" x14ac:dyDescent="0.25">
      <c r="A2767" s="1" t="s">
        <v>7</v>
      </c>
      <c r="B2767" s="1" t="s">
        <v>8</v>
      </c>
      <c r="C2767" s="6">
        <v>34000</v>
      </c>
      <c r="D2767" s="6">
        <v>9000</v>
      </c>
      <c r="E2767" s="6">
        <v>9000</v>
      </c>
      <c r="F2767" s="6">
        <v>7500</v>
      </c>
      <c r="G2767" s="7" t="s">
        <v>25</v>
      </c>
      <c r="H2767" s="1">
        <f t="shared" si="43"/>
        <v>0.26470588235294118</v>
      </c>
    </row>
    <row r="2768" spans="1:8" x14ac:dyDescent="0.25">
      <c r="A2768" s="1" t="s">
        <v>7</v>
      </c>
      <c r="B2768" s="1" t="s">
        <v>8</v>
      </c>
      <c r="C2768" s="6">
        <v>5250</v>
      </c>
      <c r="D2768" s="6">
        <v>0</v>
      </c>
      <c r="E2768" s="6">
        <v>0</v>
      </c>
      <c r="F2768" s="6">
        <v>0</v>
      </c>
      <c r="G2768" s="7" t="s">
        <v>25</v>
      </c>
      <c r="H2768" s="1">
        <f t="shared" si="43"/>
        <v>0</v>
      </c>
    </row>
    <row r="2769" spans="1:8" x14ac:dyDescent="0.25">
      <c r="A2769" s="1" t="s">
        <v>7</v>
      </c>
      <c r="B2769" s="1" t="s">
        <v>8</v>
      </c>
      <c r="C2769" s="6">
        <v>1500000</v>
      </c>
      <c r="D2769" s="6">
        <v>725000</v>
      </c>
      <c r="E2769" s="6">
        <v>725000</v>
      </c>
      <c r="F2769" s="6">
        <v>725000</v>
      </c>
      <c r="G2769" s="7" t="s">
        <v>25</v>
      </c>
      <c r="H2769" s="1">
        <f t="shared" si="43"/>
        <v>0.48333333333333334</v>
      </c>
    </row>
    <row r="2770" spans="1:8" x14ac:dyDescent="0.25">
      <c r="A2770" s="1" t="s">
        <v>7</v>
      </c>
      <c r="B2770" s="1" t="s">
        <v>8</v>
      </c>
      <c r="C2770" s="6">
        <v>375000</v>
      </c>
      <c r="D2770" s="6">
        <v>375000</v>
      </c>
      <c r="E2770" s="6">
        <v>375000</v>
      </c>
      <c r="F2770" s="6">
        <v>375000</v>
      </c>
      <c r="G2770" s="7" t="s">
        <v>25</v>
      </c>
      <c r="H2770" s="1">
        <f t="shared" si="43"/>
        <v>1</v>
      </c>
    </row>
    <row r="2771" spans="1:8" x14ac:dyDescent="0.25">
      <c r="A2771" s="1" t="s">
        <v>7</v>
      </c>
      <c r="B2771" s="1" t="s">
        <v>8</v>
      </c>
      <c r="C2771" s="6">
        <v>50000</v>
      </c>
      <c r="D2771" s="6">
        <v>0</v>
      </c>
      <c r="E2771" s="6">
        <v>0</v>
      </c>
      <c r="F2771" s="6">
        <v>0</v>
      </c>
      <c r="G2771" s="7" t="s">
        <v>25</v>
      </c>
      <c r="H2771" s="1">
        <f t="shared" si="43"/>
        <v>0</v>
      </c>
    </row>
    <row r="2772" spans="1:8" x14ac:dyDescent="0.25">
      <c r="A2772" s="1" t="s">
        <v>7</v>
      </c>
      <c r="B2772" s="1" t="s">
        <v>8</v>
      </c>
      <c r="C2772" s="6">
        <v>100000</v>
      </c>
      <c r="D2772" s="6">
        <v>0</v>
      </c>
      <c r="E2772" s="6">
        <v>0</v>
      </c>
      <c r="F2772" s="6">
        <v>0</v>
      </c>
      <c r="G2772" s="7" t="s">
        <v>25</v>
      </c>
      <c r="H2772" s="1">
        <f t="shared" si="43"/>
        <v>0</v>
      </c>
    </row>
    <row r="2773" spans="1:8" x14ac:dyDescent="0.25">
      <c r="A2773" s="1" t="s">
        <v>7</v>
      </c>
      <c r="B2773" s="1" t="s">
        <v>8</v>
      </c>
      <c r="C2773" s="6">
        <v>11250</v>
      </c>
      <c r="D2773" s="6">
        <v>5532.52</v>
      </c>
      <c r="E2773" s="6">
        <v>5532.52</v>
      </c>
      <c r="F2773" s="6">
        <v>5532.52</v>
      </c>
      <c r="G2773" s="7" t="s">
        <v>25</v>
      </c>
      <c r="H2773" s="1">
        <f t="shared" si="43"/>
        <v>0.49177955555555558</v>
      </c>
    </row>
    <row r="2774" spans="1:8" x14ac:dyDescent="0.25">
      <c r="A2774" s="1" t="s">
        <v>7</v>
      </c>
      <c r="B2774" s="1" t="s">
        <v>10</v>
      </c>
      <c r="C2774" s="6">
        <v>1355000</v>
      </c>
      <c r="D2774" s="6">
        <v>567000</v>
      </c>
      <c r="E2774" s="6">
        <v>567000</v>
      </c>
      <c r="F2774" s="6">
        <v>567000</v>
      </c>
      <c r="G2774" s="7" t="s">
        <v>25</v>
      </c>
      <c r="H2774" s="1">
        <f t="shared" si="43"/>
        <v>0.41845018450184501</v>
      </c>
    </row>
    <row r="2775" spans="1:8" x14ac:dyDescent="0.25">
      <c r="A2775" s="1" t="s">
        <v>7</v>
      </c>
      <c r="B2775" s="1" t="s">
        <v>10</v>
      </c>
      <c r="C2775" s="6">
        <v>12500</v>
      </c>
      <c r="D2775" s="6">
        <v>0</v>
      </c>
      <c r="E2775" s="6">
        <v>0</v>
      </c>
      <c r="F2775" s="6">
        <v>0</v>
      </c>
      <c r="G2775" s="7" t="s">
        <v>25</v>
      </c>
      <c r="H2775" s="1">
        <f t="shared" si="43"/>
        <v>0</v>
      </c>
    </row>
    <row r="2776" spans="1:8" x14ac:dyDescent="0.25">
      <c r="A2776" s="1" t="s">
        <v>7</v>
      </c>
      <c r="B2776" s="1" t="s">
        <v>10</v>
      </c>
      <c r="C2776" s="6">
        <v>71250</v>
      </c>
      <c r="D2776" s="6">
        <v>32176.85</v>
      </c>
      <c r="E2776" s="6">
        <v>23925</v>
      </c>
      <c r="F2776" s="6">
        <v>23925</v>
      </c>
      <c r="G2776" s="7" t="s">
        <v>25</v>
      </c>
      <c r="H2776" s="1">
        <f t="shared" si="43"/>
        <v>0.45160491228070171</v>
      </c>
    </row>
    <row r="2777" spans="1:8" x14ac:dyDescent="0.25">
      <c r="A2777" s="1" t="s">
        <v>7</v>
      </c>
      <c r="B2777" s="1" t="s">
        <v>10</v>
      </c>
      <c r="C2777" s="6">
        <v>1250</v>
      </c>
      <c r="D2777" s="6">
        <v>0</v>
      </c>
      <c r="E2777" s="6">
        <v>0</v>
      </c>
      <c r="F2777" s="6">
        <v>0</v>
      </c>
      <c r="G2777" s="7" t="s">
        <v>25</v>
      </c>
      <c r="H2777" s="1">
        <f t="shared" si="43"/>
        <v>0</v>
      </c>
    </row>
    <row r="2778" spans="1:8" x14ac:dyDescent="0.25">
      <c r="A2778" s="1" t="s">
        <v>7</v>
      </c>
      <c r="B2778" s="1" t="s">
        <v>10</v>
      </c>
      <c r="C2778" s="6">
        <v>2500</v>
      </c>
      <c r="D2778" s="6">
        <v>0</v>
      </c>
      <c r="E2778" s="6">
        <v>0</v>
      </c>
      <c r="F2778" s="6">
        <v>0</v>
      </c>
      <c r="G2778" s="7" t="s">
        <v>25</v>
      </c>
      <c r="H2778" s="1">
        <f t="shared" si="43"/>
        <v>0</v>
      </c>
    </row>
    <row r="2779" spans="1:8" x14ac:dyDescent="0.25">
      <c r="A2779" s="1" t="s">
        <v>7</v>
      </c>
      <c r="B2779" s="1" t="s">
        <v>10</v>
      </c>
      <c r="C2779" s="6">
        <v>2500</v>
      </c>
      <c r="D2779" s="6">
        <v>0</v>
      </c>
      <c r="E2779" s="6">
        <v>0</v>
      </c>
      <c r="F2779" s="6">
        <v>0</v>
      </c>
      <c r="G2779" s="7" t="s">
        <v>25</v>
      </c>
      <c r="H2779" s="1">
        <f t="shared" si="43"/>
        <v>0</v>
      </c>
    </row>
    <row r="2780" spans="1:8" x14ac:dyDescent="0.25">
      <c r="A2780" s="1" t="s">
        <v>7</v>
      </c>
      <c r="B2780" s="1" t="s">
        <v>10</v>
      </c>
      <c r="C2780" s="6">
        <v>2495750</v>
      </c>
      <c r="D2780" s="6">
        <v>1584105</v>
      </c>
      <c r="E2780" s="6">
        <v>1489462.63</v>
      </c>
      <c r="F2780" s="6">
        <v>1483365.6</v>
      </c>
      <c r="G2780" s="7" t="s">
        <v>25</v>
      </c>
      <c r="H2780" s="1">
        <f t="shared" si="43"/>
        <v>0.63472102574376443</v>
      </c>
    </row>
    <row r="2781" spans="1:8" x14ac:dyDescent="0.25">
      <c r="A2781" s="1" t="s">
        <v>7</v>
      </c>
      <c r="B2781" s="1" t="s">
        <v>10</v>
      </c>
      <c r="C2781" s="6">
        <v>1250</v>
      </c>
      <c r="D2781" s="6">
        <v>0</v>
      </c>
      <c r="E2781" s="6">
        <v>0</v>
      </c>
      <c r="F2781" s="6">
        <v>0</v>
      </c>
      <c r="G2781" s="7" t="s">
        <v>25</v>
      </c>
      <c r="H2781" s="1">
        <f t="shared" si="43"/>
        <v>0</v>
      </c>
    </row>
    <row r="2782" spans="1:8" x14ac:dyDescent="0.25">
      <c r="A2782" s="1" t="s">
        <v>7</v>
      </c>
      <c r="B2782" s="1" t="s">
        <v>10</v>
      </c>
      <c r="C2782" s="6">
        <v>4513000</v>
      </c>
      <c r="D2782" s="6">
        <v>5763099.8700000001</v>
      </c>
      <c r="E2782" s="6">
        <v>5744614.1399999997</v>
      </c>
      <c r="F2782" s="6">
        <v>5712997.21</v>
      </c>
      <c r="G2782" s="7" t="s">
        <v>25</v>
      </c>
      <c r="H2782" s="1">
        <f t="shared" si="43"/>
        <v>1.2769997496122314</v>
      </c>
    </row>
    <row r="2783" spans="1:8" x14ac:dyDescent="0.25">
      <c r="A2783" s="1" t="s">
        <v>7</v>
      </c>
      <c r="B2783" s="1" t="s">
        <v>10</v>
      </c>
      <c r="C2783" s="6">
        <v>442000</v>
      </c>
      <c r="D2783" s="6">
        <v>516832.69</v>
      </c>
      <c r="E2783" s="6">
        <v>503192.79</v>
      </c>
      <c r="F2783" s="6">
        <v>503192.79</v>
      </c>
      <c r="G2783" s="7" t="s">
        <v>25</v>
      </c>
      <c r="H2783" s="1">
        <f t="shared" si="43"/>
        <v>1.1693047285067872</v>
      </c>
    </row>
    <row r="2784" spans="1:8" x14ac:dyDescent="0.25">
      <c r="A2784" s="1" t="s">
        <v>7</v>
      </c>
      <c r="B2784" s="1" t="s">
        <v>10</v>
      </c>
      <c r="C2784" s="6">
        <v>45000</v>
      </c>
      <c r="D2784" s="6">
        <v>0</v>
      </c>
      <c r="E2784" s="6">
        <v>0</v>
      </c>
      <c r="F2784" s="6">
        <v>0</v>
      </c>
      <c r="G2784" s="7" t="s">
        <v>25</v>
      </c>
      <c r="H2784" s="1">
        <f t="shared" si="43"/>
        <v>0</v>
      </c>
    </row>
    <row r="2785" spans="1:8" x14ac:dyDescent="0.25">
      <c r="A2785" s="1" t="s">
        <v>7</v>
      </c>
      <c r="B2785" s="1" t="s">
        <v>10</v>
      </c>
      <c r="C2785" s="6">
        <v>1701500</v>
      </c>
      <c r="D2785" s="6">
        <v>1028332.59</v>
      </c>
      <c r="E2785" s="6">
        <v>925121.66</v>
      </c>
      <c r="F2785" s="6">
        <v>908378.91</v>
      </c>
      <c r="G2785" s="7" t="s">
        <v>25</v>
      </c>
      <c r="H2785" s="1">
        <f t="shared" si="43"/>
        <v>0.60436825741992362</v>
      </c>
    </row>
    <row r="2786" spans="1:8" x14ac:dyDescent="0.25">
      <c r="A2786" s="1" t="s">
        <v>7</v>
      </c>
      <c r="B2786" s="1" t="s">
        <v>10</v>
      </c>
      <c r="C2786" s="6">
        <v>1367000</v>
      </c>
      <c r="D2786" s="6">
        <v>661828.25</v>
      </c>
      <c r="E2786" s="6">
        <v>661828.25</v>
      </c>
      <c r="F2786" s="6">
        <v>661828.25</v>
      </c>
      <c r="G2786" s="7" t="s">
        <v>25</v>
      </c>
      <c r="H2786" s="1">
        <f t="shared" si="43"/>
        <v>0.48414648866130211</v>
      </c>
    </row>
    <row r="2787" spans="1:8" x14ac:dyDescent="0.25">
      <c r="A2787" s="1" t="s">
        <v>7</v>
      </c>
      <c r="B2787" s="1" t="s">
        <v>10</v>
      </c>
      <c r="C2787" s="6">
        <v>2482500</v>
      </c>
      <c r="D2787" s="6">
        <v>2168838.19</v>
      </c>
      <c r="E2787" s="6">
        <v>2168838.19</v>
      </c>
      <c r="F2787" s="6">
        <v>2168838.19</v>
      </c>
      <c r="G2787" s="7" t="s">
        <v>25</v>
      </c>
      <c r="H2787" s="1">
        <f t="shared" si="43"/>
        <v>0.87365083182275927</v>
      </c>
    </row>
    <row r="2788" spans="1:8" x14ac:dyDescent="0.25">
      <c r="A2788" s="1" t="s">
        <v>7</v>
      </c>
      <c r="B2788" s="1" t="s">
        <v>10</v>
      </c>
      <c r="C2788" s="6">
        <v>6611617</v>
      </c>
      <c r="D2788" s="6">
        <v>599982.98</v>
      </c>
      <c r="E2788" s="6">
        <v>573486.93000000005</v>
      </c>
      <c r="F2788" s="6">
        <v>565721.89</v>
      </c>
      <c r="G2788" s="7" t="s">
        <v>25</v>
      </c>
      <c r="H2788" s="1">
        <f t="shared" si="43"/>
        <v>9.0746784031803418E-2</v>
      </c>
    </row>
    <row r="2789" spans="1:8" x14ac:dyDescent="0.25">
      <c r="A2789" s="1" t="s">
        <v>7</v>
      </c>
      <c r="B2789" s="1" t="s">
        <v>10</v>
      </c>
      <c r="C2789" s="6">
        <v>101000</v>
      </c>
      <c r="D2789" s="6">
        <v>0</v>
      </c>
      <c r="E2789" s="6">
        <v>0</v>
      </c>
      <c r="F2789" s="6">
        <v>0</v>
      </c>
      <c r="G2789" s="7" t="s">
        <v>25</v>
      </c>
      <c r="H2789" s="1">
        <f t="shared" si="43"/>
        <v>0</v>
      </c>
    </row>
    <row r="2790" spans="1:8" x14ac:dyDescent="0.25">
      <c r="A2790" s="1" t="s">
        <v>7</v>
      </c>
      <c r="B2790" s="1" t="s">
        <v>10</v>
      </c>
      <c r="C2790" s="6">
        <v>500000</v>
      </c>
      <c r="D2790" s="6">
        <v>0</v>
      </c>
      <c r="E2790" s="6">
        <v>0</v>
      </c>
      <c r="F2790" s="6">
        <v>0</v>
      </c>
      <c r="G2790" s="7" t="s">
        <v>25</v>
      </c>
      <c r="H2790" s="1">
        <f t="shared" si="43"/>
        <v>0</v>
      </c>
    </row>
    <row r="2791" spans="1:8" x14ac:dyDescent="0.25">
      <c r="A2791" s="1" t="s">
        <v>7</v>
      </c>
      <c r="B2791" s="1" t="s">
        <v>10</v>
      </c>
      <c r="C2791" s="6">
        <v>11250</v>
      </c>
      <c r="D2791" s="6">
        <v>5532.52</v>
      </c>
      <c r="E2791" s="6">
        <v>5532.52</v>
      </c>
      <c r="F2791" s="6">
        <v>5532.52</v>
      </c>
      <c r="G2791" s="7" t="s">
        <v>25</v>
      </c>
      <c r="H2791" s="1">
        <f t="shared" si="43"/>
        <v>0.49177955555555558</v>
      </c>
    </row>
    <row r="2792" spans="1:8" x14ac:dyDescent="0.25">
      <c r="A2792" s="1" t="s">
        <v>7</v>
      </c>
      <c r="B2792" s="1" t="s">
        <v>10</v>
      </c>
      <c r="C2792" s="6">
        <v>680000</v>
      </c>
      <c r="D2792" s="6">
        <v>95603.94</v>
      </c>
      <c r="E2792" s="6">
        <v>85123.839999999997</v>
      </c>
      <c r="F2792" s="6">
        <v>85123.839999999997</v>
      </c>
      <c r="G2792" s="7" t="s">
        <v>25</v>
      </c>
      <c r="H2792" s="1">
        <f t="shared" si="43"/>
        <v>0.14059402941176471</v>
      </c>
    </row>
    <row r="2793" spans="1:8" x14ac:dyDescent="0.25">
      <c r="A2793" s="1" t="s">
        <v>7</v>
      </c>
      <c r="B2793" s="1" t="s">
        <v>10</v>
      </c>
      <c r="C2793" s="6">
        <v>250000</v>
      </c>
      <c r="D2793" s="6">
        <v>0</v>
      </c>
      <c r="E2793" s="6">
        <v>0</v>
      </c>
      <c r="F2793" s="6">
        <v>0</v>
      </c>
      <c r="G2793" s="7" t="s">
        <v>25</v>
      </c>
      <c r="H2793" s="1">
        <f t="shared" si="43"/>
        <v>0</v>
      </c>
    </row>
    <row r="2794" spans="1:8" x14ac:dyDescent="0.25">
      <c r="A2794" s="1" t="s">
        <v>7</v>
      </c>
      <c r="B2794" s="1" t="s">
        <v>10</v>
      </c>
      <c r="C2794" s="6">
        <v>50000</v>
      </c>
      <c r="D2794" s="6">
        <v>0</v>
      </c>
      <c r="E2794" s="6">
        <v>0</v>
      </c>
      <c r="F2794" s="6">
        <v>0</v>
      </c>
      <c r="G2794" s="7" t="s">
        <v>25</v>
      </c>
      <c r="H2794" s="1">
        <f t="shared" si="43"/>
        <v>0</v>
      </c>
    </row>
    <row r="2795" spans="1:8" x14ac:dyDescent="0.25">
      <c r="A2795" s="1" t="s">
        <v>7</v>
      </c>
      <c r="B2795" s="1" t="s">
        <v>10</v>
      </c>
      <c r="C2795" s="6">
        <v>2105450</v>
      </c>
      <c r="D2795" s="6">
        <v>1813587.41</v>
      </c>
      <c r="E2795" s="6">
        <v>1813587.41</v>
      </c>
      <c r="F2795" s="6">
        <v>1813587.41</v>
      </c>
      <c r="G2795" s="7" t="s">
        <v>25</v>
      </c>
      <c r="H2795" s="1">
        <f t="shared" si="43"/>
        <v>0.86137757249044145</v>
      </c>
    </row>
    <row r="2796" spans="1:8" x14ac:dyDescent="0.25">
      <c r="A2796" s="1" t="s">
        <v>7</v>
      </c>
      <c r="B2796" s="1" t="s">
        <v>10</v>
      </c>
      <c r="C2796" s="6">
        <v>457000</v>
      </c>
      <c r="D2796" s="6">
        <v>30200.16</v>
      </c>
      <c r="E2796" s="6">
        <v>30200.16</v>
      </c>
      <c r="F2796" s="6">
        <v>30200.16</v>
      </c>
      <c r="G2796" s="7" t="s">
        <v>25</v>
      </c>
      <c r="H2796" s="1">
        <f t="shared" si="43"/>
        <v>6.6083501094091904E-2</v>
      </c>
    </row>
    <row r="2797" spans="1:8" x14ac:dyDescent="0.25">
      <c r="A2797" s="1" t="s">
        <v>7</v>
      </c>
      <c r="B2797" s="1" t="s">
        <v>10</v>
      </c>
      <c r="C2797" s="6">
        <v>98750</v>
      </c>
      <c r="D2797" s="6">
        <v>0</v>
      </c>
      <c r="E2797" s="6">
        <v>0</v>
      </c>
      <c r="F2797" s="6">
        <v>0</v>
      </c>
      <c r="G2797" s="7" t="s">
        <v>25</v>
      </c>
      <c r="H2797" s="1">
        <f t="shared" si="43"/>
        <v>0</v>
      </c>
    </row>
    <row r="2798" spans="1:8" x14ac:dyDescent="0.25">
      <c r="A2798" s="1" t="s">
        <v>7</v>
      </c>
      <c r="B2798" s="1" t="s">
        <v>10</v>
      </c>
      <c r="C2798" s="6">
        <v>106250</v>
      </c>
      <c r="D2798" s="6">
        <v>39789.919999999998</v>
      </c>
      <c r="E2798" s="6">
        <v>39789.919999999998</v>
      </c>
      <c r="F2798" s="6">
        <v>39789.919999999998</v>
      </c>
      <c r="G2798" s="7" t="s">
        <v>25</v>
      </c>
      <c r="H2798" s="1">
        <f t="shared" si="43"/>
        <v>0.37449336470588235</v>
      </c>
    </row>
    <row r="2799" spans="1:8" x14ac:dyDescent="0.25">
      <c r="A2799" s="1" t="s">
        <v>7</v>
      </c>
      <c r="B2799" s="1" t="s">
        <v>10</v>
      </c>
      <c r="C2799" s="6">
        <v>25000</v>
      </c>
      <c r="D2799" s="6">
        <v>0</v>
      </c>
      <c r="E2799" s="6">
        <v>0</v>
      </c>
      <c r="F2799" s="6">
        <v>0</v>
      </c>
      <c r="G2799" s="7" t="s">
        <v>25</v>
      </c>
      <c r="H2799" s="1">
        <f t="shared" si="43"/>
        <v>0</v>
      </c>
    </row>
    <row r="2800" spans="1:8" x14ac:dyDescent="0.25">
      <c r="A2800" s="1" t="s">
        <v>7</v>
      </c>
      <c r="B2800" s="1" t="s">
        <v>10</v>
      </c>
      <c r="C2800" s="6">
        <v>87000</v>
      </c>
      <c r="D2800" s="6">
        <v>0</v>
      </c>
      <c r="E2800" s="6">
        <v>0</v>
      </c>
      <c r="F2800" s="6">
        <v>0</v>
      </c>
      <c r="G2800" s="7" t="s">
        <v>25</v>
      </c>
      <c r="H2800" s="1">
        <f t="shared" si="43"/>
        <v>0</v>
      </c>
    </row>
    <row r="2801" spans="1:8" x14ac:dyDescent="0.25">
      <c r="A2801" s="1" t="s">
        <v>7</v>
      </c>
      <c r="B2801" s="1" t="s">
        <v>11</v>
      </c>
      <c r="C2801" s="6">
        <v>0</v>
      </c>
      <c r="D2801" s="6">
        <v>3160</v>
      </c>
      <c r="E2801" s="6">
        <v>0</v>
      </c>
      <c r="F2801" s="6">
        <v>0</v>
      </c>
      <c r="G2801" s="7" t="s">
        <v>25</v>
      </c>
      <c r="H2801" s="1">
        <f t="shared" si="43"/>
        <v>0</v>
      </c>
    </row>
    <row r="2802" spans="1:8" x14ac:dyDescent="0.25">
      <c r="A2802" s="1" t="s">
        <v>7</v>
      </c>
      <c r="B2802" s="1" t="s">
        <v>11</v>
      </c>
      <c r="C2802" s="6">
        <v>9425400</v>
      </c>
      <c r="D2802" s="6">
        <v>7415628.6900000004</v>
      </c>
      <c r="E2802" s="6">
        <v>5984611.5599999996</v>
      </c>
      <c r="F2802" s="6">
        <v>5664002.7999999998</v>
      </c>
      <c r="G2802" s="7" t="s">
        <v>25</v>
      </c>
      <c r="H2802" s="1">
        <f t="shared" si="43"/>
        <v>0.78677071424024447</v>
      </c>
    </row>
    <row r="2803" spans="1:8" x14ac:dyDescent="0.25">
      <c r="A2803" s="1" t="s">
        <v>7</v>
      </c>
      <c r="B2803" s="1" t="s">
        <v>11</v>
      </c>
      <c r="C2803" s="6">
        <v>6800000</v>
      </c>
      <c r="D2803" s="6">
        <v>7966434.4800000004</v>
      </c>
      <c r="E2803" s="6">
        <v>6710681.96</v>
      </c>
      <c r="F2803" s="6">
        <v>5993962.5199999996</v>
      </c>
      <c r="G2803" s="7" t="s">
        <v>25</v>
      </c>
      <c r="H2803" s="1">
        <f t="shared" si="43"/>
        <v>1.1715344823529412</v>
      </c>
    </row>
    <row r="2804" spans="1:8" x14ac:dyDescent="0.25">
      <c r="A2804" s="1" t="s">
        <v>7</v>
      </c>
      <c r="B2804" s="1" t="s">
        <v>11</v>
      </c>
      <c r="C2804" s="6">
        <v>6624920</v>
      </c>
      <c r="D2804" s="6">
        <v>10607301.789999999</v>
      </c>
      <c r="E2804" s="6">
        <v>9165871.7300000004</v>
      </c>
      <c r="F2804" s="6">
        <v>8507481.6600000001</v>
      </c>
      <c r="G2804" s="7" t="s">
        <v>25</v>
      </c>
      <c r="H2804" s="1">
        <f t="shared" si="43"/>
        <v>1.6011214912783851</v>
      </c>
    </row>
    <row r="2805" spans="1:8" x14ac:dyDescent="0.25">
      <c r="A2805" s="1" t="s">
        <v>7</v>
      </c>
      <c r="B2805" s="1" t="s">
        <v>11</v>
      </c>
      <c r="C2805" s="6">
        <v>1021980</v>
      </c>
      <c r="D2805" s="6">
        <v>1053208.99</v>
      </c>
      <c r="E2805" s="6">
        <v>876825.09</v>
      </c>
      <c r="F2805" s="6">
        <v>838670.74</v>
      </c>
      <c r="G2805" s="7" t="s">
        <v>25</v>
      </c>
      <c r="H2805" s="1">
        <f t="shared" si="43"/>
        <v>1.0305573396739662</v>
      </c>
    </row>
    <row r="2806" spans="1:8" x14ac:dyDescent="0.25">
      <c r="A2806" s="1" t="s">
        <v>7</v>
      </c>
      <c r="B2806" s="1" t="s">
        <v>11</v>
      </c>
      <c r="C2806" s="6">
        <v>4428600</v>
      </c>
      <c r="D2806" s="6">
        <v>5125213.41</v>
      </c>
      <c r="E2806" s="6">
        <v>4042775.73</v>
      </c>
      <c r="F2806" s="6">
        <v>3718190.82</v>
      </c>
      <c r="G2806" s="7" t="s">
        <v>25</v>
      </c>
      <c r="H2806" s="1">
        <f t="shared" si="43"/>
        <v>1.1572987874271778</v>
      </c>
    </row>
    <row r="2807" spans="1:8" x14ac:dyDescent="0.25">
      <c r="A2807" s="1" t="s">
        <v>7</v>
      </c>
      <c r="B2807" s="1" t="s">
        <v>11</v>
      </c>
      <c r="C2807" s="6">
        <v>3323500</v>
      </c>
      <c r="D2807" s="6">
        <v>3189091.63</v>
      </c>
      <c r="E2807" s="6">
        <v>2809761.56</v>
      </c>
      <c r="F2807" s="6">
        <v>2539944.8199999998</v>
      </c>
      <c r="G2807" s="7" t="s">
        <v>25</v>
      </c>
      <c r="H2807" s="1">
        <f t="shared" si="43"/>
        <v>0.9595581856476606</v>
      </c>
    </row>
    <row r="2808" spans="1:8" x14ac:dyDescent="0.25">
      <c r="A2808" s="1" t="s">
        <v>7</v>
      </c>
      <c r="B2808" s="1" t="s">
        <v>11</v>
      </c>
      <c r="C2808" s="6">
        <v>30000</v>
      </c>
      <c r="D2808" s="6">
        <v>0</v>
      </c>
      <c r="E2808" s="6">
        <v>0</v>
      </c>
      <c r="F2808" s="6">
        <v>0</v>
      </c>
      <c r="G2808" s="7" t="s">
        <v>25</v>
      </c>
      <c r="H2808" s="1">
        <f t="shared" si="43"/>
        <v>0</v>
      </c>
    </row>
    <row r="2809" spans="1:8" x14ac:dyDescent="0.25">
      <c r="A2809" s="1" t="s">
        <v>7</v>
      </c>
      <c r="B2809" s="1" t="s">
        <v>11</v>
      </c>
      <c r="C2809" s="6">
        <v>500</v>
      </c>
      <c r="D2809" s="6">
        <v>390</v>
      </c>
      <c r="E2809" s="6">
        <v>185.25</v>
      </c>
      <c r="F2809" s="6">
        <v>185.25</v>
      </c>
      <c r="G2809" s="7" t="s">
        <v>25</v>
      </c>
      <c r="H2809" s="1">
        <f t="shared" si="43"/>
        <v>0.78</v>
      </c>
    </row>
    <row r="2810" spans="1:8" x14ac:dyDescent="0.25">
      <c r="A2810" s="1" t="s">
        <v>7</v>
      </c>
      <c r="B2810" s="1" t="s">
        <v>11</v>
      </c>
      <c r="C2810" s="6">
        <v>40227</v>
      </c>
      <c r="D2810" s="6">
        <v>10232.11</v>
      </c>
      <c r="E2810" s="6">
        <v>9103.91</v>
      </c>
      <c r="F2810" s="6">
        <v>6744.24</v>
      </c>
      <c r="G2810" s="7" t="s">
        <v>25</v>
      </c>
      <c r="H2810" s="1">
        <f t="shared" si="43"/>
        <v>0.25435926119273128</v>
      </c>
    </row>
    <row r="2811" spans="1:8" x14ac:dyDescent="0.25">
      <c r="A2811" s="1" t="s">
        <v>7</v>
      </c>
      <c r="B2811" s="1" t="s">
        <v>11</v>
      </c>
      <c r="C2811" s="6">
        <v>850</v>
      </c>
      <c r="D2811" s="6">
        <v>0</v>
      </c>
      <c r="E2811" s="6">
        <v>0</v>
      </c>
      <c r="F2811" s="6">
        <v>0</v>
      </c>
      <c r="G2811" s="7" t="s">
        <v>25</v>
      </c>
      <c r="H2811" s="1">
        <f t="shared" si="43"/>
        <v>0</v>
      </c>
    </row>
    <row r="2812" spans="1:8" x14ac:dyDescent="0.25">
      <c r="A2812" s="1" t="s">
        <v>7</v>
      </c>
      <c r="B2812" s="1" t="s">
        <v>11</v>
      </c>
      <c r="C2812" s="6">
        <v>850</v>
      </c>
      <c r="D2812" s="6">
        <v>0</v>
      </c>
      <c r="E2812" s="6">
        <v>0</v>
      </c>
      <c r="F2812" s="6">
        <v>0</v>
      </c>
      <c r="G2812" s="7" t="s">
        <v>25</v>
      </c>
      <c r="H2812" s="1">
        <f t="shared" si="43"/>
        <v>0</v>
      </c>
    </row>
    <row r="2813" spans="1:8" x14ac:dyDescent="0.25">
      <c r="A2813" s="1" t="s">
        <v>7</v>
      </c>
      <c r="B2813" s="1" t="s">
        <v>11</v>
      </c>
      <c r="C2813" s="6">
        <v>3000</v>
      </c>
      <c r="D2813" s="6">
        <v>72124.429999999993</v>
      </c>
      <c r="E2813" s="6">
        <v>69253.600000000006</v>
      </c>
      <c r="F2813" s="6">
        <v>54842.84</v>
      </c>
      <c r="G2813" s="7" t="s">
        <v>25</v>
      </c>
      <c r="H2813" s="1">
        <f t="shared" si="43"/>
        <v>24.041476666666664</v>
      </c>
    </row>
    <row r="2814" spans="1:8" x14ac:dyDescent="0.25">
      <c r="A2814" s="1" t="s">
        <v>7</v>
      </c>
      <c r="B2814" s="1" t="s">
        <v>11</v>
      </c>
      <c r="C2814" s="6">
        <v>104726438</v>
      </c>
      <c r="D2814" s="6">
        <v>80709050.370000005</v>
      </c>
      <c r="E2814" s="6">
        <v>78195839.810000002</v>
      </c>
      <c r="F2814" s="6">
        <v>77626135.519999996</v>
      </c>
      <c r="G2814" s="7" t="s">
        <v>25</v>
      </c>
      <c r="H2814" s="1">
        <f t="shared" si="43"/>
        <v>0.77066547770869476</v>
      </c>
    </row>
    <row r="2815" spans="1:8" x14ac:dyDescent="0.25">
      <c r="A2815" s="1" t="s">
        <v>7</v>
      </c>
      <c r="B2815" s="1" t="s">
        <v>11</v>
      </c>
      <c r="C2815" s="6">
        <v>350000</v>
      </c>
      <c r="D2815" s="6">
        <v>0</v>
      </c>
      <c r="E2815" s="6">
        <v>0</v>
      </c>
      <c r="F2815" s="6">
        <v>0</v>
      </c>
      <c r="G2815" s="7" t="s">
        <v>25</v>
      </c>
      <c r="H2815" s="1">
        <f t="shared" si="43"/>
        <v>0</v>
      </c>
    </row>
    <row r="2816" spans="1:8" x14ac:dyDescent="0.25">
      <c r="A2816" s="1" t="s">
        <v>7</v>
      </c>
      <c r="B2816" s="1" t="s">
        <v>11</v>
      </c>
      <c r="C2816" s="6">
        <v>9000</v>
      </c>
      <c r="D2816" s="6">
        <v>0</v>
      </c>
      <c r="E2816" s="6">
        <v>0</v>
      </c>
      <c r="F2816" s="6">
        <v>0</v>
      </c>
      <c r="G2816" s="7" t="s">
        <v>25</v>
      </c>
      <c r="H2816" s="1">
        <f t="shared" si="43"/>
        <v>0</v>
      </c>
    </row>
    <row r="2817" spans="1:8" x14ac:dyDescent="0.25">
      <c r="A2817" s="1" t="s">
        <v>7</v>
      </c>
      <c r="B2817" s="1" t="s">
        <v>11</v>
      </c>
      <c r="C2817" s="6">
        <v>52000</v>
      </c>
      <c r="D2817" s="6">
        <v>8880</v>
      </c>
      <c r="E2817" s="6">
        <v>8880</v>
      </c>
      <c r="F2817" s="6">
        <v>8880</v>
      </c>
      <c r="G2817" s="7" t="s">
        <v>25</v>
      </c>
      <c r="H2817" s="1">
        <f t="shared" si="43"/>
        <v>0.17076923076923076</v>
      </c>
    </row>
    <row r="2818" spans="1:8" x14ac:dyDescent="0.25">
      <c r="A2818" s="1" t="s">
        <v>7</v>
      </c>
      <c r="B2818" s="1" t="s">
        <v>11</v>
      </c>
      <c r="C2818" s="6">
        <v>1198000</v>
      </c>
      <c r="D2818" s="6">
        <v>1054143.23</v>
      </c>
      <c r="E2818" s="6">
        <v>996761.41</v>
      </c>
      <c r="F2818" s="6">
        <v>854339.15</v>
      </c>
      <c r="G2818" s="7" t="s">
        <v>25</v>
      </c>
      <c r="H2818" s="1">
        <f t="shared" ref="H2818:H2881" si="44">IF(OR(ISNA($D2818),ISNA($C2818),$C2818=0),0,$D2818/$C2818)</f>
        <v>0.87991922370617692</v>
      </c>
    </row>
    <row r="2819" spans="1:8" x14ac:dyDescent="0.25">
      <c r="A2819" s="1" t="s">
        <v>7</v>
      </c>
      <c r="B2819" s="1" t="s">
        <v>11</v>
      </c>
      <c r="C2819" s="6">
        <v>1000</v>
      </c>
      <c r="D2819" s="6">
        <v>0</v>
      </c>
      <c r="E2819" s="6">
        <v>0</v>
      </c>
      <c r="F2819" s="6">
        <v>0</v>
      </c>
      <c r="G2819" s="7" t="s">
        <v>25</v>
      </c>
      <c r="H2819" s="1">
        <f t="shared" si="44"/>
        <v>0</v>
      </c>
    </row>
    <row r="2820" spans="1:8" x14ac:dyDescent="0.25">
      <c r="A2820" s="1" t="s">
        <v>7</v>
      </c>
      <c r="B2820" s="1" t="s">
        <v>11</v>
      </c>
      <c r="C2820" s="6">
        <v>29128516</v>
      </c>
      <c r="D2820" s="6">
        <v>26968751</v>
      </c>
      <c r="E2820" s="6">
        <v>26968751</v>
      </c>
      <c r="F2820" s="6">
        <v>24548243</v>
      </c>
      <c r="G2820" s="7" t="s">
        <v>25</v>
      </c>
      <c r="H2820" s="1">
        <f t="shared" si="44"/>
        <v>0.92585392953077317</v>
      </c>
    </row>
    <row r="2821" spans="1:8" x14ac:dyDescent="0.25">
      <c r="A2821" s="1" t="s">
        <v>7</v>
      </c>
      <c r="B2821" s="1" t="s">
        <v>11</v>
      </c>
      <c r="C2821" s="6">
        <v>6339827</v>
      </c>
      <c r="D2821" s="6">
        <v>5008930</v>
      </c>
      <c r="E2821" s="6">
        <v>5008930</v>
      </c>
      <c r="F2821" s="6">
        <v>5008930</v>
      </c>
      <c r="G2821" s="7" t="s">
        <v>25</v>
      </c>
      <c r="H2821" s="1">
        <f t="shared" si="44"/>
        <v>0.79007360926410142</v>
      </c>
    </row>
    <row r="2822" spans="1:8" x14ac:dyDescent="0.25">
      <c r="A2822" s="1" t="s">
        <v>7</v>
      </c>
      <c r="B2822" s="1" t="s">
        <v>11</v>
      </c>
      <c r="C2822" s="6">
        <v>9754000</v>
      </c>
      <c r="D2822" s="6">
        <v>7753000</v>
      </c>
      <c r="E2822" s="6">
        <v>7753000</v>
      </c>
      <c r="F2822" s="6">
        <v>2140000</v>
      </c>
      <c r="G2822" s="7" t="s">
        <v>25</v>
      </c>
      <c r="H2822" s="1">
        <f t="shared" si="44"/>
        <v>0.79485339347959816</v>
      </c>
    </row>
    <row r="2823" spans="1:8" x14ac:dyDescent="0.25">
      <c r="A2823" s="1" t="s">
        <v>7</v>
      </c>
      <c r="B2823" s="1" t="s">
        <v>11</v>
      </c>
      <c r="C2823" s="6">
        <v>206084849</v>
      </c>
      <c r="D2823" s="6">
        <v>187193802</v>
      </c>
      <c r="E2823" s="6">
        <v>187193802</v>
      </c>
      <c r="F2823" s="6">
        <v>169698574</v>
      </c>
      <c r="G2823" s="7" t="s">
        <v>25</v>
      </c>
      <c r="H2823" s="1">
        <f t="shared" si="44"/>
        <v>0.90833364465332433</v>
      </c>
    </row>
    <row r="2824" spans="1:8" x14ac:dyDescent="0.25">
      <c r="A2824" s="1" t="s">
        <v>7</v>
      </c>
      <c r="B2824" s="1" t="s">
        <v>11</v>
      </c>
      <c r="C2824" s="6">
        <v>540000</v>
      </c>
      <c r="D2824" s="6">
        <v>540000</v>
      </c>
      <c r="E2824" s="6">
        <v>540000</v>
      </c>
      <c r="F2824" s="6">
        <v>540000</v>
      </c>
      <c r="G2824" s="7" t="s">
        <v>25</v>
      </c>
      <c r="H2824" s="1">
        <f t="shared" si="44"/>
        <v>1</v>
      </c>
    </row>
    <row r="2825" spans="1:8" x14ac:dyDescent="0.25">
      <c r="A2825" s="1" t="s">
        <v>7</v>
      </c>
      <c r="B2825" s="1" t="s">
        <v>11</v>
      </c>
      <c r="C2825" s="6">
        <v>735100503</v>
      </c>
      <c r="D2825" s="6">
        <v>618702358.25999999</v>
      </c>
      <c r="E2825" s="6">
        <v>616503942.15999997</v>
      </c>
      <c r="F2825" s="6">
        <v>615962832.37</v>
      </c>
      <c r="G2825" s="7" t="s">
        <v>25</v>
      </c>
      <c r="H2825" s="1">
        <f t="shared" si="44"/>
        <v>0.84165682887581972</v>
      </c>
    </row>
    <row r="2826" spans="1:8" x14ac:dyDescent="0.25">
      <c r="A2826" s="1" t="s">
        <v>7</v>
      </c>
      <c r="B2826" s="1" t="s">
        <v>11</v>
      </c>
      <c r="C2826" s="6">
        <v>6453000</v>
      </c>
      <c r="D2826" s="6">
        <v>6029861.4299999997</v>
      </c>
      <c r="E2826" s="6">
        <v>6029861.4299999997</v>
      </c>
      <c r="F2826" s="6">
        <v>6029861.4299999997</v>
      </c>
      <c r="G2826" s="7" t="s">
        <v>25</v>
      </c>
      <c r="H2826" s="1">
        <f t="shared" si="44"/>
        <v>0.93442761971176191</v>
      </c>
    </row>
    <row r="2827" spans="1:8" x14ac:dyDescent="0.25">
      <c r="A2827" s="1" t="s">
        <v>7</v>
      </c>
      <c r="B2827" s="1" t="s">
        <v>11</v>
      </c>
      <c r="C2827" s="6">
        <v>3068000</v>
      </c>
      <c r="D2827" s="6">
        <v>2428871.5</v>
      </c>
      <c r="E2827" s="6">
        <v>2427769.9</v>
      </c>
      <c r="F2827" s="6">
        <v>2427769.9</v>
      </c>
      <c r="G2827" s="7" t="s">
        <v>25</v>
      </c>
      <c r="H2827" s="1">
        <f t="shared" si="44"/>
        <v>0.79167910691003907</v>
      </c>
    </row>
    <row r="2828" spans="1:8" x14ac:dyDescent="0.25">
      <c r="A2828" s="1" t="s">
        <v>7</v>
      </c>
      <c r="B2828" s="1" t="s">
        <v>11</v>
      </c>
      <c r="C2828" s="6">
        <v>533112</v>
      </c>
      <c r="D2828" s="6">
        <v>41005</v>
      </c>
      <c r="E2828" s="6">
        <v>41005</v>
      </c>
      <c r="F2828" s="6">
        <v>39510</v>
      </c>
      <c r="G2828" s="7" t="s">
        <v>25</v>
      </c>
      <c r="H2828" s="1">
        <f t="shared" si="44"/>
        <v>7.6916295262533949E-2</v>
      </c>
    </row>
    <row r="2829" spans="1:8" x14ac:dyDescent="0.25">
      <c r="A2829" s="1" t="s">
        <v>7</v>
      </c>
      <c r="B2829" s="1" t="s">
        <v>11</v>
      </c>
      <c r="C2829" s="6">
        <v>24786895</v>
      </c>
      <c r="D2829" s="6">
        <v>15847261</v>
      </c>
      <c r="E2829" s="6">
        <v>13827762.34</v>
      </c>
      <c r="F2829" s="6">
        <v>13667262.609999999</v>
      </c>
      <c r="G2829" s="7" t="s">
        <v>25</v>
      </c>
      <c r="H2829" s="1">
        <f t="shared" si="44"/>
        <v>0.63934030462468172</v>
      </c>
    </row>
    <row r="2830" spans="1:8" x14ac:dyDescent="0.25">
      <c r="A2830" s="1" t="s">
        <v>7</v>
      </c>
      <c r="B2830" s="1" t="s">
        <v>11</v>
      </c>
      <c r="C2830" s="6">
        <v>18300887</v>
      </c>
      <c r="D2830" s="6">
        <v>8042396.3399999999</v>
      </c>
      <c r="E2830" s="6">
        <v>7690378.8200000003</v>
      </c>
      <c r="F2830" s="6">
        <v>7343020.8600000003</v>
      </c>
      <c r="G2830" s="7" t="s">
        <v>25</v>
      </c>
      <c r="H2830" s="1">
        <f t="shared" si="44"/>
        <v>0.43945390952908459</v>
      </c>
    </row>
    <row r="2831" spans="1:8" x14ac:dyDescent="0.25">
      <c r="A2831" s="1" t="s">
        <v>7</v>
      </c>
      <c r="B2831" s="1" t="s">
        <v>11</v>
      </c>
      <c r="C2831" s="6">
        <v>498560</v>
      </c>
      <c r="D2831" s="6">
        <v>0</v>
      </c>
      <c r="E2831" s="6">
        <v>0</v>
      </c>
      <c r="F2831" s="6">
        <v>0</v>
      </c>
      <c r="G2831" s="7" t="s">
        <v>25</v>
      </c>
      <c r="H2831" s="1">
        <f t="shared" si="44"/>
        <v>0</v>
      </c>
    </row>
    <row r="2832" spans="1:8" x14ac:dyDescent="0.25">
      <c r="A2832" s="1" t="s">
        <v>7</v>
      </c>
      <c r="B2832" s="1" t="s">
        <v>11</v>
      </c>
      <c r="C2832" s="6">
        <v>13273387</v>
      </c>
      <c r="D2832" s="6">
        <v>11618751.310000001</v>
      </c>
      <c r="E2832" s="6">
        <v>10523493.26</v>
      </c>
      <c r="F2832" s="6">
        <v>9543596.7100000009</v>
      </c>
      <c r="G2832" s="7" t="s">
        <v>25</v>
      </c>
      <c r="H2832" s="1">
        <f t="shared" si="44"/>
        <v>0.87534186338422892</v>
      </c>
    </row>
    <row r="2833" spans="1:8" x14ac:dyDescent="0.25">
      <c r="A2833" s="1" t="s">
        <v>7</v>
      </c>
      <c r="B2833" s="1" t="s">
        <v>11</v>
      </c>
      <c r="C2833" s="6">
        <v>6000</v>
      </c>
      <c r="D2833" s="6">
        <v>0</v>
      </c>
      <c r="E2833" s="6">
        <v>0</v>
      </c>
      <c r="F2833" s="6">
        <v>0</v>
      </c>
      <c r="G2833" s="7" t="s">
        <v>25</v>
      </c>
      <c r="H2833" s="1">
        <f t="shared" si="44"/>
        <v>0</v>
      </c>
    </row>
    <row r="2834" spans="1:8" x14ac:dyDescent="0.25">
      <c r="A2834" s="1" t="s">
        <v>7</v>
      </c>
      <c r="B2834" s="1" t="s">
        <v>11</v>
      </c>
      <c r="C2834" s="6">
        <v>29108212</v>
      </c>
      <c r="D2834" s="6">
        <v>1130825.1000000001</v>
      </c>
      <c r="E2834" s="6">
        <v>1130825.1000000001</v>
      </c>
      <c r="F2834" s="6">
        <v>1130825.1000000001</v>
      </c>
      <c r="G2834" s="7" t="s">
        <v>25</v>
      </c>
      <c r="H2834" s="1">
        <f t="shared" si="44"/>
        <v>3.8849005909397667E-2</v>
      </c>
    </row>
    <row r="2835" spans="1:8" x14ac:dyDescent="0.25">
      <c r="A2835" s="1" t="s">
        <v>7</v>
      </c>
      <c r="B2835" s="1" t="s">
        <v>11</v>
      </c>
      <c r="C2835" s="6">
        <v>24864000</v>
      </c>
      <c r="D2835" s="6">
        <v>10089481.24</v>
      </c>
      <c r="E2835" s="6">
        <v>10089481.24</v>
      </c>
      <c r="F2835" s="6">
        <v>9126932.2400000002</v>
      </c>
      <c r="G2835" s="7" t="s">
        <v>25</v>
      </c>
      <c r="H2835" s="1">
        <f t="shared" si="44"/>
        <v>0.40578672940797944</v>
      </c>
    </row>
    <row r="2836" spans="1:8" x14ac:dyDescent="0.25">
      <c r="A2836" s="1" t="s">
        <v>7</v>
      </c>
      <c r="B2836" s="1" t="s">
        <v>11</v>
      </c>
      <c r="C2836" s="6">
        <v>6000</v>
      </c>
      <c r="D2836" s="6">
        <v>0</v>
      </c>
      <c r="E2836" s="6">
        <v>0</v>
      </c>
      <c r="F2836" s="6">
        <v>0</v>
      </c>
      <c r="G2836" s="7" t="s">
        <v>25</v>
      </c>
      <c r="H2836" s="1">
        <f t="shared" si="44"/>
        <v>0</v>
      </c>
    </row>
    <row r="2837" spans="1:8" x14ac:dyDescent="0.25">
      <c r="A2837" s="1" t="s">
        <v>7</v>
      </c>
      <c r="B2837" s="1" t="s">
        <v>11</v>
      </c>
      <c r="C2837" s="6">
        <v>7151778</v>
      </c>
      <c r="D2837" s="6">
        <v>4948061</v>
      </c>
      <c r="E2837" s="6">
        <v>4888621</v>
      </c>
      <c r="F2837" s="6">
        <v>4349741</v>
      </c>
      <c r="G2837" s="7" t="s">
        <v>25</v>
      </c>
      <c r="H2837" s="1">
        <f t="shared" si="44"/>
        <v>0.69186445664280971</v>
      </c>
    </row>
    <row r="2838" spans="1:8" x14ac:dyDescent="0.25">
      <c r="A2838" s="1" t="s">
        <v>7</v>
      </c>
      <c r="B2838" s="1" t="s">
        <v>11</v>
      </c>
      <c r="C2838" s="6">
        <v>7230361</v>
      </c>
      <c r="D2838" s="6">
        <v>4863292</v>
      </c>
      <c r="E2838" s="6">
        <v>4863292</v>
      </c>
      <c r="F2838" s="6">
        <v>4731208</v>
      </c>
      <c r="G2838" s="7" t="s">
        <v>25</v>
      </c>
      <c r="H2838" s="1">
        <f t="shared" si="44"/>
        <v>0.67262091062949692</v>
      </c>
    </row>
    <row r="2839" spans="1:8" x14ac:dyDescent="0.25">
      <c r="A2839" s="1" t="s">
        <v>7</v>
      </c>
      <c r="B2839" s="1" t="s">
        <v>11</v>
      </c>
      <c r="C2839" s="6">
        <v>3009015</v>
      </c>
      <c r="D2839" s="6">
        <v>608640</v>
      </c>
      <c r="E2839" s="6">
        <v>608640</v>
      </c>
      <c r="F2839" s="6">
        <v>0</v>
      </c>
      <c r="G2839" s="7" t="s">
        <v>25</v>
      </c>
      <c r="H2839" s="1">
        <f t="shared" si="44"/>
        <v>0.20227217212277107</v>
      </c>
    </row>
    <row r="2840" spans="1:8" x14ac:dyDescent="0.25">
      <c r="A2840" s="1" t="s">
        <v>7</v>
      </c>
      <c r="B2840" s="1" t="s">
        <v>11</v>
      </c>
      <c r="C2840" s="6">
        <v>29530250</v>
      </c>
      <c r="D2840" s="6">
        <v>17294252.920000002</v>
      </c>
      <c r="E2840" s="6">
        <v>16294252.92</v>
      </c>
      <c r="F2840" s="6">
        <v>16294252.92</v>
      </c>
      <c r="G2840" s="7" t="s">
        <v>25</v>
      </c>
      <c r="H2840" s="1">
        <f t="shared" si="44"/>
        <v>0.58564532707985884</v>
      </c>
    </row>
    <row r="2841" spans="1:8" x14ac:dyDescent="0.25">
      <c r="A2841" s="1" t="s">
        <v>7</v>
      </c>
      <c r="B2841" s="1" t="s">
        <v>11</v>
      </c>
      <c r="C2841" s="6">
        <v>2538251</v>
      </c>
      <c r="D2841" s="6">
        <v>2648593.4300000002</v>
      </c>
      <c r="E2841" s="6">
        <v>2415516.09</v>
      </c>
      <c r="F2841" s="6">
        <v>2296304.9500000002</v>
      </c>
      <c r="G2841" s="7" t="s">
        <v>25</v>
      </c>
      <c r="H2841" s="1">
        <f t="shared" si="44"/>
        <v>1.0434718355276922</v>
      </c>
    </row>
    <row r="2842" spans="1:8" x14ac:dyDescent="0.25">
      <c r="A2842" s="1" t="s">
        <v>7</v>
      </c>
      <c r="B2842" s="1" t="s">
        <v>11</v>
      </c>
      <c r="C2842" s="6">
        <v>4000000</v>
      </c>
      <c r="D2842" s="6">
        <v>3406555.34</v>
      </c>
      <c r="E2842" s="6">
        <v>3103869.34</v>
      </c>
      <c r="F2842" s="6">
        <v>3103869.34</v>
      </c>
      <c r="G2842" s="7" t="s">
        <v>25</v>
      </c>
      <c r="H2842" s="1">
        <f t="shared" si="44"/>
        <v>0.85163883499999993</v>
      </c>
    </row>
    <row r="2843" spans="1:8" x14ac:dyDescent="0.25">
      <c r="A2843" s="1" t="s">
        <v>7</v>
      </c>
      <c r="B2843" s="1" t="s">
        <v>11</v>
      </c>
      <c r="C2843" s="6">
        <v>418400</v>
      </c>
      <c r="D2843" s="6">
        <v>10732</v>
      </c>
      <c r="E2843" s="6">
        <v>10732</v>
      </c>
      <c r="F2843" s="6">
        <v>10732</v>
      </c>
      <c r="G2843" s="7" t="s">
        <v>25</v>
      </c>
      <c r="H2843" s="1">
        <f t="shared" si="44"/>
        <v>2.5650095602294455E-2</v>
      </c>
    </row>
    <row r="2844" spans="1:8" x14ac:dyDescent="0.25">
      <c r="A2844" s="1" t="s">
        <v>7</v>
      </c>
      <c r="B2844" s="1" t="s">
        <v>11</v>
      </c>
      <c r="C2844" s="6">
        <v>147000</v>
      </c>
      <c r="D2844" s="6">
        <v>1606.06</v>
      </c>
      <c r="E2844" s="6">
        <v>1606.06</v>
      </c>
      <c r="F2844" s="6">
        <v>1606.06</v>
      </c>
      <c r="G2844" s="7" t="s">
        <v>25</v>
      </c>
      <c r="H2844" s="1">
        <f t="shared" si="44"/>
        <v>1.0925578231292516E-2</v>
      </c>
    </row>
    <row r="2845" spans="1:8" x14ac:dyDescent="0.25">
      <c r="A2845" s="1" t="s">
        <v>7</v>
      </c>
      <c r="B2845" s="1" t="s">
        <v>11</v>
      </c>
      <c r="C2845" s="6">
        <v>110000</v>
      </c>
      <c r="D2845" s="6">
        <v>6618</v>
      </c>
      <c r="E2845" s="6">
        <v>6618</v>
      </c>
      <c r="F2845" s="6">
        <v>6618</v>
      </c>
      <c r="G2845" s="7" t="s">
        <v>25</v>
      </c>
      <c r="H2845" s="1">
        <f t="shared" si="44"/>
        <v>6.0163636363636364E-2</v>
      </c>
    </row>
    <row r="2846" spans="1:8" x14ac:dyDescent="0.25">
      <c r="A2846" s="1" t="s">
        <v>7</v>
      </c>
      <c r="B2846" s="1" t="s">
        <v>11</v>
      </c>
      <c r="C2846" s="6">
        <v>120000</v>
      </c>
      <c r="D2846" s="6">
        <v>10000</v>
      </c>
      <c r="E2846" s="6">
        <v>10000</v>
      </c>
      <c r="F2846" s="6">
        <v>10000</v>
      </c>
      <c r="G2846" s="7" t="s">
        <v>25</v>
      </c>
      <c r="H2846" s="1">
        <f t="shared" si="44"/>
        <v>8.3333333333333329E-2</v>
      </c>
    </row>
    <row r="2847" spans="1:8" x14ac:dyDescent="0.25">
      <c r="A2847" s="1" t="s">
        <v>7</v>
      </c>
      <c r="B2847" s="1" t="s">
        <v>11</v>
      </c>
      <c r="C2847" s="6">
        <v>4000000</v>
      </c>
      <c r="D2847" s="6">
        <v>0</v>
      </c>
      <c r="E2847" s="6">
        <v>0</v>
      </c>
      <c r="F2847" s="6">
        <v>0</v>
      </c>
      <c r="G2847" s="7" t="s">
        <v>25</v>
      </c>
      <c r="H2847" s="1">
        <f t="shared" si="44"/>
        <v>0</v>
      </c>
    </row>
    <row r="2848" spans="1:8" x14ac:dyDescent="0.25">
      <c r="A2848" s="1" t="s">
        <v>7</v>
      </c>
      <c r="B2848" s="1" t="s">
        <v>11</v>
      </c>
      <c r="C2848" s="6">
        <v>500000</v>
      </c>
      <c r="D2848" s="6">
        <v>0</v>
      </c>
      <c r="E2848" s="6">
        <v>0</v>
      </c>
      <c r="F2848" s="6">
        <v>0</v>
      </c>
      <c r="G2848" s="7" t="s">
        <v>25</v>
      </c>
      <c r="H2848" s="1">
        <f t="shared" si="44"/>
        <v>0</v>
      </c>
    </row>
    <row r="2849" spans="1:8" x14ac:dyDescent="0.25">
      <c r="A2849" s="1" t="s">
        <v>7</v>
      </c>
      <c r="B2849" s="1" t="s">
        <v>11</v>
      </c>
      <c r="C2849" s="6">
        <v>232627</v>
      </c>
      <c r="D2849" s="6">
        <v>0</v>
      </c>
      <c r="E2849" s="6">
        <v>0</v>
      </c>
      <c r="F2849" s="6">
        <v>0</v>
      </c>
      <c r="G2849" s="7" t="s">
        <v>25</v>
      </c>
      <c r="H2849" s="1">
        <f t="shared" si="44"/>
        <v>0</v>
      </c>
    </row>
    <row r="2850" spans="1:8" x14ac:dyDescent="0.25">
      <c r="A2850" s="1" t="s">
        <v>7</v>
      </c>
      <c r="B2850" s="1" t="s">
        <v>11</v>
      </c>
      <c r="C2850" s="6">
        <v>10000</v>
      </c>
      <c r="D2850" s="6">
        <v>0</v>
      </c>
      <c r="E2850" s="6">
        <v>0</v>
      </c>
      <c r="F2850" s="6">
        <v>0</v>
      </c>
      <c r="G2850" s="7" t="s">
        <v>25</v>
      </c>
      <c r="H2850" s="1">
        <f t="shared" si="44"/>
        <v>0</v>
      </c>
    </row>
    <row r="2851" spans="1:8" x14ac:dyDescent="0.25">
      <c r="A2851" s="1" t="s">
        <v>7</v>
      </c>
      <c r="B2851" s="1" t="s">
        <v>11</v>
      </c>
      <c r="C2851" s="6">
        <v>238140</v>
      </c>
      <c r="D2851" s="6">
        <v>0</v>
      </c>
      <c r="E2851" s="6">
        <v>0</v>
      </c>
      <c r="F2851" s="6">
        <v>0</v>
      </c>
      <c r="G2851" s="7" t="s">
        <v>25</v>
      </c>
      <c r="H2851" s="1">
        <f t="shared" si="44"/>
        <v>0</v>
      </c>
    </row>
    <row r="2852" spans="1:8" x14ac:dyDescent="0.25">
      <c r="A2852" s="1" t="s">
        <v>7</v>
      </c>
      <c r="B2852" s="1" t="s">
        <v>11</v>
      </c>
      <c r="C2852" s="6">
        <v>9000</v>
      </c>
      <c r="D2852" s="6">
        <v>0</v>
      </c>
      <c r="E2852" s="6">
        <v>0</v>
      </c>
      <c r="F2852" s="6">
        <v>0</v>
      </c>
      <c r="G2852" s="7" t="s">
        <v>25</v>
      </c>
      <c r="H2852" s="1">
        <f t="shared" si="44"/>
        <v>0</v>
      </c>
    </row>
    <row r="2853" spans="1:8" x14ac:dyDescent="0.25">
      <c r="A2853" s="1" t="s">
        <v>7</v>
      </c>
      <c r="B2853" s="1" t="s">
        <v>11</v>
      </c>
      <c r="C2853" s="6">
        <v>9204694</v>
      </c>
      <c r="D2853" s="6">
        <v>2380327.77</v>
      </c>
      <c r="E2853" s="6">
        <v>2380327.77</v>
      </c>
      <c r="F2853" s="6">
        <v>2380327.77</v>
      </c>
      <c r="G2853" s="7" t="s">
        <v>25</v>
      </c>
      <c r="H2853" s="1">
        <f t="shared" si="44"/>
        <v>0.25859933746846991</v>
      </c>
    </row>
    <row r="2854" spans="1:8" x14ac:dyDescent="0.25">
      <c r="A2854" s="1" t="s">
        <v>7</v>
      </c>
      <c r="B2854" s="1" t="s">
        <v>11</v>
      </c>
      <c r="C2854" s="6">
        <v>24000</v>
      </c>
      <c r="D2854" s="6">
        <v>0</v>
      </c>
      <c r="E2854" s="6">
        <v>0</v>
      </c>
      <c r="F2854" s="6">
        <v>0</v>
      </c>
      <c r="G2854" s="7" t="s">
        <v>25</v>
      </c>
      <c r="H2854" s="1">
        <f t="shared" si="44"/>
        <v>0</v>
      </c>
    </row>
    <row r="2855" spans="1:8" x14ac:dyDescent="0.25">
      <c r="A2855" s="1" t="s">
        <v>7</v>
      </c>
      <c r="B2855" s="1" t="s">
        <v>11</v>
      </c>
      <c r="C2855" s="6">
        <v>8000</v>
      </c>
      <c r="D2855" s="6">
        <v>0</v>
      </c>
      <c r="E2855" s="6">
        <v>0</v>
      </c>
      <c r="F2855" s="6">
        <v>0</v>
      </c>
      <c r="G2855" s="7" t="s">
        <v>25</v>
      </c>
      <c r="H2855" s="1">
        <f t="shared" si="44"/>
        <v>0</v>
      </c>
    </row>
    <row r="2856" spans="1:8" x14ac:dyDescent="0.25">
      <c r="A2856" s="1" t="s">
        <v>7</v>
      </c>
      <c r="B2856" s="1" t="s">
        <v>11</v>
      </c>
      <c r="C2856" s="6">
        <v>33000</v>
      </c>
      <c r="D2856" s="6">
        <v>0</v>
      </c>
      <c r="E2856" s="6">
        <v>0</v>
      </c>
      <c r="F2856" s="6">
        <v>0</v>
      </c>
      <c r="G2856" s="7" t="s">
        <v>25</v>
      </c>
      <c r="H2856" s="1">
        <f t="shared" si="44"/>
        <v>0</v>
      </c>
    </row>
    <row r="2857" spans="1:8" x14ac:dyDescent="0.25">
      <c r="A2857" s="1" t="s">
        <v>7</v>
      </c>
      <c r="B2857" s="1" t="s">
        <v>11</v>
      </c>
      <c r="C2857" s="6">
        <v>40000</v>
      </c>
      <c r="D2857" s="6">
        <v>0</v>
      </c>
      <c r="E2857" s="6">
        <v>0</v>
      </c>
      <c r="F2857" s="6">
        <v>0</v>
      </c>
      <c r="G2857" s="7" t="s">
        <v>25</v>
      </c>
      <c r="H2857" s="1">
        <f t="shared" si="44"/>
        <v>0</v>
      </c>
    </row>
    <row r="2858" spans="1:8" x14ac:dyDescent="0.25">
      <c r="A2858" s="1" t="s">
        <v>7</v>
      </c>
      <c r="B2858" s="1" t="s">
        <v>11</v>
      </c>
      <c r="C2858" s="6">
        <v>50000</v>
      </c>
      <c r="D2858" s="6">
        <v>0</v>
      </c>
      <c r="E2858" s="6">
        <v>0</v>
      </c>
      <c r="F2858" s="6">
        <v>0</v>
      </c>
      <c r="G2858" s="7" t="s">
        <v>25</v>
      </c>
      <c r="H2858" s="1">
        <f t="shared" si="44"/>
        <v>0</v>
      </c>
    </row>
    <row r="2859" spans="1:8" x14ac:dyDescent="0.25">
      <c r="A2859" s="1" t="s">
        <v>7</v>
      </c>
      <c r="B2859" s="1" t="s">
        <v>11</v>
      </c>
      <c r="C2859" s="6">
        <v>110250</v>
      </c>
      <c r="D2859" s="6">
        <v>0</v>
      </c>
      <c r="E2859" s="6">
        <v>0</v>
      </c>
      <c r="F2859" s="6">
        <v>0</v>
      </c>
      <c r="G2859" s="7" t="s">
        <v>25</v>
      </c>
      <c r="H2859" s="1">
        <f t="shared" si="44"/>
        <v>0</v>
      </c>
    </row>
    <row r="2860" spans="1:8" x14ac:dyDescent="0.25">
      <c r="A2860" s="1" t="s">
        <v>7</v>
      </c>
      <c r="B2860" s="1" t="s">
        <v>11</v>
      </c>
      <c r="C2860" s="6">
        <v>74600</v>
      </c>
      <c r="D2860" s="6">
        <v>200</v>
      </c>
      <c r="E2860" s="6">
        <v>200</v>
      </c>
      <c r="F2860" s="6">
        <v>200</v>
      </c>
      <c r="G2860" s="7" t="s">
        <v>25</v>
      </c>
      <c r="H2860" s="1">
        <f t="shared" si="44"/>
        <v>2.6809651474530832E-3</v>
      </c>
    </row>
    <row r="2861" spans="1:8" x14ac:dyDescent="0.25">
      <c r="A2861" s="1" t="s">
        <v>7</v>
      </c>
      <c r="B2861" s="1" t="s">
        <v>11</v>
      </c>
      <c r="C2861" s="6">
        <v>12789473</v>
      </c>
      <c r="D2861" s="6">
        <v>11130169</v>
      </c>
      <c r="E2861" s="6">
        <v>11130169</v>
      </c>
      <c r="F2861" s="6">
        <v>9961262</v>
      </c>
      <c r="G2861" s="7" t="s">
        <v>25</v>
      </c>
      <c r="H2861" s="1">
        <f t="shared" si="44"/>
        <v>0.87026017412914514</v>
      </c>
    </row>
    <row r="2862" spans="1:8" x14ac:dyDescent="0.25">
      <c r="A2862" s="1" t="s">
        <v>7</v>
      </c>
      <c r="B2862" s="1" t="s">
        <v>11</v>
      </c>
      <c r="C2862" s="6">
        <v>2563916</v>
      </c>
      <c r="D2862" s="6">
        <v>3149803</v>
      </c>
      <c r="E2862" s="6">
        <v>3149803</v>
      </c>
      <c r="F2862" s="6">
        <v>3149803</v>
      </c>
      <c r="G2862" s="7" t="s">
        <v>25</v>
      </c>
      <c r="H2862" s="1">
        <f t="shared" si="44"/>
        <v>1.2285125565736164</v>
      </c>
    </row>
    <row r="2863" spans="1:8" x14ac:dyDescent="0.25">
      <c r="A2863" s="1" t="s">
        <v>7</v>
      </c>
      <c r="B2863" s="1" t="s">
        <v>11</v>
      </c>
      <c r="C2863" s="6">
        <v>1746000</v>
      </c>
      <c r="D2863" s="6">
        <v>910000</v>
      </c>
      <c r="E2863" s="6">
        <v>910000</v>
      </c>
      <c r="F2863" s="6">
        <v>360000</v>
      </c>
      <c r="G2863" s="7" t="s">
        <v>25</v>
      </c>
      <c r="H2863" s="1">
        <f t="shared" si="44"/>
        <v>0.52119129438717071</v>
      </c>
    </row>
    <row r="2864" spans="1:8" x14ac:dyDescent="0.25">
      <c r="A2864" s="1" t="s">
        <v>7</v>
      </c>
      <c r="B2864" s="1" t="s">
        <v>11</v>
      </c>
      <c r="C2864" s="6">
        <v>7370102</v>
      </c>
      <c r="D2864" s="6">
        <v>10087494</v>
      </c>
      <c r="E2864" s="6">
        <v>10087494</v>
      </c>
      <c r="F2864" s="6">
        <v>9156418</v>
      </c>
      <c r="G2864" s="7" t="s">
        <v>25</v>
      </c>
      <c r="H2864" s="1">
        <f t="shared" si="44"/>
        <v>1.3687048021859127</v>
      </c>
    </row>
    <row r="2865" spans="1:8" x14ac:dyDescent="0.25">
      <c r="A2865" s="1" t="s">
        <v>7</v>
      </c>
      <c r="B2865" s="1" t="s">
        <v>11</v>
      </c>
      <c r="C2865" s="6">
        <v>289952107</v>
      </c>
      <c r="D2865" s="6">
        <v>292702258.14999998</v>
      </c>
      <c r="E2865" s="6">
        <v>292117754.31</v>
      </c>
      <c r="F2865" s="6">
        <v>291959402.13</v>
      </c>
      <c r="G2865" s="7" t="s">
        <v>25</v>
      </c>
      <c r="H2865" s="1">
        <f t="shared" si="44"/>
        <v>1.0094848462335884</v>
      </c>
    </row>
    <row r="2866" spans="1:8" x14ac:dyDescent="0.25">
      <c r="A2866" s="1" t="s">
        <v>7</v>
      </c>
      <c r="B2866" s="1" t="s">
        <v>11</v>
      </c>
      <c r="C2866" s="6">
        <v>13999631</v>
      </c>
      <c r="D2866" s="6">
        <v>6675658.9500000002</v>
      </c>
      <c r="E2866" s="6">
        <v>5934776.75</v>
      </c>
      <c r="F2866" s="6">
        <v>5934776.75</v>
      </c>
      <c r="G2866" s="7" t="s">
        <v>25</v>
      </c>
      <c r="H2866" s="1">
        <f t="shared" si="44"/>
        <v>0.47684535042387904</v>
      </c>
    </row>
    <row r="2867" spans="1:8" x14ac:dyDescent="0.25">
      <c r="A2867" s="1" t="s">
        <v>7</v>
      </c>
      <c r="B2867" s="1" t="s">
        <v>11</v>
      </c>
      <c r="C2867" s="6">
        <v>8724706</v>
      </c>
      <c r="D2867" s="6">
        <v>3598406.64</v>
      </c>
      <c r="E2867" s="6">
        <v>3470603.43</v>
      </c>
      <c r="F2867" s="6">
        <v>3332840.04</v>
      </c>
      <c r="G2867" s="7" t="s">
        <v>25</v>
      </c>
      <c r="H2867" s="1">
        <f t="shared" si="44"/>
        <v>0.41243872744823723</v>
      </c>
    </row>
    <row r="2868" spans="1:8" x14ac:dyDescent="0.25">
      <c r="A2868" s="1" t="s">
        <v>7</v>
      </c>
      <c r="B2868" s="1" t="s">
        <v>11</v>
      </c>
      <c r="C2868" s="6">
        <v>92850452</v>
      </c>
      <c r="D2868" s="6">
        <v>86598975.269999996</v>
      </c>
      <c r="E2868" s="6">
        <v>86421109.079999998</v>
      </c>
      <c r="F2868" s="6">
        <v>85139300.079999998</v>
      </c>
      <c r="G2868" s="7" t="s">
        <v>25</v>
      </c>
      <c r="H2868" s="1">
        <f t="shared" si="44"/>
        <v>0.93267155306901461</v>
      </c>
    </row>
    <row r="2869" spans="1:8" x14ac:dyDescent="0.25">
      <c r="A2869" s="1" t="s">
        <v>7</v>
      </c>
      <c r="B2869" s="1" t="s">
        <v>11</v>
      </c>
      <c r="C2869" s="6">
        <v>10064243</v>
      </c>
      <c r="D2869" s="6">
        <v>2610866.96</v>
      </c>
      <c r="E2869" s="6">
        <v>2610866.96</v>
      </c>
      <c r="F2869" s="6">
        <v>2538385.3199999998</v>
      </c>
      <c r="G2869" s="7" t="s">
        <v>25</v>
      </c>
      <c r="H2869" s="1">
        <f t="shared" si="44"/>
        <v>0.25942010342953764</v>
      </c>
    </row>
    <row r="2870" spans="1:8" x14ac:dyDescent="0.25">
      <c r="A2870" s="1" t="s">
        <v>7</v>
      </c>
      <c r="B2870" s="1" t="s">
        <v>11</v>
      </c>
      <c r="C2870" s="6">
        <v>2417350</v>
      </c>
      <c r="D2870" s="6">
        <v>85132.55</v>
      </c>
      <c r="E2870" s="6">
        <v>85132.55</v>
      </c>
      <c r="F2870" s="6">
        <v>85132.55</v>
      </c>
      <c r="G2870" s="7" t="s">
        <v>25</v>
      </c>
      <c r="H2870" s="1">
        <f t="shared" si="44"/>
        <v>3.521730407264153E-2</v>
      </c>
    </row>
    <row r="2871" spans="1:8" x14ac:dyDescent="0.25">
      <c r="A2871" s="1" t="s">
        <v>7</v>
      </c>
      <c r="B2871" s="1" t="s">
        <v>11</v>
      </c>
      <c r="C2871" s="6">
        <v>7230185</v>
      </c>
      <c r="D2871" s="6">
        <v>2852776.29</v>
      </c>
      <c r="E2871" s="6">
        <v>2163051.16</v>
      </c>
      <c r="F2871" s="6">
        <v>1083428.3500000001</v>
      </c>
      <c r="G2871" s="7" t="s">
        <v>25</v>
      </c>
      <c r="H2871" s="1">
        <f t="shared" si="44"/>
        <v>0.39456477116422334</v>
      </c>
    </row>
    <row r="2872" spans="1:8" x14ac:dyDescent="0.25">
      <c r="A2872" s="1" t="s">
        <v>7</v>
      </c>
      <c r="B2872" s="1" t="s">
        <v>11</v>
      </c>
      <c r="C2872" s="6">
        <v>33000</v>
      </c>
      <c r="D2872" s="6">
        <v>5000</v>
      </c>
      <c r="E2872" s="6">
        <v>5000</v>
      </c>
      <c r="F2872" s="6">
        <v>5000</v>
      </c>
      <c r="G2872" s="7" t="s">
        <v>25</v>
      </c>
      <c r="H2872" s="1">
        <f t="shared" si="44"/>
        <v>0.15151515151515152</v>
      </c>
    </row>
    <row r="2873" spans="1:8" x14ac:dyDescent="0.25">
      <c r="A2873" s="1" t="s">
        <v>7</v>
      </c>
      <c r="B2873" s="1" t="s">
        <v>11</v>
      </c>
      <c r="C2873" s="6">
        <v>4000</v>
      </c>
      <c r="D2873" s="6">
        <v>0</v>
      </c>
      <c r="E2873" s="6">
        <v>0</v>
      </c>
      <c r="F2873" s="6">
        <v>0</v>
      </c>
      <c r="G2873" s="7" t="s">
        <v>25</v>
      </c>
      <c r="H2873" s="1">
        <f t="shared" si="44"/>
        <v>0</v>
      </c>
    </row>
    <row r="2874" spans="1:8" x14ac:dyDescent="0.25">
      <c r="A2874" s="1" t="s">
        <v>7</v>
      </c>
      <c r="B2874" s="1" t="s">
        <v>11</v>
      </c>
      <c r="C2874" s="6">
        <v>1309011</v>
      </c>
      <c r="D2874" s="6">
        <v>1284107</v>
      </c>
      <c r="E2874" s="6">
        <v>1284107</v>
      </c>
      <c r="F2874" s="6">
        <v>1168384</v>
      </c>
      <c r="G2874" s="7" t="s">
        <v>25</v>
      </c>
      <c r="H2874" s="1">
        <f t="shared" si="44"/>
        <v>0.98097494979033795</v>
      </c>
    </row>
    <row r="2875" spans="1:8" x14ac:dyDescent="0.25">
      <c r="A2875" s="1" t="s">
        <v>7</v>
      </c>
      <c r="B2875" s="1" t="s">
        <v>11</v>
      </c>
      <c r="C2875" s="6">
        <v>482257</v>
      </c>
      <c r="D2875" s="6">
        <v>363923</v>
      </c>
      <c r="E2875" s="6">
        <v>363923</v>
      </c>
      <c r="F2875" s="6">
        <v>363923</v>
      </c>
      <c r="G2875" s="7" t="s">
        <v>25</v>
      </c>
      <c r="H2875" s="1">
        <f t="shared" si="44"/>
        <v>0.75462460887037408</v>
      </c>
    </row>
    <row r="2876" spans="1:8" x14ac:dyDescent="0.25">
      <c r="A2876" s="1" t="s">
        <v>7</v>
      </c>
      <c r="B2876" s="1" t="s">
        <v>11</v>
      </c>
      <c r="C2876" s="6">
        <v>33468000</v>
      </c>
      <c r="D2876" s="6">
        <v>41920451.5</v>
      </c>
      <c r="E2876" s="6">
        <v>41920451.5</v>
      </c>
      <c r="F2876" s="6">
        <v>41920451.5</v>
      </c>
      <c r="G2876" s="7" t="s">
        <v>25</v>
      </c>
      <c r="H2876" s="1">
        <f t="shared" si="44"/>
        <v>1.252553229950998</v>
      </c>
    </row>
    <row r="2877" spans="1:8" x14ac:dyDescent="0.25">
      <c r="A2877" s="1" t="s">
        <v>7</v>
      </c>
      <c r="B2877" s="1" t="s">
        <v>11</v>
      </c>
      <c r="C2877" s="6">
        <v>1520106</v>
      </c>
      <c r="D2877" s="6">
        <v>612966.68000000005</v>
      </c>
      <c r="E2877" s="6">
        <v>533440.9</v>
      </c>
      <c r="F2877" s="6">
        <v>527117.74</v>
      </c>
      <c r="G2877" s="7" t="s">
        <v>25</v>
      </c>
      <c r="H2877" s="1">
        <f t="shared" si="44"/>
        <v>0.40323943198697987</v>
      </c>
    </row>
    <row r="2878" spans="1:8" x14ac:dyDescent="0.25">
      <c r="A2878" s="1" t="s">
        <v>7</v>
      </c>
      <c r="B2878" s="1" t="s">
        <v>11</v>
      </c>
      <c r="C2878" s="6">
        <v>237666</v>
      </c>
      <c r="D2878" s="6">
        <v>13459.86</v>
      </c>
      <c r="E2878" s="6">
        <v>13459.86</v>
      </c>
      <c r="F2878" s="6">
        <v>13459.86</v>
      </c>
      <c r="G2878" s="7" t="s">
        <v>25</v>
      </c>
      <c r="H2878" s="1">
        <f t="shared" si="44"/>
        <v>5.6633510893438696E-2</v>
      </c>
    </row>
    <row r="2879" spans="1:8" x14ac:dyDescent="0.25">
      <c r="A2879" s="1" t="s">
        <v>7</v>
      </c>
      <c r="B2879" s="1" t="s">
        <v>11</v>
      </c>
      <c r="C2879" s="6">
        <v>750000</v>
      </c>
      <c r="D2879" s="6">
        <v>0</v>
      </c>
      <c r="E2879" s="6">
        <v>0</v>
      </c>
      <c r="F2879" s="6">
        <v>0</v>
      </c>
      <c r="G2879" s="7" t="s">
        <v>25</v>
      </c>
      <c r="H2879" s="1">
        <f t="shared" si="44"/>
        <v>0</v>
      </c>
    </row>
    <row r="2880" spans="1:8" x14ac:dyDescent="0.25">
      <c r="A2880" s="1" t="s">
        <v>7</v>
      </c>
      <c r="B2880" s="1" t="s">
        <v>11</v>
      </c>
      <c r="C2880" s="6">
        <v>529389</v>
      </c>
      <c r="D2880" s="6">
        <v>450001.8</v>
      </c>
      <c r="E2880" s="6">
        <v>411794.1</v>
      </c>
      <c r="F2880" s="6">
        <v>411794.1</v>
      </c>
      <c r="G2880" s="7" t="s">
        <v>25</v>
      </c>
      <c r="H2880" s="1">
        <f t="shared" si="44"/>
        <v>0.8500399517179239</v>
      </c>
    </row>
    <row r="2881" spans="1:8" x14ac:dyDescent="0.25">
      <c r="A2881" s="1" t="s">
        <v>7</v>
      </c>
      <c r="B2881" s="1" t="s">
        <v>11</v>
      </c>
      <c r="C2881" s="6">
        <v>1977996</v>
      </c>
      <c r="D2881" s="6">
        <v>1923121.42</v>
      </c>
      <c r="E2881" s="6">
        <v>1753489.26</v>
      </c>
      <c r="F2881" s="6">
        <v>1753489.26</v>
      </c>
      <c r="G2881" s="7" t="s">
        <v>25</v>
      </c>
      <c r="H2881" s="1">
        <f t="shared" si="44"/>
        <v>0.9722574868705498</v>
      </c>
    </row>
    <row r="2882" spans="1:8" x14ac:dyDescent="0.25">
      <c r="A2882" s="1" t="s">
        <v>7</v>
      </c>
      <c r="B2882" s="1" t="s">
        <v>11</v>
      </c>
      <c r="C2882" s="6">
        <v>429100</v>
      </c>
      <c r="D2882" s="6">
        <v>0</v>
      </c>
      <c r="E2882" s="6">
        <v>0</v>
      </c>
      <c r="F2882" s="6">
        <v>0</v>
      </c>
      <c r="G2882" s="7" t="s">
        <v>25</v>
      </c>
      <c r="H2882" s="1">
        <f t="shared" ref="H2882:H2945" si="45">IF(OR(ISNA($D2882),ISNA($C2882),$C2882=0),0,$D2882/$C2882)</f>
        <v>0</v>
      </c>
    </row>
    <row r="2883" spans="1:8" x14ac:dyDescent="0.25">
      <c r="A2883" s="1" t="s">
        <v>7</v>
      </c>
      <c r="B2883" s="1" t="s">
        <v>11</v>
      </c>
      <c r="C2883" s="6">
        <v>6453883</v>
      </c>
      <c r="D2883" s="6">
        <v>6704073.6699999999</v>
      </c>
      <c r="E2883" s="6">
        <v>6135291.04</v>
      </c>
      <c r="F2883" s="6">
        <v>5812946.6799999997</v>
      </c>
      <c r="G2883" s="7" t="s">
        <v>25</v>
      </c>
      <c r="H2883" s="1">
        <f t="shared" si="45"/>
        <v>1.0387659134818528</v>
      </c>
    </row>
    <row r="2884" spans="1:8" x14ac:dyDescent="0.25">
      <c r="A2884" s="1" t="s">
        <v>7</v>
      </c>
      <c r="B2884" s="1" t="s">
        <v>11</v>
      </c>
      <c r="C2884" s="6">
        <v>74000</v>
      </c>
      <c r="D2884" s="6">
        <v>0</v>
      </c>
      <c r="E2884" s="6">
        <v>0</v>
      </c>
      <c r="F2884" s="6">
        <v>0</v>
      </c>
      <c r="G2884" s="7" t="s">
        <v>25</v>
      </c>
      <c r="H2884" s="1">
        <f t="shared" si="45"/>
        <v>0</v>
      </c>
    </row>
    <row r="2885" spans="1:8" x14ac:dyDescent="0.25">
      <c r="A2885" s="1" t="s">
        <v>7</v>
      </c>
      <c r="B2885" s="1" t="s">
        <v>11</v>
      </c>
      <c r="C2885" s="6">
        <v>300000</v>
      </c>
      <c r="D2885" s="6">
        <v>0</v>
      </c>
      <c r="E2885" s="6">
        <v>0</v>
      </c>
      <c r="F2885" s="6">
        <v>0</v>
      </c>
      <c r="G2885" s="7" t="s">
        <v>25</v>
      </c>
      <c r="H2885" s="1">
        <f t="shared" si="45"/>
        <v>0</v>
      </c>
    </row>
    <row r="2886" spans="1:8" x14ac:dyDescent="0.25">
      <c r="A2886" s="1" t="s">
        <v>7</v>
      </c>
      <c r="B2886" s="1" t="s">
        <v>11</v>
      </c>
      <c r="C2886" s="6">
        <v>3865450</v>
      </c>
      <c r="D2886" s="6">
        <v>3264634.27</v>
      </c>
      <c r="E2886" s="6">
        <v>3264634.27</v>
      </c>
      <c r="F2886" s="6">
        <v>3264634.27</v>
      </c>
      <c r="G2886" s="7" t="s">
        <v>25</v>
      </c>
      <c r="H2886" s="1">
        <f t="shared" si="45"/>
        <v>0.84456771397896757</v>
      </c>
    </row>
    <row r="2887" spans="1:8" x14ac:dyDescent="0.25">
      <c r="A2887" s="1" t="s">
        <v>7</v>
      </c>
      <c r="B2887" s="1" t="s">
        <v>11</v>
      </c>
      <c r="C2887" s="6">
        <v>7250</v>
      </c>
      <c r="D2887" s="6">
        <v>10</v>
      </c>
      <c r="E2887" s="6">
        <v>10</v>
      </c>
      <c r="F2887" s="6">
        <v>0</v>
      </c>
      <c r="G2887" s="7" t="s">
        <v>25</v>
      </c>
      <c r="H2887" s="1">
        <f t="shared" si="45"/>
        <v>1.3793103448275861E-3</v>
      </c>
    </row>
    <row r="2888" spans="1:8" x14ac:dyDescent="0.25">
      <c r="A2888" s="1" t="s">
        <v>7</v>
      </c>
      <c r="B2888" s="1" t="s">
        <v>11</v>
      </c>
      <c r="C2888" s="6">
        <v>1500</v>
      </c>
      <c r="D2888" s="6">
        <v>0</v>
      </c>
      <c r="E2888" s="6">
        <v>0</v>
      </c>
      <c r="F2888" s="6">
        <v>0</v>
      </c>
      <c r="G2888" s="7" t="s">
        <v>25</v>
      </c>
      <c r="H2888" s="1">
        <f t="shared" si="45"/>
        <v>0</v>
      </c>
    </row>
    <row r="2889" spans="1:8" x14ac:dyDescent="0.25">
      <c r="A2889" s="1" t="s">
        <v>7</v>
      </c>
      <c r="B2889" s="1" t="s">
        <v>11</v>
      </c>
      <c r="C2889" s="6">
        <v>31250</v>
      </c>
      <c r="D2889" s="6">
        <v>26464.78</v>
      </c>
      <c r="E2889" s="6">
        <v>26303.57</v>
      </c>
      <c r="F2889" s="6">
        <v>24618.53</v>
      </c>
      <c r="G2889" s="7" t="s">
        <v>25</v>
      </c>
      <c r="H2889" s="1">
        <f t="shared" si="45"/>
        <v>0.84687296000000001</v>
      </c>
    </row>
    <row r="2890" spans="1:8" x14ac:dyDescent="0.25">
      <c r="A2890" s="1" t="s">
        <v>7</v>
      </c>
      <c r="B2890" s="1" t="s">
        <v>11</v>
      </c>
      <c r="C2890" s="6">
        <v>122901</v>
      </c>
      <c r="D2890" s="6">
        <v>0</v>
      </c>
      <c r="E2890" s="6">
        <v>0</v>
      </c>
      <c r="F2890" s="6">
        <v>0</v>
      </c>
      <c r="G2890" s="7" t="s">
        <v>25</v>
      </c>
      <c r="H2890" s="1">
        <f t="shared" si="45"/>
        <v>0</v>
      </c>
    </row>
    <row r="2891" spans="1:8" x14ac:dyDescent="0.25">
      <c r="A2891" s="1" t="s">
        <v>7</v>
      </c>
      <c r="B2891" s="1" t="s">
        <v>11</v>
      </c>
      <c r="C2891" s="6">
        <v>56500</v>
      </c>
      <c r="D2891" s="6">
        <v>0</v>
      </c>
      <c r="E2891" s="6">
        <v>0</v>
      </c>
      <c r="F2891" s="6">
        <v>0</v>
      </c>
      <c r="G2891" s="7" t="s">
        <v>25</v>
      </c>
      <c r="H2891" s="1">
        <f t="shared" si="45"/>
        <v>0</v>
      </c>
    </row>
    <row r="2892" spans="1:8" x14ac:dyDescent="0.25">
      <c r="A2892" s="1" t="s">
        <v>7</v>
      </c>
      <c r="B2892" s="1" t="s">
        <v>11</v>
      </c>
      <c r="C2892" s="6">
        <v>14535</v>
      </c>
      <c r="D2892" s="6">
        <v>15215.68</v>
      </c>
      <c r="E2892" s="6">
        <v>15215.68</v>
      </c>
      <c r="F2892" s="6">
        <v>15215.68</v>
      </c>
      <c r="G2892" s="7" t="s">
        <v>25</v>
      </c>
      <c r="H2892" s="1">
        <f t="shared" si="45"/>
        <v>1.0468304093567251</v>
      </c>
    </row>
    <row r="2893" spans="1:8" x14ac:dyDescent="0.25">
      <c r="A2893" s="1" t="s">
        <v>7</v>
      </c>
      <c r="B2893" s="1" t="s">
        <v>11</v>
      </c>
      <c r="C2893" s="6">
        <v>500</v>
      </c>
      <c r="D2893" s="6">
        <v>0</v>
      </c>
      <c r="E2893" s="6">
        <v>0</v>
      </c>
      <c r="F2893" s="6">
        <v>0</v>
      </c>
      <c r="G2893" s="7" t="s">
        <v>25</v>
      </c>
      <c r="H2893" s="1">
        <f t="shared" si="45"/>
        <v>0</v>
      </c>
    </row>
    <row r="2894" spans="1:8" x14ac:dyDescent="0.25">
      <c r="A2894" s="1" t="s">
        <v>16</v>
      </c>
      <c r="B2894" s="1" t="s">
        <v>17</v>
      </c>
      <c r="C2894" s="6">
        <v>38125</v>
      </c>
      <c r="D2894" s="6">
        <v>0</v>
      </c>
      <c r="E2894" s="6">
        <v>0</v>
      </c>
      <c r="F2894" s="6">
        <v>0</v>
      </c>
      <c r="G2894" s="7" t="s">
        <v>25</v>
      </c>
      <c r="H2894" s="1">
        <f t="shared" si="45"/>
        <v>0</v>
      </c>
    </row>
    <row r="2895" spans="1:8" x14ac:dyDescent="0.25">
      <c r="A2895" s="1" t="s">
        <v>16</v>
      </c>
      <c r="B2895" s="1" t="s">
        <v>17</v>
      </c>
      <c r="C2895" s="6">
        <v>547227</v>
      </c>
      <c r="D2895" s="6">
        <v>583832.73</v>
      </c>
      <c r="E2895" s="6">
        <v>397825.95</v>
      </c>
      <c r="F2895" s="6">
        <v>397825.95</v>
      </c>
      <c r="G2895" s="7" t="s">
        <v>25</v>
      </c>
      <c r="H2895" s="1">
        <f t="shared" si="45"/>
        <v>1.0668931357553628</v>
      </c>
    </row>
    <row r="2896" spans="1:8" x14ac:dyDescent="0.25">
      <c r="A2896" s="1" t="s">
        <v>16</v>
      </c>
      <c r="B2896" s="1" t="s">
        <v>17</v>
      </c>
      <c r="C2896" s="6">
        <v>2750</v>
      </c>
      <c r="D2896" s="6">
        <v>0</v>
      </c>
      <c r="E2896" s="6">
        <v>0</v>
      </c>
      <c r="F2896" s="6">
        <v>0</v>
      </c>
      <c r="G2896" s="7" t="s">
        <v>25</v>
      </c>
      <c r="H2896" s="1">
        <f t="shared" si="45"/>
        <v>0</v>
      </c>
    </row>
    <row r="2897" spans="1:8" x14ac:dyDescent="0.25">
      <c r="A2897" s="1" t="s">
        <v>16</v>
      </c>
      <c r="B2897" s="1" t="s">
        <v>17</v>
      </c>
      <c r="C2897" s="6">
        <v>5000</v>
      </c>
      <c r="D2897" s="6">
        <v>0</v>
      </c>
      <c r="E2897" s="6">
        <v>0</v>
      </c>
      <c r="F2897" s="6">
        <v>0</v>
      </c>
      <c r="G2897" s="7" t="s">
        <v>25</v>
      </c>
      <c r="H2897" s="1">
        <f t="shared" si="45"/>
        <v>0</v>
      </c>
    </row>
    <row r="2898" spans="1:8" x14ac:dyDescent="0.25">
      <c r="A2898" s="1" t="s">
        <v>16</v>
      </c>
      <c r="B2898" s="1" t="s">
        <v>17</v>
      </c>
      <c r="C2898" s="6">
        <v>14500</v>
      </c>
      <c r="D2898" s="6">
        <v>0</v>
      </c>
      <c r="E2898" s="6">
        <v>0</v>
      </c>
      <c r="F2898" s="6">
        <v>0</v>
      </c>
      <c r="G2898" s="7" t="s">
        <v>25</v>
      </c>
      <c r="H2898" s="1">
        <f t="shared" si="45"/>
        <v>0</v>
      </c>
    </row>
    <row r="2899" spans="1:8" x14ac:dyDescent="0.25">
      <c r="A2899" s="1" t="s">
        <v>16</v>
      </c>
      <c r="B2899" s="1" t="s">
        <v>17</v>
      </c>
      <c r="C2899" s="6">
        <v>1750</v>
      </c>
      <c r="D2899" s="6">
        <v>0</v>
      </c>
      <c r="E2899" s="6">
        <v>0</v>
      </c>
      <c r="F2899" s="6">
        <v>0</v>
      </c>
      <c r="G2899" s="7" t="s">
        <v>25</v>
      </c>
      <c r="H2899" s="1">
        <f t="shared" si="45"/>
        <v>0</v>
      </c>
    </row>
    <row r="2900" spans="1:8" x14ac:dyDescent="0.25">
      <c r="A2900" s="1" t="s">
        <v>16</v>
      </c>
      <c r="B2900" s="1" t="s">
        <v>17</v>
      </c>
      <c r="C2900" s="6">
        <v>38750</v>
      </c>
      <c r="D2900" s="6">
        <v>0</v>
      </c>
      <c r="E2900" s="6">
        <v>0</v>
      </c>
      <c r="F2900" s="6">
        <v>0</v>
      </c>
      <c r="G2900" s="7" t="s">
        <v>25</v>
      </c>
      <c r="H2900" s="1">
        <f t="shared" si="45"/>
        <v>0</v>
      </c>
    </row>
    <row r="2901" spans="1:8" x14ac:dyDescent="0.25">
      <c r="A2901" s="1" t="s">
        <v>16</v>
      </c>
      <c r="B2901" s="1" t="s">
        <v>17</v>
      </c>
      <c r="C2901" s="6">
        <v>1737000</v>
      </c>
      <c r="D2901" s="6">
        <v>1454533.97</v>
      </c>
      <c r="E2901" s="6">
        <v>1404467.47</v>
      </c>
      <c r="F2901" s="6">
        <v>1399330.05</v>
      </c>
      <c r="G2901" s="7" t="s">
        <v>25</v>
      </c>
      <c r="H2901" s="1">
        <f t="shared" si="45"/>
        <v>0.83738282671272302</v>
      </c>
    </row>
    <row r="2902" spans="1:8" x14ac:dyDescent="0.25">
      <c r="A2902" s="1" t="s">
        <v>16</v>
      </c>
      <c r="B2902" s="1" t="s">
        <v>17</v>
      </c>
      <c r="C2902" s="6">
        <v>31250</v>
      </c>
      <c r="D2902" s="6">
        <v>0</v>
      </c>
      <c r="E2902" s="6">
        <v>0</v>
      </c>
      <c r="F2902" s="6">
        <v>0</v>
      </c>
      <c r="G2902" s="7" t="s">
        <v>25</v>
      </c>
      <c r="H2902" s="1">
        <f t="shared" si="45"/>
        <v>0</v>
      </c>
    </row>
    <row r="2903" spans="1:8" x14ac:dyDescent="0.25">
      <c r="A2903" s="1" t="s">
        <v>16</v>
      </c>
      <c r="B2903" s="1" t="s">
        <v>17</v>
      </c>
      <c r="C2903" s="6">
        <v>296000</v>
      </c>
      <c r="D2903" s="6">
        <v>277523.09999999998</v>
      </c>
      <c r="E2903" s="6">
        <v>275888.64000000001</v>
      </c>
      <c r="F2903" s="6">
        <v>252368.46</v>
      </c>
      <c r="G2903" s="7" t="s">
        <v>25</v>
      </c>
      <c r="H2903" s="1">
        <f t="shared" si="45"/>
        <v>0.9375780405405405</v>
      </c>
    </row>
    <row r="2904" spans="1:8" x14ac:dyDescent="0.25">
      <c r="A2904" s="1" t="s">
        <v>16</v>
      </c>
      <c r="B2904" s="1" t="s">
        <v>17</v>
      </c>
      <c r="C2904" s="6">
        <v>316750</v>
      </c>
      <c r="D2904" s="6">
        <v>314180.67</v>
      </c>
      <c r="E2904" s="6">
        <v>214550</v>
      </c>
      <c r="F2904" s="6">
        <v>210540</v>
      </c>
      <c r="G2904" s="7" t="s">
        <v>25</v>
      </c>
      <c r="H2904" s="1">
        <f t="shared" si="45"/>
        <v>0.99188846093133376</v>
      </c>
    </row>
    <row r="2905" spans="1:8" x14ac:dyDescent="0.25">
      <c r="A2905" s="1" t="s">
        <v>16</v>
      </c>
      <c r="B2905" s="1" t="s">
        <v>17</v>
      </c>
      <c r="C2905" s="6">
        <v>970400</v>
      </c>
      <c r="D2905" s="6">
        <v>574652.4</v>
      </c>
      <c r="E2905" s="6">
        <v>485498.02</v>
      </c>
      <c r="F2905" s="6">
        <v>472929.57</v>
      </c>
      <c r="G2905" s="7" t="s">
        <v>25</v>
      </c>
      <c r="H2905" s="1">
        <f t="shared" si="45"/>
        <v>0.59218095630667766</v>
      </c>
    </row>
    <row r="2906" spans="1:8" x14ac:dyDescent="0.25">
      <c r="A2906" s="1" t="s">
        <v>16</v>
      </c>
      <c r="B2906" s="1" t="s">
        <v>17</v>
      </c>
      <c r="C2906" s="6">
        <v>1964200</v>
      </c>
      <c r="D2906" s="6">
        <v>1198626.04</v>
      </c>
      <c r="E2906" s="6">
        <v>892208.84</v>
      </c>
      <c r="F2906" s="6">
        <v>875879.54</v>
      </c>
      <c r="G2906" s="7" t="s">
        <v>25</v>
      </c>
      <c r="H2906" s="1">
        <f t="shared" si="45"/>
        <v>0.61023624885449546</v>
      </c>
    </row>
    <row r="2907" spans="1:8" x14ac:dyDescent="0.25">
      <c r="A2907" s="1" t="s">
        <v>16</v>
      </c>
      <c r="B2907" s="1" t="s">
        <v>17</v>
      </c>
      <c r="C2907" s="6">
        <v>21463400</v>
      </c>
      <c r="D2907" s="6">
        <v>20043440.449999999</v>
      </c>
      <c r="E2907" s="6">
        <v>19759333.010000002</v>
      </c>
      <c r="F2907" s="6">
        <v>19075736.760000002</v>
      </c>
      <c r="G2907" s="7" t="s">
        <v>25</v>
      </c>
      <c r="H2907" s="1">
        <f t="shared" si="45"/>
        <v>0.93384274858596494</v>
      </c>
    </row>
    <row r="2908" spans="1:8" x14ac:dyDescent="0.25">
      <c r="A2908" s="1" t="s">
        <v>16</v>
      </c>
      <c r="B2908" s="1" t="s">
        <v>17</v>
      </c>
      <c r="C2908" s="6">
        <v>1884800</v>
      </c>
      <c r="D2908" s="6">
        <v>614050.98</v>
      </c>
      <c r="E2908" s="6">
        <v>614050.98</v>
      </c>
      <c r="F2908" s="6">
        <v>563599.06000000006</v>
      </c>
      <c r="G2908" s="7" t="s">
        <v>25</v>
      </c>
      <c r="H2908" s="1">
        <f t="shared" si="45"/>
        <v>0.32579105475382003</v>
      </c>
    </row>
    <row r="2909" spans="1:8" x14ac:dyDescent="0.25">
      <c r="A2909" s="1" t="s">
        <v>16</v>
      </c>
      <c r="B2909" s="1" t="s">
        <v>17</v>
      </c>
      <c r="C2909" s="6">
        <v>6312500</v>
      </c>
      <c r="D2909" s="6">
        <v>4762371.5599999996</v>
      </c>
      <c r="E2909" s="6">
        <v>4662666.6100000003</v>
      </c>
      <c r="F2909" s="6">
        <v>4640639.1100000003</v>
      </c>
      <c r="G2909" s="7" t="s">
        <v>25</v>
      </c>
      <c r="H2909" s="1">
        <f t="shared" si="45"/>
        <v>0.75443509861386127</v>
      </c>
    </row>
    <row r="2910" spans="1:8" x14ac:dyDescent="0.25">
      <c r="A2910" s="1" t="s">
        <v>16</v>
      </c>
      <c r="B2910" s="1" t="s">
        <v>17</v>
      </c>
      <c r="C2910" s="6">
        <v>876000</v>
      </c>
      <c r="D2910" s="6">
        <v>459790.24</v>
      </c>
      <c r="E2910" s="6">
        <v>459790.24</v>
      </c>
      <c r="F2910" s="6">
        <v>459790.24</v>
      </c>
      <c r="G2910" s="7" t="s">
        <v>25</v>
      </c>
      <c r="H2910" s="1">
        <f t="shared" si="45"/>
        <v>0.52487470319634699</v>
      </c>
    </row>
    <row r="2911" spans="1:8" x14ac:dyDescent="0.25">
      <c r="A2911" s="1" t="s">
        <v>16</v>
      </c>
      <c r="B2911" s="1" t="s">
        <v>17</v>
      </c>
      <c r="C2911" s="6">
        <v>2316000</v>
      </c>
      <c r="D2911" s="6">
        <v>2376258.4900000002</v>
      </c>
      <c r="E2911" s="6">
        <v>2368958.83</v>
      </c>
      <c r="F2911" s="6">
        <v>2362532.35</v>
      </c>
      <c r="G2911" s="7" t="s">
        <v>25</v>
      </c>
      <c r="H2911" s="1">
        <f t="shared" si="45"/>
        <v>1.0260183462867014</v>
      </c>
    </row>
    <row r="2912" spans="1:8" x14ac:dyDescent="0.25">
      <c r="A2912" s="1" t="s">
        <v>16</v>
      </c>
      <c r="B2912" s="1" t="s">
        <v>17</v>
      </c>
      <c r="C2912" s="6">
        <v>2050000</v>
      </c>
      <c r="D2912" s="6">
        <v>488381.2</v>
      </c>
      <c r="E2912" s="6">
        <v>488381.2</v>
      </c>
      <c r="F2912" s="6">
        <v>488381.2</v>
      </c>
      <c r="G2912" s="7" t="s">
        <v>25</v>
      </c>
      <c r="H2912" s="1">
        <f t="shared" si="45"/>
        <v>0.23823473170731707</v>
      </c>
    </row>
    <row r="2913" spans="1:8" x14ac:dyDescent="0.25">
      <c r="A2913" s="1" t="s">
        <v>16</v>
      </c>
      <c r="B2913" s="1" t="s">
        <v>17</v>
      </c>
      <c r="C2913" s="6">
        <v>739000</v>
      </c>
      <c r="D2913" s="6">
        <v>99264.48</v>
      </c>
      <c r="E2913" s="6">
        <v>95748</v>
      </c>
      <c r="F2913" s="6">
        <v>95748</v>
      </c>
      <c r="G2913" s="7" t="s">
        <v>25</v>
      </c>
      <c r="H2913" s="1">
        <f t="shared" si="45"/>
        <v>0.13432270635994586</v>
      </c>
    </row>
    <row r="2914" spans="1:8" x14ac:dyDescent="0.25">
      <c r="A2914" s="1" t="s">
        <v>16</v>
      </c>
      <c r="B2914" s="1" t="s">
        <v>17</v>
      </c>
      <c r="C2914" s="6">
        <v>35000</v>
      </c>
      <c r="D2914" s="6">
        <v>0</v>
      </c>
      <c r="E2914" s="6">
        <v>0</v>
      </c>
      <c r="F2914" s="6">
        <v>0</v>
      </c>
      <c r="G2914" s="7" t="s">
        <v>25</v>
      </c>
      <c r="H2914" s="1">
        <f t="shared" si="45"/>
        <v>0</v>
      </c>
    </row>
    <row r="2915" spans="1:8" x14ac:dyDescent="0.25">
      <c r="A2915" s="1" t="s">
        <v>16</v>
      </c>
      <c r="B2915" s="1" t="s">
        <v>17</v>
      </c>
      <c r="C2915" s="6">
        <v>540000</v>
      </c>
      <c r="D2915" s="6">
        <v>2252.21</v>
      </c>
      <c r="E2915" s="6">
        <v>2252.21</v>
      </c>
      <c r="F2915" s="6">
        <v>2252.21</v>
      </c>
      <c r="G2915" s="7" t="s">
        <v>25</v>
      </c>
      <c r="H2915" s="1">
        <f t="shared" si="45"/>
        <v>4.1707592592592595E-3</v>
      </c>
    </row>
    <row r="2916" spans="1:8" x14ac:dyDescent="0.25">
      <c r="A2916" s="1" t="s">
        <v>16</v>
      </c>
      <c r="B2916" s="1" t="s">
        <v>17</v>
      </c>
      <c r="C2916" s="6">
        <v>284000</v>
      </c>
      <c r="D2916" s="6">
        <v>1293.5999999999999</v>
      </c>
      <c r="E2916" s="6">
        <v>1293.5999999999999</v>
      </c>
      <c r="F2916" s="6">
        <v>1293.5999999999999</v>
      </c>
      <c r="G2916" s="7" t="s">
        <v>25</v>
      </c>
      <c r="H2916" s="1">
        <f t="shared" si="45"/>
        <v>4.5549295774647888E-3</v>
      </c>
    </row>
    <row r="2917" spans="1:8" x14ac:dyDescent="0.25">
      <c r="A2917" s="1" t="s">
        <v>16</v>
      </c>
      <c r="B2917" s="1" t="s">
        <v>17</v>
      </c>
      <c r="C2917" s="6">
        <v>115000</v>
      </c>
      <c r="D2917" s="6">
        <v>0</v>
      </c>
      <c r="E2917" s="6">
        <v>0</v>
      </c>
      <c r="F2917" s="6">
        <v>0</v>
      </c>
      <c r="G2917" s="7" t="s">
        <v>25</v>
      </c>
      <c r="H2917" s="1">
        <f t="shared" si="45"/>
        <v>0</v>
      </c>
    </row>
    <row r="2918" spans="1:8" x14ac:dyDescent="0.25">
      <c r="A2918" s="1" t="s">
        <v>16</v>
      </c>
      <c r="B2918" s="1" t="s">
        <v>17</v>
      </c>
      <c r="C2918" s="6">
        <v>460000</v>
      </c>
      <c r="D2918" s="6">
        <v>24400</v>
      </c>
      <c r="E2918" s="6">
        <v>24400</v>
      </c>
      <c r="F2918" s="6">
        <v>24400</v>
      </c>
      <c r="G2918" s="7" t="s">
        <v>25</v>
      </c>
      <c r="H2918" s="1">
        <f t="shared" si="45"/>
        <v>5.3043478260869567E-2</v>
      </c>
    </row>
    <row r="2919" spans="1:8" x14ac:dyDescent="0.25">
      <c r="A2919" s="1" t="s">
        <v>16</v>
      </c>
      <c r="B2919" s="1" t="s">
        <v>17</v>
      </c>
      <c r="C2919" s="6">
        <v>500000</v>
      </c>
      <c r="D2919" s="6">
        <v>86603.4</v>
      </c>
      <c r="E2919" s="6">
        <v>86603.4</v>
      </c>
      <c r="F2919" s="6">
        <v>86603.4</v>
      </c>
      <c r="G2919" s="7" t="s">
        <v>25</v>
      </c>
      <c r="H2919" s="1">
        <f t="shared" si="45"/>
        <v>0.17320679999999999</v>
      </c>
    </row>
    <row r="2920" spans="1:8" x14ac:dyDescent="0.25">
      <c r="A2920" s="1" t="s">
        <v>16</v>
      </c>
      <c r="B2920" s="1" t="s">
        <v>17</v>
      </c>
      <c r="C2920" s="6">
        <v>395000</v>
      </c>
      <c r="D2920" s="6">
        <v>220668.46</v>
      </c>
      <c r="E2920" s="6">
        <v>220668.46</v>
      </c>
      <c r="F2920" s="6">
        <v>220668.46</v>
      </c>
      <c r="G2920" s="7" t="s">
        <v>25</v>
      </c>
      <c r="H2920" s="1">
        <f t="shared" si="45"/>
        <v>0.55865432911392399</v>
      </c>
    </row>
    <row r="2921" spans="1:8" x14ac:dyDescent="0.25">
      <c r="A2921" s="1" t="s">
        <v>16</v>
      </c>
      <c r="B2921" s="1" t="s">
        <v>17</v>
      </c>
      <c r="C2921" s="6">
        <v>240000</v>
      </c>
      <c r="D2921" s="6">
        <v>0</v>
      </c>
      <c r="E2921" s="6">
        <v>0</v>
      </c>
      <c r="F2921" s="6">
        <v>0</v>
      </c>
      <c r="G2921" s="7" t="s">
        <v>25</v>
      </c>
      <c r="H2921" s="1">
        <f t="shared" si="45"/>
        <v>0</v>
      </c>
    </row>
    <row r="2922" spans="1:8" x14ac:dyDescent="0.25">
      <c r="A2922" s="1" t="s">
        <v>16</v>
      </c>
      <c r="B2922" s="1" t="s">
        <v>17</v>
      </c>
      <c r="C2922" s="6">
        <v>400000</v>
      </c>
      <c r="D2922" s="6">
        <v>0</v>
      </c>
      <c r="E2922" s="6">
        <v>0</v>
      </c>
      <c r="F2922" s="6">
        <v>0</v>
      </c>
      <c r="G2922" s="7" t="s">
        <v>25</v>
      </c>
      <c r="H2922" s="1">
        <f t="shared" si="45"/>
        <v>0</v>
      </c>
    </row>
    <row r="2923" spans="1:8" x14ac:dyDescent="0.25">
      <c r="A2923" s="1" t="s">
        <v>16</v>
      </c>
      <c r="B2923" s="1" t="s">
        <v>17</v>
      </c>
      <c r="C2923" s="6">
        <v>200000</v>
      </c>
      <c r="D2923" s="6">
        <v>0</v>
      </c>
      <c r="E2923" s="6">
        <v>0</v>
      </c>
      <c r="F2923" s="6">
        <v>0</v>
      </c>
      <c r="G2923" s="7" t="s">
        <v>25</v>
      </c>
      <c r="H2923" s="1">
        <f t="shared" si="45"/>
        <v>0</v>
      </c>
    </row>
    <row r="2924" spans="1:8" x14ac:dyDescent="0.25">
      <c r="A2924" s="1" t="s">
        <v>16</v>
      </c>
      <c r="B2924" s="1" t="s">
        <v>17</v>
      </c>
      <c r="C2924" s="6">
        <v>500</v>
      </c>
      <c r="D2924" s="6">
        <v>0</v>
      </c>
      <c r="E2924" s="6">
        <v>0</v>
      </c>
      <c r="F2924" s="6">
        <v>0</v>
      </c>
      <c r="G2924" s="7" t="s">
        <v>25</v>
      </c>
      <c r="H2924" s="1">
        <f t="shared" si="45"/>
        <v>0</v>
      </c>
    </row>
    <row r="2925" spans="1:8" x14ac:dyDescent="0.25">
      <c r="A2925" s="1" t="s">
        <v>16</v>
      </c>
      <c r="B2925" s="1" t="s">
        <v>17</v>
      </c>
      <c r="C2925" s="6">
        <v>125000</v>
      </c>
      <c r="D2925" s="6">
        <v>0</v>
      </c>
      <c r="E2925" s="6">
        <v>0</v>
      </c>
      <c r="F2925" s="6">
        <v>0</v>
      </c>
      <c r="G2925" s="7" t="s">
        <v>25</v>
      </c>
      <c r="H2925" s="1">
        <f t="shared" si="45"/>
        <v>0</v>
      </c>
    </row>
    <row r="2926" spans="1:8" x14ac:dyDescent="0.25">
      <c r="A2926" s="1" t="s">
        <v>16</v>
      </c>
      <c r="B2926" s="1" t="s">
        <v>17</v>
      </c>
      <c r="C2926" s="6">
        <v>7385000</v>
      </c>
      <c r="D2926" s="6">
        <v>1845366</v>
      </c>
      <c r="E2926" s="6">
        <v>1845366</v>
      </c>
      <c r="F2926" s="6">
        <v>1537805</v>
      </c>
      <c r="G2926" s="7" t="s">
        <v>25</v>
      </c>
      <c r="H2926" s="1">
        <f t="shared" si="45"/>
        <v>0.24988029790115099</v>
      </c>
    </row>
    <row r="2927" spans="1:8" x14ac:dyDescent="0.25">
      <c r="A2927" s="1" t="s">
        <v>16</v>
      </c>
      <c r="B2927" s="1" t="s">
        <v>17</v>
      </c>
      <c r="C2927" s="6">
        <v>34516500</v>
      </c>
      <c r="D2927" s="6">
        <v>24932803.280000001</v>
      </c>
      <c r="E2927" s="6">
        <v>23440630.640000001</v>
      </c>
      <c r="F2927" s="6">
        <v>23110764.73</v>
      </c>
      <c r="G2927" s="7" t="s">
        <v>25</v>
      </c>
      <c r="H2927" s="1">
        <f t="shared" si="45"/>
        <v>0.72234448104529725</v>
      </c>
    </row>
    <row r="2928" spans="1:8" x14ac:dyDescent="0.25">
      <c r="A2928" s="1" t="s">
        <v>16</v>
      </c>
      <c r="B2928" s="1" t="s">
        <v>17</v>
      </c>
      <c r="C2928" s="6">
        <v>673500</v>
      </c>
      <c r="D2928" s="6">
        <v>691685.61</v>
      </c>
      <c r="E2928" s="6">
        <v>691685.61</v>
      </c>
      <c r="F2928" s="6">
        <v>632366.29</v>
      </c>
      <c r="G2928" s="7" t="s">
        <v>25</v>
      </c>
      <c r="H2928" s="1">
        <f t="shared" si="45"/>
        <v>1.0270016481069042</v>
      </c>
    </row>
    <row r="2929" spans="1:8" x14ac:dyDescent="0.25">
      <c r="A2929" s="1" t="s">
        <v>16</v>
      </c>
      <c r="B2929" s="1" t="s">
        <v>17</v>
      </c>
      <c r="C2929" s="6">
        <v>790825</v>
      </c>
      <c r="D2929" s="6">
        <v>494736.18</v>
      </c>
      <c r="E2929" s="6">
        <v>489574.83</v>
      </c>
      <c r="F2929" s="6">
        <v>487538.52</v>
      </c>
      <c r="G2929" s="7" t="s">
        <v>25</v>
      </c>
      <c r="H2929" s="1">
        <f t="shared" si="45"/>
        <v>0.62559501786109439</v>
      </c>
    </row>
    <row r="2930" spans="1:8" x14ac:dyDescent="0.25">
      <c r="A2930" s="1" t="s">
        <v>16</v>
      </c>
      <c r="B2930" s="1" t="s">
        <v>17</v>
      </c>
      <c r="C2930" s="6">
        <v>823000</v>
      </c>
      <c r="D2930" s="6">
        <v>321877.2</v>
      </c>
      <c r="E2930" s="6">
        <v>305145.40999999997</v>
      </c>
      <c r="F2930" s="6">
        <v>294436.06</v>
      </c>
      <c r="G2930" s="7" t="s">
        <v>25</v>
      </c>
      <c r="H2930" s="1">
        <f t="shared" si="45"/>
        <v>0.39110230862697448</v>
      </c>
    </row>
    <row r="2931" spans="1:8" x14ac:dyDescent="0.25">
      <c r="A2931" s="1" t="s">
        <v>16</v>
      </c>
      <c r="B2931" s="1" t="s">
        <v>17</v>
      </c>
      <c r="C2931" s="6">
        <v>617625</v>
      </c>
      <c r="D2931" s="6">
        <v>751086.15</v>
      </c>
      <c r="E2931" s="6">
        <v>626050.39</v>
      </c>
      <c r="F2931" s="6">
        <v>606030.32999999996</v>
      </c>
      <c r="G2931" s="7" t="s">
        <v>25</v>
      </c>
      <c r="H2931" s="1">
        <f t="shared" si="45"/>
        <v>1.2160876745598057</v>
      </c>
    </row>
    <row r="2932" spans="1:8" x14ac:dyDescent="0.25">
      <c r="A2932" s="1" t="s">
        <v>16</v>
      </c>
      <c r="B2932" s="1" t="s">
        <v>17</v>
      </c>
      <c r="C2932" s="6">
        <v>80250</v>
      </c>
      <c r="D2932" s="6">
        <v>77500</v>
      </c>
      <c r="E2932" s="6">
        <v>70000</v>
      </c>
      <c r="F2932" s="6">
        <v>70000</v>
      </c>
      <c r="G2932" s="7" t="s">
        <v>25</v>
      </c>
      <c r="H2932" s="1">
        <f t="shared" si="45"/>
        <v>0.96573208722741433</v>
      </c>
    </row>
    <row r="2933" spans="1:8" x14ac:dyDescent="0.25">
      <c r="A2933" s="1" t="s">
        <v>16</v>
      </c>
      <c r="B2933" s="1" t="s">
        <v>17</v>
      </c>
      <c r="C2933" s="6">
        <v>411550</v>
      </c>
      <c r="D2933" s="6">
        <v>381982.5</v>
      </c>
      <c r="E2933" s="6">
        <v>381982.5</v>
      </c>
      <c r="F2933" s="6">
        <v>381982.5</v>
      </c>
      <c r="G2933" s="7" t="s">
        <v>25</v>
      </c>
      <c r="H2933" s="1">
        <f t="shared" si="45"/>
        <v>0.92815575264244932</v>
      </c>
    </row>
    <row r="2934" spans="1:8" x14ac:dyDescent="0.25">
      <c r="A2934" s="1" t="s">
        <v>16</v>
      </c>
      <c r="B2934" s="1" t="s">
        <v>17</v>
      </c>
      <c r="C2934" s="6">
        <v>305875</v>
      </c>
      <c r="D2934" s="6">
        <v>325865.42</v>
      </c>
      <c r="E2934" s="6">
        <v>323860.42</v>
      </c>
      <c r="F2934" s="6">
        <v>322223.01</v>
      </c>
      <c r="G2934" s="7" t="s">
        <v>25</v>
      </c>
      <c r="H2934" s="1">
        <f t="shared" si="45"/>
        <v>1.0653548671843072</v>
      </c>
    </row>
    <row r="2935" spans="1:8" x14ac:dyDescent="0.25">
      <c r="A2935" s="1" t="s">
        <v>16</v>
      </c>
      <c r="B2935" s="1" t="s">
        <v>17</v>
      </c>
      <c r="C2935" s="6">
        <v>379175</v>
      </c>
      <c r="D2935" s="6">
        <v>377187.87</v>
      </c>
      <c r="E2935" s="6">
        <v>346787.59</v>
      </c>
      <c r="F2935" s="6">
        <v>322861.46000000002</v>
      </c>
      <c r="G2935" s="7" t="s">
        <v>25</v>
      </c>
      <c r="H2935" s="1">
        <f t="shared" si="45"/>
        <v>0.9947593327619173</v>
      </c>
    </row>
    <row r="2936" spans="1:8" x14ac:dyDescent="0.25">
      <c r="A2936" s="1" t="s">
        <v>16</v>
      </c>
      <c r="B2936" s="1" t="s">
        <v>17</v>
      </c>
      <c r="C2936" s="6">
        <v>625600</v>
      </c>
      <c r="D2936" s="6">
        <v>750290.03</v>
      </c>
      <c r="E2936" s="6">
        <v>682179.04</v>
      </c>
      <c r="F2936" s="6">
        <v>682179.04</v>
      </c>
      <c r="G2936" s="7" t="s">
        <v>25</v>
      </c>
      <c r="H2936" s="1">
        <f t="shared" si="45"/>
        <v>1.1993127078005115</v>
      </c>
    </row>
    <row r="2937" spans="1:8" x14ac:dyDescent="0.25">
      <c r="A2937" s="1" t="s">
        <v>16</v>
      </c>
      <c r="B2937" s="1" t="s">
        <v>17</v>
      </c>
      <c r="C2937" s="6">
        <v>81725</v>
      </c>
      <c r="D2937" s="6">
        <v>81714.52</v>
      </c>
      <c r="E2937" s="6">
        <v>81714.52</v>
      </c>
      <c r="F2937" s="6">
        <v>68095.429999999993</v>
      </c>
      <c r="G2937" s="7" t="s">
        <v>25</v>
      </c>
      <c r="H2937" s="1">
        <f t="shared" si="45"/>
        <v>0.99987176506576936</v>
      </c>
    </row>
    <row r="2938" spans="1:8" x14ac:dyDescent="0.25">
      <c r="A2938" s="1" t="s">
        <v>16</v>
      </c>
      <c r="B2938" s="1" t="s">
        <v>17</v>
      </c>
      <c r="C2938" s="6">
        <v>192000</v>
      </c>
      <c r="D2938" s="6">
        <v>127987.76</v>
      </c>
      <c r="E2938" s="6">
        <v>127987.76</v>
      </c>
      <c r="F2938" s="6">
        <v>127987.76</v>
      </c>
      <c r="G2938" s="7" t="s">
        <v>25</v>
      </c>
      <c r="H2938" s="1">
        <f t="shared" si="45"/>
        <v>0.6666029166666666</v>
      </c>
    </row>
    <row r="2939" spans="1:8" x14ac:dyDescent="0.25">
      <c r="A2939" s="1" t="s">
        <v>16</v>
      </c>
      <c r="B2939" s="1" t="s">
        <v>17</v>
      </c>
      <c r="C2939" s="6">
        <v>422450</v>
      </c>
      <c r="D2939" s="6">
        <v>278573.17</v>
      </c>
      <c r="E2939" s="6">
        <v>273368.17</v>
      </c>
      <c r="F2939" s="6">
        <v>269065.42</v>
      </c>
      <c r="G2939" s="7" t="s">
        <v>25</v>
      </c>
      <c r="H2939" s="1">
        <f t="shared" si="45"/>
        <v>0.65942281926855251</v>
      </c>
    </row>
    <row r="2940" spans="1:8" x14ac:dyDescent="0.25">
      <c r="A2940" s="1" t="s">
        <v>16</v>
      </c>
      <c r="B2940" s="1" t="s">
        <v>17</v>
      </c>
      <c r="C2940" s="6">
        <v>344500</v>
      </c>
      <c r="D2940" s="6">
        <v>349777.49</v>
      </c>
      <c r="E2940" s="6">
        <v>342569.65</v>
      </c>
      <c r="F2940" s="6">
        <v>342569.65</v>
      </c>
      <c r="G2940" s="7" t="s">
        <v>25</v>
      </c>
      <c r="H2940" s="1">
        <f t="shared" si="45"/>
        <v>1.015319274310595</v>
      </c>
    </row>
    <row r="2941" spans="1:8" x14ac:dyDescent="0.25">
      <c r="A2941" s="1" t="s">
        <v>16</v>
      </c>
      <c r="B2941" s="1" t="s">
        <v>17</v>
      </c>
      <c r="C2941" s="6">
        <v>209400</v>
      </c>
      <c r="D2941" s="6">
        <v>0</v>
      </c>
      <c r="E2941" s="6">
        <v>0</v>
      </c>
      <c r="F2941" s="6">
        <v>0</v>
      </c>
      <c r="G2941" s="7" t="s">
        <v>25</v>
      </c>
      <c r="H2941" s="1">
        <f t="shared" si="45"/>
        <v>0</v>
      </c>
    </row>
    <row r="2942" spans="1:8" x14ac:dyDescent="0.25">
      <c r="A2942" s="1" t="s">
        <v>16</v>
      </c>
      <c r="B2942" s="1" t="s">
        <v>17</v>
      </c>
      <c r="C2942" s="6">
        <v>209400</v>
      </c>
      <c r="D2942" s="6">
        <v>0</v>
      </c>
      <c r="E2942" s="6">
        <v>0</v>
      </c>
      <c r="F2942" s="6">
        <v>0</v>
      </c>
      <c r="G2942" s="7" t="s">
        <v>25</v>
      </c>
      <c r="H2942" s="1">
        <f t="shared" si="45"/>
        <v>0</v>
      </c>
    </row>
    <row r="2943" spans="1:8" x14ac:dyDescent="0.25">
      <c r="A2943" s="1" t="s">
        <v>16</v>
      </c>
      <c r="B2943" s="1" t="s">
        <v>17</v>
      </c>
      <c r="C2943" s="6">
        <v>467625</v>
      </c>
      <c r="D2943" s="6">
        <v>428011.5</v>
      </c>
      <c r="E2943" s="6">
        <v>428011.5</v>
      </c>
      <c r="F2943" s="6">
        <v>428011.5</v>
      </c>
      <c r="G2943" s="7" t="s">
        <v>25</v>
      </c>
      <c r="H2943" s="1">
        <f t="shared" si="45"/>
        <v>0.9152878909382518</v>
      </c>
    </row>
    <row r="2944" spans="1:8" x14ac:dyDescent="0.25">
      <c r="A2944" s="1" t="s">
        <v>16</v>
      </c>
      <c r="B2944" s="1" t="s">
        <v>17</v>
      </c>
      <c r="C2944" s="6">
        <v>13680950</v>
      </c>
      <c r="D2944" s="6">
        <v>8282767.3600000003</v>
      </c>
      <c r="E2944" s="6">
        <v>8174983.8700000001</v>
      </c>
      <c r="F2944" s="6">
        <v>8099915.2199999997</v>
      </c>
      <c r="G2944" s="7" t="s">
        <v>25</v>
      </c>
      <c r="H2944" s="1">
        <f t="shared" si="45"/>
        <v>0.60542340700024488</v>
      </c>
    </row>
    <row r="2945" spans="1:8" x14ac:dyDescent="0.25">
      <c r="A2945" s="1" t="s">
        <v>16</v>
      </c>
      <c r="B2945" s="1" t="s">
        <v>17</v>
      </c>
      <c r="C2945" s="6">
        <v>25500</v>
      </c>
      <c r="D2945" s="6">
        <v>23158.31</v>
      </c>
      <c r="E2945" s="6">
        <v>19148.310000000001</v>
      </c>
      <c r="F2945" s="6">
        <v>15138.31</v>
      </c>
      <c r="G2945" s="7" t="s">
        <v>25</v>
      </c>
      <c r="H2945" s="1">
        <f t="shared" si="45"/>
        <v>0.90816901960784324</v>
      </c>
    </row>
    <row r="2946" spans="1:8" x14ac:dyDescent="0.25">
      <c r="A2946" s="1" t="s">
        <v>16</v>
      </c>
      <c r="B2946" s="1" t="s">
        <v>17</v>
      </c>
      <c r="C2946" s="6">
        <v>3000</v>
      </c>
      <c r="D2946" s="6">
        <v>0</v>
      </c>
      <c r="E2946" s="6">
        <v>0</v>
      </c>
      <c r="F2946" s="6">
        <v>0</v>
      </c>
      <c r="G2946" s="7" t="s">
        <v>25</v>
      </c>
      <c r="H2946" s="1">
        <f t="shared" ref="H2946:H3009" si="46">IF(OR(ISNA($D2946),ISNA($C2946),$C2946=0),0,$D2946/$C2946)</f>
        <v>0</v>
      </c>
    </row>
    <row r="2947" spans="1:8" x14ac:dyDescent="0.25">
      <c r="A2947" s="1" t="s">
        <v>16</v>
      </c>
      <c r="B2947" s="1" t="s">
        <v>17</v>
      </c>
      <c r="C2947" s="6">
        <v>3000</v>
      </c>
      <c r="D2947" s="6">
        <v>0</v>
      </c>
      <c r="E2947" s="6">
        <v>0</v>
      </c>
      <c r="F2947" s="6">
        <v>0</v>
      </c>
      <c r="G2947" s="7" t="s">
        <v>25</v>
      </c>
      <c r="H2947" s="1">
        <f t="shared" si="46"/>
        <v>0</v>
      </c>
    </row>
    <row r="2948" spans="1:8" x14ac:dyDescent="0.25">
      <c r="A2948" s="1" t="s">
        <v>16</v>
      </c>
      <c r="B2948" s="1" t="s">
        <v>17</v>
      </c>
      <c r="C2948" s="6">
        <v>6000</v>
      </c>
      <c r="D2948" s="6">
        <v>1754.06</v>
      </c>
      <c r="E2948" s="6">
        <v>1753.7</v>
      </c>
      <c r="F2948" s="6">
        <v>1753.7</v>
      </c>
      <c r="G2948" s="7" t="s">
        <v>25</v>
      </c>
      <c r="H2948" s="1">
        <f t="shared" si="46"/>
        <v>0.29234333333333334</v>
      </c>
    </row>
    <row r="2949" spans="1:8" x14ac:dyDescent="0.25">
      <c r="A2949" s="1" t="s">
        <v>16</v>
      </c>
      <c r="B2949" s="1" t="s">
        <v>17</v>
      </c>
      <c r="C2949" s="6">
        <v>54000</v>
      </c>
      <c r="D2949" s="6">
        <v>103477.68</v>
      </c>
      <c r="E2949" s="6">
        <v>95457.68</v>
      </c>
      <c r="F2949" s="6">
        <v>87437.68</v>
      </c>
      <c r="G2949" s="7" t="s">
        <v>25</v>
      </c>
      <c r="H2949" s="1">
        <f t="shared" si="46"/>
        <v>1.9162533333333331</v>
      </c>
    </row>
    <row r="2950" spans="1:8" x14ac:dyDescent="0.25">
      <c r="A2950" s="1" t="s">
        <v>16</v>
      </c>
      <c r="B2950" s="1" t="s">
        <v>17</v>
      </c>
      <c r="C2950" s="6">
        <v>1093500</v>
      </c>
      <c r="D2950" s="6">
        <v>848357.9</v>
      </c>
      <c r="E2950" s="6">
        <v>848357.9</v>
      </c>
      <c r="F2950" s="6">
        <v>848357.9</v>
      </c>
      <c r="G2950" s="7" t="s">
        <v>25</v>
      </c>
      <c r="H2950" s="1">
        <f t="shared" si="46"/>
        <v>0.77581883859167811</v>
      </c>
    </row>
    <row r="2951" spans="1:8" x14ac:dyDescent="0.25">
      <c r="A2951" s="1" t="s">
        <v>16</v>
      </c>
      <c r="B2951" s="1" t="s">
        <v>17</v>
      </c>
      <c r="C2951" s="6">
        <v>82049</v>
      </c>
      <c r="D2951" s="6">
        <v>19200.11</v>
      </c>
      <c r="E2951" s="6">
        <v>17195.11</v>
      </c>
      <c r="F2951" s="6">
        <v>15076.73</v>
      </c>
      <c r="G2951" s="7" t="s">
        <v>25</v>
      </c>
      <c r="H2951" s="1">
        <f t="shared" si="46"/>
        <v>0.23400784896829943</v>
      </c>
    </row>
    <row r="2952" spans="1:8" x14ac:dyDescent="0.25">
      <c r="A2952" s="1" t="s">
        <v>16</v>
      </c>
      <c r="B2952" s="1" t="s">
        <v>17</v>
      </c>
      <c r="C2952" s="6">
        <v>8500</v>
      </c>
      <c r="D2952" s="6">
        <v>0</v>
      </c>
      <c r="E2952" s="6">
        <v>0</v>
      </c>
      <c r="F2952" s="6">
        <v>0</v>
      </c>
      <c r="G2952" s="7" t="s">
        <v>25</v>
      </c>
      <c r="H2952" s="1">
        <f t="shared" si="46"/>
        <v>0</v>
      </c>
    </row>
    <row r="2953" spans="1:8" x14ac:dyDescent="0.25">
      <c r="A2953" s="1" t="s">
        <v>16</v>
      </c>
      <c r="B2953" s="1" t="s">
        <v>17</v>
      </c>
      <c r="C2953" s="6">
        <v>140750</v>
      </c>
      <c r="D2953" s="6">
        <v>2800.45</v>
      </c>
      <c r="E2953" s="6">
        <v>2788.2</v>
      </c>
      <c r="F2953" s="6">
        <v>710</v>
      </c>
      <c r="G2953" s="7" t="s">
        <v>25</v>
      </c>
      <c r="H2953" s="1">
        <f t="shared" si="46"/>
        <v>1.9896625222024865E-2</v>
      </c>
    </row>
    <row r="2954" spans="1:8" x14ac:dyDescent="0.25">
      <c r="A2954" s="1" t="s">
        <v>16</v>
      </c>
      <c r="B2954" s="1" t="s">
        <v>17</v>
      </c>
      <c r="C2954" s="6">
        <v>23250</v>
      </c>
      <c r="D2954" s="6">
        <v>2471.25</v>
      </c>
      <c r="E2954" s="6">
        <v>2471.25</v>
      </c>
      <c r="F2954" s="6">
        <v>2471.25</v>
      </c>
      <c r="G2954" s="7" t="s">
        <v>25</v>
      </c>
      <c r="H2954" s="1">
        <f t="shared" si="46"/>
        <v>0.10629032258064516</v>
      </c>
    </row>
    <row r="2955" spans="1:8" x14ac:dyDescent="0.25">
      <c r="A2955" s="1" t="s">
        <v>16</v>
      </c>
      <c r="B2955" s="1" t="s">
        <v>17</v>
      </c>
      <c r="C2955" s="6">
        <v>0</v>
      </c>
      <c r="D2955" s="6">
        <v>351.65</v>
      </c>
      <c r="E2955" s="6">
        <v>351.65</v>
      </c>
      <c r="F2955" s="6">
        <v>351.65</v>
      </c>
      <c r="G2955" s="7" t="s">
        <v>25</v>
      </c>
      <c r="H2955" s="1">
        <f t="shared" si="46"/>
        <v>0</v>
      </c>
    </row>
    <row r="2956" spans="1:8" x14ac:dyDescent="0.25">
      <c r="A2956" s="1" t="s">
        <v>16</v>
      </c>
      <c r="B2956" s="1" t="s">
        <v>17</v>
      </c>
      <c r="C2956" s="6">
        <v>250</v>
      </c>
      <c r="D2956" s="6">
        <v>0</v>
      </c>
      <c r="E2956" s="6">
        <v>0</v>
      </c>
      <c r="F2956" s="6">
        <v>0</v>
      </c>
      <c r="G2956" s="7" t="s">
        <v>25</v>
      </c>
      <c r="H2956" s="1">
        <f t="shared" si="46"/>
        <v>0</v>
      </c>
    </row>
    <row r="2957" spans="1:8" x14ac:dyDescent="0.25">
      <c r="A2957" s="1" t="s">
        <v>16</v>
      </c>
      <c r="B2957" s="1" t="s">
        <v>17</v>
      </c>
      <c r="C2957" s="6">
        <v>2550</v>
      </c>
      <c r="D2957" s="6">
        <v>0</v>
      </c>
      <c r="E2957" s="6">
        <v>0</v>
      </c>
      <c r="F2957" s="6">
        <v>0</v>
      </c>
      <c r="G2957" s="7" t="s">
        <v>25</v>
      </c>
      <c r="H2957" s="1">
        <f t="shared" si="46"/>
        <v>0</v>
      </c>
    </row>
    <row r="2958" spans="1:8" x14ac:dyDescent="0.25">
      <c r="A2958" s="1" t="s">
        <v>16</v>
      </c>
      <c r="B2958" s="1" t="s">
        <v>17</v>
      </c>
      <c r="C2958" s="6">
        <v>2625</v>
      </c>
      <c r="D2958" s="6">
        <v>0</v>
      </c>
      <c r="E2958" s="6">
        <v>0</v>
      </c>
      <c r="F2958" s="6">
        <v>0</v>
      </c>
      <c r="G2958" s="7" t="s">
        <v>25</v>
      </c>
      <c r="H2958" s="1">
        <f t="shared" si="46"/>
        <v>0</v>
      </c>
    </row>
    <row r="2959" spans="1:8" x14ac:dyDescent="0.25">
      <c r="A2959" s="1" t="s">
        <v>16</v>
      </c>
      <c r="B2959" s="1" t="s">
        <v>17</v>
      </c>
      <c r="C2959" s="6">
        <v>20000</v>
      </c>
      <c r="D2959" s="6">
        <v>0</v>
      </c>
      <c r="E2959" s="6">
        <v>0</v>
      </c>
      <c r="F2959" s="6">
        <v>0</v>
      </c>
      <c r="G2959" s="7" t="s">
        <v>25</v>
      </c>
      <c r="H2959" s="1">
        <f t="shared" si="46"/>
        <v>0</v>
      </c>
    </row>
    <row r="2960" spans="1:8" x14ac:dyDescent="0.25">
      <c r="A2960" s="1" t="s">
        <v>16</v>
      </c>
      <c r="B2960" s="1" t="s">
        <v>17</v>
      </c>
      <c r="C2960" s="6">
        <v>38500</v>
      </c>
      <c r="D2960" s="6">
        <v>0</v>
      </c>
      <c r="E2960" s="6">
        <v>0</v>
      </c>
      <c r="F2960" s="6">
        <v>0</v>
      </c>
      <c r="G2960" s="7" t="s">
        <v>25</v>
      </c>
      <c r="H2960" s="1">
        <f t="shared" si="46"/>
        <v>0</v>
      </c>
    </row>
    <row r="2961" spans="1:8" x14ac:dyDescent="0.25">
      <c r="A2961" s="1" t="s">
        <v>16</v>
      </c>
      <c r="B2961" s="1" t="s">
        <v>17</v>
      </c>
      <c r="C2961" s="6">
        <v>1250</v>
      </c>
      <c r="D2961" s="6">
        <v>0</v>
      </c>
      <c r="E2961" s="6">
        <v>0</v>
      </c>
      <c r="F2961" s="6">
        <v>0</v>
      </c>
      <c r="G2961" s="7" t="s">
        <v>25</v>
      </c>
      <c r="H2961" s="1">
        <f t="shared" si="46"/>
        <v>0</v>
      </c>
    </row>
    <row r="2962" spans="1:8" x14ac:dyDescent="0.25">
      <c r="A2962" s="1" t="s">
        <v>16</v>
      </c>
      <c r="B2962" s="1" t="s">
        <v>17</v>
      </c>
      <c r="C2962" s="6">
        <v>87500</v>
      </c>
      <c r="D2962" s="6">
        <v>0</v>
      </c>
      <c r="E2962" s="6">
        <v>0</v>
      </c>
      <c r="F2962" s="6">
        <v>0</v>
      </c>
      <c r="G2962" s="7" t="s">
        <v>25</v>
      </c>
      <c r="H2962" s="1">
        <f t="shared" si="46"/>
        <v>0</v>
      </c>
    </row>
    <row r="2963" spans="1:8" x14ac:dyDescent="0.25">
      <c r="A2963" s="1" t="s">
        <v>16</v>
      </c>
      <c r="B2963" s="1" t="s">
        <v>17</v>
      </c>
      <c r="C2963" s="6">
        <v>125</v>
      </c>
      <c r="D2963" s="6">
        <v>0</v>
      </c>
      <c r="E2963" s="6">
        <v>0</v>
      </c>
      <c r="F2963" s="6">
        <v>0</v>
      </c>
      <c r="G2963" s="7" t="s">
        <v>25</v>
      </c>
      <c r="H2963" s="1">
        <f t="shared" si="46"/>
        <v>0</v>
      </c>
    </row>
    <row r="2964" spans="1:8" x14ac:dyDescent="0.25">
      <c r="A2964" s="1" t="s">
        <v>16</v>
      </c>
      <c r="B2964" s="1" t="s">
        <v>17</v>
      </c>
      <c r="C2964" s="6">
        <v>33125</v>
      </c>
      <c r="D2964" s="6">
        <v>0</v>
      </c>
      <c r="E2964" s="6">
        <v>0</v>
      </c>
      <c r="F2964" s="6">
        <v>0</v>
      </c>
      <c r="G2964" s="7" t="s">
        <v>25</v>
      </c>
      <c r="H2964" s="1">
        <f t="shared" si="46"/>
        <v>0</v>
      </c>
    </row>
    <row r="2965" spans="1:8" x14ac:dyDescent="0.25">
      <c r="A2965" s="1" t="s">
        <v>16</v>
      </c>
      <c r="B2965" s="1" t="s">
        <v>17</v>
      </c>
      <c r="C2965" s="6">
        <v>5500</v>
      </c>
      <c r="D2965" s="6">
        <v>0</v>
      </c>
      <c r="E2965" s="6">
        <v>0</v>
      </c>
      <c r="F2965" s="6">
        <v>0</v>
      </c>
      <c r="G2965" s="7" t="s">
        <v>25</v>
      </c>
      <c r="H2965" s="1">
        <f t="shared" si="46"/>
        <v>0</v>
      </c>
    </row>
    <row r="2966" spans="1:8" x14ac:dyDescent="0.25">
      <c r="A2966" s="1" t="s">
        <v>16</v>
      </c>
      <c r="B2966" s="1" t="s">
        <v>17</v>
      </c>
      <c r="C2966" s="6">
        <v>50750</v>
      </c>
      <c r="D2966" s="6">
        <v>251.25</v>
      </c>
      <c r="E2966" s="6">
        <v>251.25</v>
      </c>
      <c r="F2966" s="6">
        <v>251.25</v>
      </c>
      <c r="G2966" s="7" t="s">
        <v>25</v>
      </c>
      <c r="H2966" s="1">
        <f t="shared" si="46"/>
        <v>4.9507389162561574E-3</v>
      </c>
    </row>
    <row r="2967" spans="1:8" x14ac:dyDescent="0.25">
      <c r="A2967" s="1" t="s">
        <v>16</v>
      </c>
      <c r="B2967" s="1" t="s">
        <v>17</v>
      </c>
      <c r="C2967" s="6">
        <v>3942750</v>
      </c>
      <c r="D2967" s="6">
        <v>3389103.45</v>
      </c>
      <c r="E2967" s="6">
        <v>3290822.22</v>
      </c>
      <c r="F2967" s="6">
        <v>3270861.82</v>
      </c>
      <c r="G2967" s="7" t="s">
        <v>25</v>
      </c>
      <c r="H2967" s="1">
        <f t="shared" si="46"/>
        <v>0.85957858093969952</v>
      </c>
    </row>
    <row r="2968" spans="1:8" x14ac:dyDescent="0.25">
      <c r="A2968" s="1" t="s">
        <v>16</v>
      </c>
      <c r="B2968" s="1" t="s">
        <v>17</v>
      </c>
      <c r="C2968" s="6">
        <v>686500</v>
      </c>
      <c r="D2968" s="6">
        <v>508232.78</v>
      </c>
      <c r="E2968" s="6">
        <v>508232.78</v>
      </c>
      <c r="F2968" s="6">
        <v>508232.78</v>
      </c>
      <c r="G2968" s="7" t="s">
        <v>25</v>
      </c>
      <c r="H2968" s="1">
        <f t="shared" si="46"/>
        <v>0.74032451565914059</v>
      </c>
    </row>
    <row r="2969" spans="1:8" x14ac:dyDescent="0.25">
      <c r="A2969" s="1" t="s">
        <v>16</v>
      </c>
      <c r="B2969" s="1" t="s">
        <v>17</v>
      </c>
      <c r="C2969" s="6">
        <v>12500</v>
      </c>
      <c r="D2969" s="6">
        <v>0</v>
      </c>
      <c r="E2969" s="6">
        <v>0</v>
      </c>
      <c r="F2969" s="6">
        <v>0</v>
      </c>
      <c r="G2969" s="7" t="s">
        <v>25</v>
      </c>
      <c r="H2969" s="1">
        <f t="shared" si="46"/>
        <v>0</v>
      </c>
    </row>
    <row r="2970" spans="1:8" x14ac:dyDescent="0.25">
      <c r="A2970" s="1" t="s">
        <v>16</v>
      </c>
      <c r="B2970" s="1" t="s">
        <v>17</v>
      </c>
      <c r="C2970" s="6">
        <v>4577250</v>
      </c>
      <c r="D2970" s="6">
        <v>3647414</v>
      </c>
      <c r="E2970" s="6">
        <v>3647414</v>
      </c>
      <c r="F2970" s="6">
        <v>3647414</v>
      </c>
      <c r="G2970" s="7" t="s">
        <v>25</v>
      </c>
      <c r="H2970" s="1">
        <f t="shared" si="46"/>
        <v>0.79685706483150365</v>
      </c>
    </row>
    <row r="2971" spans="1:8" x14ac:dyDescent="0.25">
      <c r="A2971" s="1" t="s">
        <v>16</v>
      </c>
      <c r="B2971" s="1" t="s">
        <v>17</v>
      </c>
      <c r="C2971" s="6">
        <v>930140</v>
      </c>
      <c r="D2971" s="6">
        <v>0</v>
      </c>
      <c r="E2971" s="6">
        <v>0</v>
      </c>
      <c r="F2971" s="6">
        <v>0</v>
      </c>
      <c r="G2971" s="7" t="s">
        <v>25</v>
      </c>
      <c r="H2971" s="1">
        <f t="shared" si="46"/>
        <v>0</v>
      </c>
    </row>
    <row r="2972" spans="1:8" x14ac:dyDescent="0.25">
      <c r="A2972" s="1" t="s">
        <v>16</v>
      </c>
      <c r="B2972" s="1" t="s">
        <v>17</v>
      </c>
      <c r="C2972" s="6">
        <v>2612000</v>
      </c>
      <c r="D2972" s="6">
        <v>380227</v>
      </c>
      <c r="E2972" s="6">
        <v>380227</v>
      </c>
      <c r="F2972" s="6">
        <v>283403.96999999997</v>
      </c>
      <c r="G2972" s="7" t="s">
        <v>25</v>
      </c>
      <c r="H2972" s="1">
        <f t="shared" si="46"/>
        <v>0.14556929555895864</v>
      </c>
    </row>
    <row r="2973" spans="1:8" x14ac:dyDescent="0.25">
      <c r="A2973" s="1" t="s">
        <v>16</v>
      </c>
      <c r="B2973" s="1" t="s">
        <v>17</v>
      </c>
      <c r="C2973" s="6">
        <v>537300</v>
      </c>
      <c r="D2973" s="6">
        <v>438603.12</v>
      </c>
      <c r="E2973" s="6">
        <v>429045.02</v>
      </c>
      <c r="F2973" s="6">
        <v>387829.71</v>
      </c>
      <c r="G2973" s="7" t="s">
        <v>25</v>
      </c>
      <c r="H2973" s="1">
        <f t="shared" si="46"/>
        <v>0.81630954773869346</v>
      </c>
    </row>
    <row r="2974" spans="1:8" x14ac:dyDescent="0.25">
      <c r="A2974" s="1" t="s">
        <v>16</v>
      </c>
      <c r="B2974" s="1" t="s">
        <v>17</v>
      </c>
      <c r="C2974" s="6">
        <v>234900</v>
      </c>
      <c r="D2974" s="6">
        <v>233974.8</v>
      </c>
      <c r="E2974" s="6">
        <v>233974.8</v>
      </c>
      <c r="F2974" s="6">
        <v>193843.20000000001</v>
      </c>
      <c r="G2974" s="7" t="s">
        <v>25</v>
      </c>
      <c r="H2974" s="1">
        <f t="shared" si="46"/>
        <v>0.99606130268199233</v>
      </c>
    </row>
    <row r="2975" spans="1:8" x14ac:dyDescent="0.25">
      <c r="A2975" s="1" t="s">
        <v>16</v>
      </c>
      <c r="B2975" s="1" t="s">
        <v>17</v>
      </c>
      <c r="C2975" s="6">
        <v>790775</v>
      </c>
      <c r="D2975" s="6">
        <v>357164.08</v>
      </c>
      <c r="E2975" s="6">
        <v>351852.58</v>
      </c>
      <c r="F2975" s="6">
        <v>351852.58</v>
      </c>
      <c r="G2975" s="7" t="s">
        <v>25</v>
      </c>
      <c r="H2975" s="1">
        <f t="shared" si="46"/>
        <v>0.4516633429230818</v>
      </c>
    </row>
    <row r="2976" spans="1:8" x14ac:dyDescent="0.25">
      <c r="A2976" s="1" t="s">
        <v>16</v>
      </c>
      <c r="B2976" s="1" t="s">
        <v>17</v>
      </c>
      <c r="C2976" s="6">
        <v>498300</v>
      </c>
      <c r="D2976" s="6">
        <v>0</v>
      </c>
      <c r="E2976" s="6">
        <v>0</v>
      </c>
      <c r="F2976" s="6">
        <v>0</v>
      </c>
      <c r="G2976" s="7" t="s">
        <v>25</v>
      </c>
      <c r="H2976" s="1">
        <f t="shared" si="46"/>
        <v>0</v>
      </c>
    </row>
    <row r="2977" spans="1:8" x14ac:dyDescent="0.25">
      <c r="A2977" s="1" t="s">
        <v>16</v>
      </c>
      <c r="B2977" s="1" t="s">
        <v>17</v>
      </c>
      <c r="C2977" s="6">
        <v>2750</v>
      </c>
      <c r="D2977" s="6">
        <v>0</v>
      </c>
      <c r="E2977" s="6">
        <v>0</v>
      </c>
      <c r="F2977" s="6">
        <v>0</v>
      </c>
      <c r="G2977" s="7" t="s">
        <v>25</v>
      </c>
      <c r="H2977" s="1">
        <f t="shared" si="46"/>
        <v>0</v>
      </c>
    </row>
    <row r="2978" spans="1:8" x14ac:dyDescent="0.25">
      <c r="A2978" s="1" t="s">
        <v>16</v>
      </c>
      <c r="B2978" s="1" t="s">
        <v>17</v>
      </c>
      <c r="C2978" s="6">
        <v>750</v>
      </c>
      <c r="D2978" s="6">
        <v>0</v>
      </c>
      <c r="E2978" s="6">
        <v>0</v>
      </c>
      <c r="F2978" s="6">
        <v>0</v>
      </c>
      <c r="G2978" s="7" t="s">
        <v>25</v>
      </c>
      <c r="H2978" s="1">
        <f t="shared" si="46"/>
        <v>0</v>
      </c>
    </row>
    <row r="2979" spans="1:8" x14ac:dyDescent="0.25">
      <c r="A2979" s="1" t="s">
        <v>16</v>
      </c>
      <c r="B2979" s="1" t="s">
        <v>17</v>
      </c>
      <c r="C2979" s="6">
        <v>4000</v>
      </c>
      <c r="D2979" s="6">
        <v>0</v>
      </c>
      <c r="E2979" s="6">
        <v>0</v>
      </c>
      <c r="F2979" s="6">
        <v>0</v>
      </c>
      <c r="G2979" s="7" t="s">
        <v>25</v>
      </c>
      <c r="H2979" s="1">
        <f t="shared" si="46"/>
        <v>0</v>
      </c>
    </row>
    <row r="2980" spans="1:8" x14ac:dyDescent="0.25">
      <c r="A2980" s="1" t="s">
        <v>16</v>
      </c>
      <c r="B2980" s="1" t="s">
        <v>17</v>
      </c>
      <c r="C2980" s="6">
        <v>1250</v>
      </c>
      <c r="D2980" s="6">
        <v>0</v>
      </c>
      <c r="E2980" s="6">
        <v>0</v>
      </c>
      <c r="F2980" s="6">
        <v>0</v>
      </c>
      <c r="G2980" s="7" t="s">
        <v>25</v>
      </c>
      <c r="H2980" s="1">
        <f t="shared" si="46"/>
        <v>0</v>
      </c>
    </row>
    <row r="2981" spans="1:8" x14ac:dyDescent="0.25">
      <c r="A2981" s="1" t="s">
        <v>16</v>
      </c>
      <c r="B2981" s="1" t="s">
        <v>17</v>
      </c>
      <c r="C2981" s="6">
        <v>5573000</v>
      </c>
      <c r="D2981" s="6">
        <v>2989491.13</v>
      </c>
      <c r="E2981" s="6">
        <v>2409400.2400000002</v>
      </c>
      <c r="F2981" s="6">
        <v>2201261.86</v>
      </c>
      <c r="G2981" s="7" t="s">
        <v>25</v>
      </c>
      <c r="H2981" s="1">
        <f t="shared" si="46"/>
        <v>0.53642403193970933</v>
      </c>
    </row>
    <row r="2982" spans="1:8" x14ac:dyDescent="0.25">
      <c r="A2982" s="1" t="s">
        <v>16</v>
      </c>
      <c r="B2982" s="1" t="s">
        <v>17</v>
      </c>
      <c r="C2982" s="6">
        <v>1100000</v>
      </c>
      <c r="D2982" s="6">
        <v>1494962.01</v>
      </c>
      <c r="E2982" s="6">
        <v>1203770.25</v>
      </c>
      <c r="F2982" s="6">
        <v>913112.01</v>
      </c>
      <c r="G2982" s="7" t="s">
        <v>25</v>
      </c>
      <c r="H2982" s="1">
        <f t="shared" si="46"/>
        <v>1.3590563727272726</v>
      </c>
    </row>
    <row r="2983" spans="1:8" x14ac:dyDescent="0.25">
      <c r="A2983" s="1" t="s">
        <v>16</v>
      </c>
      <c r="B2983" s="1" t="s">
        <v>17</v>
      </c>
      <c r="C2983" s="6">
        <v>2125000</v>
      </c>
      <c r="D2983" s="6">
        <v>2489235.0699999998</v>
      </c>
      <c r="E2983" s="6">
        <v>2489235.0699999998</v>
      </c>
      <c r="F2983" s="6">
        <v>2489235.0699999998</v>
      </c>
      <c r="G2983" s="7" t="s">
        <v>25</v>
      </c>
      <c r="H2983" s="1">
        <f t="shared" si="46"/>
        <v>1.1714047388235294</v>
      </c>
    </row>
    <row r="2984" spans="1:8" x14ac:dyDescent="0.25">
      <c r="A2984" s="1" t="s">
        <v>16</v>
      </c>
      <c r="B2984" s="1" t="s">
        <v>17</v>
      </c>
      <c r="C2984" s="6">
        <v>282691</v>
      </c>
      <c r="D2984" s="6">
        <v>129762.73</v>
      </c>
      <c r="E2984" s="6">
        <v>118216.03</v>
      </c>
      <c r="F2984" s="6">
        <v>94083.56</v>
      </c>
      <c r="G2984" s="7" t="s">
        <v>25</v>
      </c>
      <c r="H2984" s="1">
        <f t="shared" si="46"/>
        <v>0.45902674651828318</v>
      </c>
    </row>
    <row r="2985" spans="1:8" x14ac:dyDescent="0.25">
      <c r="A2985" s="1" t="s">
        <v>16</v>
      </c>
      <c r="B2985" s="1" t="s">
        <v>17</v>
      </c>
      <c r="C2985" s="6">
        <v>105000</v>
      </c>
      <c r="D2985" s="6">
        <v>0</v>
      </c>
      <c r="E2985" s="6">
        <v>0</v>
      </c>
      <c r="F2985" s="6">
        <v>0</v>
      </c>
      <c r="G2985" s="7" t="s">
        <v>25</v>
      </c>
      <c r="H2985" s="1">
        <f t="shared" si="46"/>
        <v>0</v>
      </c>
    </row>
    <row r="2986" spans="1:8" x14ac:dyDescent="0.25">
      <c r="A2986" s="1" t="s">
        <v>16</v>
      </c>
      <c r="B2986" s="1" t="s">
        <v>17</v>
      </c>
      <c r="C2986" s="6">
        <v>275000</v>
      </c>
      <c r="D2986" s="6">
        <v>161072.51</v>
      </c>
      <c r="E2986" s="6">
        <v>161072.51</v>
      </c>
      <c r="F2986" s="6">
        <v>161072.51</v>
      </c>
      <c r="G2986" s="7" t="s">
        <v>25</v>
      </c>
      <c r="H2986" s="1">
        <f t="shared" si="46"/>
        <v>0.58571821818181824</v>
      </c>
    </row>
    <row r="2987" spans="1:8" x14ac:dyDescent="0.25">
      <c r="A2987" s="1" t="s">
        <v>16</v>
      </c>
      <c r="B2987" s="1" t="s">
        <v>17</v>
      </c>
      <c r="C2987" s="6">
        <v>171700</v>
      </c>
      <c r="D2987" s="6">
        <v>55803.07</v>
      </c>
      <c r="E2987" s="6">
        <v>55759.5</v>
      </c>
      <c r="F2987" s="6">
        <v>54043.5</v>
      </c>
      <c r="G2987" s="7" t="s">
        <v>25</v>
      </c>
      <c r="H2987" s="1">
        <f t="shared" si="46"/>
        <v>0.32500331974373908</v>
      </c>
    </row>
    <row r="2988" spans="1:8" x14ac:dyDescent="0.25">
      <c r="A2988" s="1" t="s">
        <v>16</v>
      </c>
      <c r="B2988" s="1" t="s">
        <v>17</v>
      </c>
      <c r="C2988" s="6">
        <v>774235</v>
      </c>
      <c r="D2988" s="6">
        <v>289650.38</v>
      </c>
      <c r="E2988" s="6">
        <v>277953.08</v>
      </c>
      <c r="F2988" s="6">
        <v>234144.51</v>
      </c>
      <c r="G2988" s="7" t="s">
        <v>25</v>
      </c>
      <c r="H2988" s="1">
        <f t="shared" si="46"/>
        <v>0.37411171026884604</v>
      </c>
    </row>
    <row r="2989" spans="1:8" x14ac:dyDescent="0.25">
      <c r="A2989" s="1" t="s">
        <v>16</v>
      </c>
      <c r="B2989" s="1" t="s">
        <v>17</v>
      </c>
      <c r="C2989" s="6">
        <v>98750</v>
      </c>
      <c r="D2989" s="6">
        <v>82016.399999999994</v>
      </c>
      <c r="E2989" s="6">
        <v>75178.73</v>
      </c>
      <c r="F2989" s="6">
        <v>73278.81</v>
      </c>
      <c r="G2989" s="7" t="s">
        <v>25</v>
      </c>
      <c r="H2989" s="1">
        <f t="shared" si="46"/>
        <v>0.83054582278481004</v>
      </c>
    </row>
    <row r="2990" spans="1:8" x14ac:dyDescent="0.25">
      <c r="A2990" s="1" t="s">
        <v>16</v>
      </c>
      <c r="B2990" s="1" t="s">
        <v>17</v>
      </c>
      <c r="C2990" s="6">
        <v>128875</v>
      </c>
      <c r="D2990" s="6">
        <v>0</v>
      </c>
      <c r="E2990" s="6">
        <v>0</v>
      </c>
      <c r="F2990" s="6">
        <v>0</v>
      </c>
      <c r="G2990" s="7" t="s">
        <v>25</v>
      </c>
      <c r="H2990" s="1">
        <f t="shared" si="46"/>
        <v>0</v>
      </c>
    </row>
    <row r="2991" spans="1:8" x14ac:dyDescent="0.25">
      <c r="A2991" s="1" t="s">
        <v>16</v>
      </c>
      <c r="B2991" s="1" t="s">
        <v>17</v>
      </c>
      <c r="C2991" s="6">
        <v>1110605</v>
      </c>
      <c r="D2991" s="6">
        <v>381951.71</v>
      </c>
      <c r="E2991" s="6">
        <v>389560.55</v>
      </c>
      <c r="F2991" s="6">
        <v>367199.34</v>
      </c>
      <c r="G2991" s="7" t="s">
        <v>25</v>
      </c>
      <c r="H2991" s="1">
        <f t="shared" si="46"/>
        <v>0.34391319145870947</v>
      </c>
    </row>
    <row r="2992" spans="1:8" x14ac:dyDescent="0.25">
      <c r="A2992" s="1" t="s">
        <v>16</v>
      </c>
      <c r="B2992" s="1" t="s">
        <v>17</v>
      </c>
      <c r="C2992" s="6">
        <v>1250</v>
      </c>
      <c r="D2992" s="6">
        <v>0</v>
      </c>
      <c r="E2992" s="6">
        <v>0</v>
      </c>
      <c r="F2992" s="6">
        <v>0</v>
      </c>
      <c r="G2992" s="7" t="s">
        <v>25</v>
      </c>
      <c r="H2992" s="1">
        <f t="shared" si="46"/>
        <v>0</v>
      </c>
    </row>
    <row r="2993" spans="1:8" x14ac:dyDescent="0.25">
      <c r="A2993" s="1" t="s">
        <v>16</v>
      </c>
      <c r="B2993" s="1" t="s">
        <v>17</v>
      </c>
      <c r="C2993" s="6">
        <v>3142</v>
      </c>
      <c r="D2993" s="6">
        <v>62.7</v>
      </c>
      <c r="E2993" s="6">
        <v>62.7</v>
      </c>
      <c r="F2993" s="6">
        <v>62.7</v>
      </c>
      <c r="G2993" s="7" t="s">
        <v>25</v>
      </c>
      <c r="H2993" s="1">
        <f t="shared" si="46"/>
        <v>1.9955442393380013E-2</v>
      </c>
    </row>
    <row r="2994" spans="1:8" x14ac:dyDescent="0.25">
      <c r="A2994" s="1" t="s">
        <v>16</v>
      </c>
      <c r="B2994" s="1" t="s">
        <v>17</v>
      </c>
      <c r="C2994" s="6">
        <v>1778183</v>
      </c>
      <c r="D2994" s="6">
        <v>2662840.52</v>
      </c>
      <c r="E2994" s="6">
        <v>2431792.39</v>
      </c>
      <c r="F2994" s="6">
        <v>2169479.84</v>
      </c>
      <c r="G2994" s="7" t="s">
        <v>25</v>
      </c>
      <c r="H2994" s="1">
        <f t="shared" si="46"/>
        <v>1.4975064546224994</v>
      </c>
    </row>
    <row r="2995" spans="1:8" x14ac:dyDescent="0.25">
      <c r="A2995" s="1" t="s">
        <v>16</v>
      </c>
      <c r="B2995" s="1" t="s">
        <v>17</v>
      </c>
      <c r="C2995" s="6">
        <v>5839937</v>
      </c>
      <c r="D2995" s="6">
        <v>5966696.2000000002</v>
      </c>
      <c r="E2995" s="6">
        <v>5831742.4299999997</v>
      </c>
      <c r="F2995" s="6">
        <v>5562613.2800000003</v>
      </c>
      <c r="G2995" s="7" t="s">
        <v>25</v>
      </c>
      <c r="H2995" s="1">
        <f t="shared" si="46"/>
        <v>1.021705576618378</v>
      </c>
    </row>
    <row r="2996" spans="1:8" x14ac:dyDescent="0.25">
      <c r="A2996" s="1" t="s">
        <v>16</v>
      </c>
      <c r="B2996" s="1" t="s">
        <v>17</v>
      </c>
      <c r="C2996" s="6">
        <v>9383499</v>
      </c>
      <c r="D2996" s="6">
        <v>6613251.04</v>
      </c>
      <c r="E2996" s="6">
        <v>6538931.4699999997</v>
      </c>
      <c r="F2996" s="6">
        <v>6120974.3899999997</v>
      </c>
      <c r="G2996" s="7" t="s">
        <v>25</v>
      </c>
      <c r="H2996" s="1">
        <f t="shared" si="46"/>
        <v>0.70477452387430317</v>
      </c>
    </row>
    <row r="2997" spans="1:8" x14ac:dyDescent="0.25">
      <c r="A2997" s="1" t="s">
        <v>16</v>
      </c>
      <c r="B2997" s="1" t="s">
        <v>17</v>
      </c>
      <c r="C2997" s="6">
        <v>250</v>
      </c>
      <c r="D2997" s="6">
        <v>0</v>
      </c>
      <c r="E2997" s="6">
        <v>0</v>
      </c>
      <c r="F2997" s="6">
        <v>0</v>
      </c>
      <c r="G2997" s="7" t="s">
        <v>25</v>
      </c>
      <c r="H2997" s="1">
        <f t="shared" si="46"/>
        <v>0</v>
      </c>
    </row>
    <row r="2998" spans="1:8" x14ac:dyDescent="0.25">
      <c r="A2998" s="1" t="s">
        <v>16</v>
      </c>
      <c r="B2998" s="1" t="s">
        <v>17</v>
      </c>
      <c r="C2998" s="6">
        <v>2164771</v>
      </c>
      <c r="D2998" s="6">
        <v>578094.68999999994</v>
      </c>
      <c r="E2998" s="6">
        <v>215336.95999999999</v>
      </c>
      <c r="F2998" s="6">
        <v>214299.96</v>
      </c>
      <c r="G2998" s="7" t="s">
        <v>25</v>
      </c>
      <c r="H2998" s="1">
        <f t="shared" si="46"/>
        <v>0.26704657906078749</v>
      </c>
    </row>
    <row r="2999" spans="1:8" x14ac:dyDescent="0.25">
      <c r="A2999" s="1" t="s">
        <v>16</v>
      </c>
      <c r="B2999" s="1" t="s">
        <v>19</v>
      </c>
      <c r="C2999" s="6">
        <v>500</v>
      </c>
      <c r="D2999" s="6">
        <v>0</v>
      </c>
      <c r="E2999" s="6">
        <v>0</v>
      </c>
      <c r="F2999" s="6">
        <v>0</v>
      </c>
      <c r="G2999" s="7" t="s">
        <v>25</v>
      </c>
      <c r="H2999" s="1">
        <f t="shared" si="46"/>
        <v>0</v>
      </c>
    </row>
    <row r="3000" spans="1:8" x14ac:dyDescent="0.25">
      <c r="A3000" s="1" t="s">
        <v>16</v>
      </c>
      <c r="B3000" s="1" t="s">
        <v>19</v>
      </c>
      <c r="C3000" s="6">
        <v>5500</v>
      </c>
      <c r="D3000" s="6">
        <v>0</v>
      </c>
      <c r="E3000" s="6">
        <v>0</v>
      </c>
      <c r="F3000" s="6">
        <v>0</v>
      </c>
      <c r="G3000" s="7" t="s">
        <v>25</v>
      </c>
      <c r="H3000" s="1">
        <f t="shared" si="46"/>
        <v>0</v>
      </c>
    </row>
    <row r="3001" spans="1:8" x14ac:dyDescent="0.25">
      <c r="A3001" s="1" t="s">
        <v>16</v>
      </c>
      <c r="B3001" s="1" t="s">
        <v>19</v>
      </c>
      <c r="C3001" s="6">
        <v>500</v>
      </c>
      <c r="D3001" s="6">
        <v>0</v>
      </c>
      <c r="E3001" s="6">
        <v>0</v>
      </c>
      <c r="F3001" s="6">
        <v>0</v>
      </c>
      <c r="G3001" s="7" t="s">
        <v>25</v>
      </c>
      <c r="H3001" s="1">
        <f t="shared" si="46"/>
        <v>0</v>
      </c>
    </row>
    <row r="3002" spans="1:8" x14ac:dyDescent="0.25">
      <c r="A3002" s="1" t="s">
        <v>16</v>
      </c>
      <c r="B3002" s="1" t="s">
        <v>19</v>
      </c>
      <c r="C3002" s="6">
        <v>56750</v>
      </c>
      <c r="D3002" s="6">
        <v>35271.879999999997</v>
      </c>
      <c r="E3002" s="6">
        <v>29936.880000000001</v>
      </c>
      <c r="F3002" s="6">
        <v>29936.880000000001</v>
      </c>
      <c r="G3002" s="7" t="s">
        <v>25</v>
      </c>
      <c r="H3002" s="1">
        <f t="shared" si="46"/>
        <v>0.62153092511013208</v>
      </c>
    </row>
    <row r="3003" spans="1:8" x14ac:dyDescent="0.25">
      <c r="A3003" s="1" t="s">
        <v>16</v>
      </c>
      <c r="B3003" s="1" t="s">
        <v>19</v>
      </c>
      <c r="C3003" s="6">
        <v>3750</v>
      </c>
      <c r="D3003" s="6">
        <v>0</v>
      </c>
      <c r="E3003" s="6">
        <v>0</v>
      </c>
      <c r="F3003" s="6">
        <v>0</v>
      </c>
      <c r="G3003" s="7" t="s">
        <v>25</v>
      </c>
      <c r="H3003" s="1">
        <f t="shared" si="46"/>
        <v>0</v>
      </c>
    </row>
    <row r="3004" spans="1:8" x14ac:dyDescent="0.25">
      <c r="A3004" s="1" t="s">
        <v>16</v>
      </c>
      <c r="B3004" s="1" t="s">
        <v>19</v>
      </c>
      <c r="C3004" s="6">
        <v>1250</v>
      </c>
      <c r="D3004" s="6">
        <v>0</v>
      </c>
      <c r="E3004" s="6">
        <v>0</v>
      </c>
      <c r="F3004" s="6">
        <v>0</v>
      </c>
      <c r="G3004" s="7" t="s">
        <v>25</v>
      </c>
      <c r="H3004" s="1">
        <f t="shared" si="46"/>
        <v>0</v>
      </c>
    </row>
    <row r="3005" spans="1:8" x14ac:dyDescent="0.25">
      <c r="A3005" s="1" t="s">
        <v>16</v>
      </c>
      <c r="B3005" s="1" t="s">
        <v>19</v>
      </c>
      <c r="C3005" s="6">
        <v>2151250</v>
      </c>
      <c r="D3005" s="6">
        <v>1563314.8</v>
      </c>
      <c r="E3005" s="6">
        <v>1555675.45</v>
      </c>
      <c r="F3005" s="6">
        <v>1552536</v>
      </c>
      <c r="G3005" s="7" t="s">
        <v>25</v>
      </c>
      <c r="H3005" s="1">
        <f t="shared" si="46"/>
        <v>0.72670066240557818</v>
      </c>
    </row>
    <row r="3006" spans="1:8" x14ac:dyDescent="0.25">
      <c r="A3006" s="1" t="s">
        <v>16</v>
      </c>
      <c r="B3006" s="1" t="s">
        <v>19</v>
      </c>
      <c r="C3006" s="6">
        <v>3500</v>
      </c>
      <c r="D3006" s="6">
        <v>0</v>
      </c>
      <c r="E3006" s="6">
        <v>0</v>
      </c>
      <c r="F3006" s="6">
        <v>0</v>
      </c>
      <c r="G3006" s="7" t="s">
        <v>25</v>
      </c>
      <c r="H3006" s="1">
        <f t="shared" si="46"/>
        <v>0</v>
      </c>
    </row>
    <row r="3007" spans="1:8" x14ac:dyDescent="0.25">
      <c r="A3007" s="1" t="s">
        <v>16</v>
      </c>
      <c r="B3007" s="1" t="s">
        <v>19</v>
      </c>
      <c r="C3007" s="6">
        <v>51000</v>
      </c>
      <c r="D3007" s="6">
        <v>0</v>
      </c>
      <c r="E3007" s="6">
        <v>0</v>
      </c>
      <c r="F3007" s="6">
        <v>0</v>
      </c>
      <c r="G3007" s="7" t="s">
        <v>25</v>
      </c>
      <c r="H3007" s="1">
        <f t="shared" si="46"/>
        <v>0</v>
      </c>
    </row>
    <row r="3008" spans="1:8" x14ac:dyDescent="0.25">
      <c r="A3008" s="1" t="s">
        <v>16</v>
      </c>
      <c r="B3008" s="1" t="s">
        <v>19</v>
      </c>
      <c r="C3008" s="6">
        <v>4500</v>
      </c>
      <c r="D3008" s="6">
        <v>0</v>
      </c>
      <c r="E3008" s="6">
        <v>0</v>
      </c>
      <c r="F3008" s="6">
        <v>0</v>
      </c>
      <c r="G3008" s="7" t="s">
        <v>25</v>
      </c>
      <c r="H3008" s="1">
        <f t="shared" si="46"/>
        <v>0</v>
      </c>
    </row>
    <row r="3009" spans="1:8" x14ac:dyDescent="0.25">
      <c r="A3009" s="1" t="s">
        <v>16</v>
      </c>
      <c r="B3009" s="1" t="s">
        <v>19</v>
      </c>
      <c r="C3009" s="6">
        <v>132625</v>
      </c>
      <c r="D3009" s="6">
        <v>3465</v>
      </c>
      <c r="E3009" s="6">
        <v>2520</v>
      </c>
      <c r="F3009" s="6">
        <v>2520</v>
      </c>
      <c r="G3009" s="7" t="s">
        <v>25</v>
      </c>
      <c r="H3009" s="1">
        <f t="shared" si="46"/>
        <v>2.6126295947219606E-2</v>
      </c>
    </row>
    <row r="3010" spans="1:8" x14ac:dyDescent="0.25">
      <c r="A3010" s="1" t="s">
        <v>16</v>
      </c>
      <c r="B3010" s="1" t="s">
        <v>19</v>
      </c>
      <c r="C3010" s="6">
        <v>2875</v>
      </c>
      <c r="D3010" s="6">
        <v>0</v>
      </c>
      <c r="E3010" s="6">
        <v>0</v>
      </c>
      <c r="F3010" s="6">
        <v>0</v>
      </c>
      <c r="G3010" s="7" t="s">
        <v>25</v>
      </c>
      <c r="H3010" s="1">
        <f t="shared" ref="H3010:H3073" si="47">IF(OR(ISNA($D3010),ISNA($C3010),$C3010=0),0,$D3010/$C3010)</f>
        <v>0</v>
      </c>
    </row>
    <row r="3011" spans="1:8" x14ac:dyDescent="0.25">
      <c r="A3011" s="1" t="s">
        <v>16</v>
      </c>
      <c r="B3011" s="1" t="s">
        <v>19</v>
      </c>
      <c r="C3011" s="6">
        <v>9500</v>
      </c>
      <c r="D3011" s="6">
        <v>4088.48</v>
      </c>
      <c r="E3011" s="6">
        <v>3225.04</v>
      </c>
      <c r="F3011" s="6">
        <v>2719.15</v>
      </c>
      <c r="G3011" s="7" t="s">
        <v>25</v>
      </c>
      <c r="H3011" s="1">
        <f t="shared" si="47"/>
        <v>0.43036631578947371</v>
      </c>
    </row>
    <row r="3012" spans="1:8" x14ac:dyDescent="0.25">
      <c r="A3012" s="1" t="s">
        <v>16</v>
      </c>
      <c r="B3012" s="1" t="s">
        <v>19</v>
      </c>
      <c r="C3012" s="6">
        <v>5250</v>
      </c>
      <c r="D3012" s="6">
        <v>0</v>
      </c>
      <c r="E3012" s="6">
        <v>0</v>
      </c>
      <c r="F3012" s="6">
        <v>0</v>
      </c>
      <c r="G3012" s="7" t="s">
        <v>25</v>
      </c>
      <c r="H3012" s="1">
        <f t="shared" si="47"/>
        <v>0</v>
      </c>
    </row>
    <row r="3013" spans="1:8" x14ac:dyDescent="0.25">
      <c r="A3013" s="1" t="s">
        <v>16</v>
      </c>
      <c r="B3013" s="1" t="s">
        <v>19</v>
      </c>
      <c r="C3013" s="6">
        <v>2500</v>
      </c>
      <c r="D3013" s="6">
        <v>0</v>
      </c>
      <c r="E3013" s="6">
        <v>0</v>
      </c>
      <c r="F3013" s="6">
        <v>0</v>
      </c>
      <c r="G3013" s="7" t="s">
        <v>25</v>
      </c>
      <c r="H3013" s="1">
        <f t="shared" si="47"/>
        <v>0</v>
      </c>
    </row>
    <row r="3014" spans="1:8" x14ac:dyDescent="0.25">
      <c r="A3014" s="1" t="s">
        <v>16</v>
      </c>
      <c r="B3014" s="1" t="s">
        <v>19</v>
      </c>
      <c r="C3014" s="6">
        <v>32750</v>
      </c>
      <c r="D3014" s="6">
        <v>15987.5</v>
      </c>
      <c r="E3014" s="6">
        <v>15987.5</v>
      </c>
      <c r="F3014" s="6">
        <v>15987.5</v>
      </c>
      <c r="G3014" s="7" t="s">
        <v>25</v>
      </c>
      <c r="H3014" s="1">
        <f t="shared" si="47"/>
        <v>0.48816793893129773</v>
      </c>
    </row>
    <row r="3015" spans="1:8" x14ac:dyDescent="0.25">
      <c r="A3015" s="1" t="s">
        <v>16</v>
      </c>
      <c r="B3015" s="1" t="s">
        <v>19</v>
      </c>
      <c r="C3015" s="6">
        <v>750</v>
      </c>
      <c r="D3015" s="6">
        <v>0</v>
      </c>
      <c r="E3015" s="6">
        <v>0</v>
      </c>
      <c r="F3015" s="6">
        <v>0</v>
      </c>
      <c r="G3015" s="7" t="s">
        <v>25</v>
      </c>
      <c r="H3015" s="1">
        <f t="shared" si="47"/>
        <v>0</v>
      </c>
    </row>
    <row r="3016" spans="1:8" x14ac:dyDescent="0.25">
      <c r="A3016" s="1" t="s">
        <v>16</v>
      </c>
      <c r="B3016" s="1" t="s">
        <v>19</v>
      </c>
      <c r="C3016" s="6">
        <v>250</v>
      </c>
      <c r="D3016" s="6">
        <v>0</v>
      </c>
      <c r="E3016" s="6">
        <v>0</v>
      </c>
      <c r="F3016" s="6">
        <v>0</v>
      </c>
      <c r="G3016" s="7" t="s">
        <v>25</v>
      </c>
      <c r="H3016" s="1">
        <f t="shared" si="47"/>
        <v>0</v>
      </c>
    </row>
    <row r="3017" spans="1:8" x14ac:dyDescent="0.25">
      <c r="A3017" s="1" t="s">
        <v>16</v>
      </c>
      <c r="B3017" s="1" t="s">
        <v>19</v>
      </c>
      <c r="C3017" s="6">
        <v>1500</v>
      </c>
      <c r="D3017" s="6">
        <v>0</v>
      </c>
      <c r="E3017" s="6">
        <v>0</v>
      </c>
      <c r="F3017" s="6">
        <v>0</v>
      </c>
      <c r="G3017" s="7" t="s">
        <v>25</v>
      </c>
      <c r="H3017" s="1">
        <f t="shared" si="47"/>
        <v>0</v>
      </c>
    </row>
    <row r="3018" spans="1:8" x14ac:dyDescent="0.25">
      <c r="A3018" s="1" t="s">
        <v>16</v>
      </c>
      <c r="B3018" s="1" t="s">
        <v>19</v>
      </c>
      <c r="C3018" s="6">
        <v>500</v>
      </c>
      <c r="D3018" s="6">
        <v>0</v>
      </c>
      <c r="E3018" s="6">
        <v>0</v>
      </c>
      <c r="F3018" s="6">
        <v>0</v>
      </c>
      <c r="G3018" s="7" t="s">
        <v>25</v>
      </c>
      <c r="H3018" s="1">
        <f t="shared" si="47"/>
        <v>0</v>
      </c>
    </row>
    <row r="3019" spans="1:8" x14ac:dyDescent="0.25">
      <c r="A3019" s="1" t="s">
        <v>16</v>
      </c>
      <c r="B3019" s="1" t="s">
        <v>19</v>
      </c>
      <c r="C3019" s="6">
        <v>2500</v>
      </c>
      <c r="D3019" s="6">
        <v>0</v>
      </c>
      <c r="E3019" s="6">
        <v>0</v>
      </c>
      <c r="F3019" s="6">
        <v>0</v>
      </c>
      <c r="G3019" s="7" t="s">
        <v>25</v>
      </c>
      <c r="H3019" s="1">
        <f t="shared" si="47"/>
        <v>0</v>
      </c>
    </row>
    <row r="3020" spans="1:8" x14ac:dyDescent="0.25">
      <c r="A3020" s="1" t="s">
        <v>16</v>
      </c>
      <c r="B3020" s="1" t="s">
        <v>19</v>
      </c>
      <c r="C3020" s="6">
        <v>13000</v>
      </c>
      <c r="D3020" s="6">
        <v>1377.97</v>
      </c>
      <c r="E3020" s="6">
        <v>1202.97</v>
      </c>
      <c r="F3020" s="6">
        <v>1202.97</v>
      </c>
      <c r="G3020" s="7" t="s">
        <v>25</v>
      </c>
      <c r="H3020" s="1">
        <f t="shared" si="47"/>
        <v>0.10599769230769231</v>
      </c>
    </row>
    <row r="3021" spans="1:8" x14ac:dyDescent="0.25">
      <c r="A3021" s="1" t="s">
        <v>16</v>
      </c>
      <c r="B3021" s="1" t="s">
        <v>19</v>
      </c>
      <c r="C3021" s="6">
        <v>212500</v>
      </c>
      <c r="D3021" s="6">
        <v>36468.86</v>
      </c>
      <c r="E3021" s="6">
        <v>36468.86</v>
      </c>
      <c r="F3021" s="6">
        <v>36468.86</v>
      </c>
      <c r="G3021" s="7" t="s">
        <v>25</v>
      </c>
      <c r="H3021" s="1">
        <f t="shared" si="47"/>
        <v>0.17161816470588234</v>
      </c>
    </row>
    <row r="3022" spans="1:8" x14ac:dyDescent="0.25">
      <c r="A3022" s="1" t="s">
        <v>16</v>
      </c>
      <c r="B3022" s="1" t="s">
        <v>19</v>
      </c>
      <c r="C3022" s="6">
        <v>1250</v>
      </c>
      <c r="D3022" s="6">
        <v>0</v>
      </c>
      <c r="E3022" s="6">
        <v>0</v>
      </c>
      <c r="F3022" s="6">
        <v>0</v>
      </c>
      <c r="G3022" s="7" t="s">
        <v>25</v>
      </c>
      <c r="H3022" s="1">
        <f t="shared" si="47"/>
        <v>0</v>
      </c>
    </row>
    <row r="3023" spans="1:8" x14ac:dyDescent="0.25">
      <c r="A3023" s="1" t="s">
        <v>16</v>
      </c>
      <c r="B3023" s="1" t="s">
        <v>19</v>
      </c>
      <c r="C3023" s="6">
        <v>1601446</v>
      </c>
      <c r="D3023" s="6">
        <v>90134.080000000002</v>
      </c>
      <c r="E3023" s="6">
        <v>81163.789999999994</v>
      </c>
      <c r="F3023" s="6">
        <v>77846.09</v>
      </c>
      <c r="G3023" s="7" t="s">
        <v>25</v>
      </c>
      <c r="H3023" s="1">
        <f t="shared" si="47"/>
        <v>5.6282934298128071E-2</v>
      </c>
    </row>
    <row r="3024" spans="1:8" x14ac:dyDescent="0.25">
      <c r="A3024" s="1" t="s">
        <v>12</v>
      </c>
      <c r="B3024" s="1" t="s">
        <v>13</v>
      </c>
      <c r="C3024" s="6">
        <v>665000</v>
      </c>
      <c r="D3024" s="6">
        <v>15595.96</v>
      </c>
      <c r="E3024" s="6">
        <v>15595.96</v>
      </c>
      <c r="F3024" s="6">
        <v>15595.96</v>
      </c>
      <c r="G3024" s="7" t="s">
        <v>25</v>
      </c>
      <c r="H3024" s="1">
        <f t="shared" si="47"/>
        <v>2.3452571428571427E-2</v>
      </c>
    </row>
    <row r="3025" spans="1:8" x14ac:dyDescent="0.25">
      <c r="A3025" s="1" t="s">
        <v>12</v>
      </c>
      <c r="B3025" s="1" t="s">
        <v>13</v>
      </c>
      <c r="C3025" s="6">
        <v>139250</v>
      </c>
      <c r="D3025" s="6">
        <v>152390.18</v>
      </c>
      <c r="E3025" s="6">
        <v>152390.18</v>
      </c>
      <c r="F3025" s="6">
        <v>134791.13</v>
      </c>
      <c r="G3025" s="7" t="s">
        <v>25</v>
      </c>
      <c r="H3025" s="1">
        <f t="shared" si="47"/>
        <v>1.0943639497307001</v>
      </c>
    </row>
    <row r="3026" spans="1:8" x14ac:dyDescent="0.25">
      <c r="A3026" s="1" t="s">
        <v>12</v>
      </c>
      <c r="B3026" s="1" t="s">
        <v>13</v>
      </c>
      <c r="C3026" s="6">
        <v>1268834</v>
      </c>
      <c r="D3026" s="6">
        <v>386338.27</v>
      </c>
      <c r="E3026" s="6">
        <v>337343.97</v>
      </c>
      <c r="F3026" s="6">
        <v>322323.09999999998</v>
      </c>
      <c r="G3026" s="7" t="s">
        <v>25</v>
      </c>
      <c r="H3026" s="1">
        <f t="shared" si="47"/>
        <v>0.30448291108214315</v>
      </c>
    </row>
    <row r="3027" spans="1:8" x14ac:dyDescent="0.25">
      <c r="A3027" s="1" t="s">
        <v>12</v>
      </c>
      <c r="B3027" s="1" t="s">
        <v>13</v>
      </c>
      <c r="C3027" s="6">
        <v>513000</v>
      </c>
      <c r="D3027" s="6">
        <v>0</v>
      </c>
      <c r="E3027" s="6">
        <v>0</v>
      </c>
      <c r="F3027" s="6">
        <v>0</v>
      </c>
      <c r="G3027" s="7" t="s">
        <v>25</v>
      </c>
      <c r="H3027" s="1">
        <f t="shared" si="47"/>
        <v>0</v>
      </c>
    </row>
    <row r="3028" spans="1:8" x14ac:dyDescent="0.25">
      <c r="A3028" s="1" t="s">
        <v>12</v>
      </c>
      <c r="B3028" s="1" t="s">
        <v>13</v>
      </c>
      <c r="C3028" s="6">
        <v>1250</v>
      </c>
      <c r="D3028" s="6">
        <v>0</v>
      </c>
      <c r="E3028" s="6">
        <v>0</v>
      </c>
      <c r="F3028" s="6">
        <v>0</v>
      </c>
      <c r="G3028" s="7" t="s">
        <v>25</v>
      </c>
      <c r="H3028" s="1">
        <f t="shared" si="47"/>
        <v>0</v>
      </c>
    </row>
    <row r="3029" spans="1:8" x14ac:dyDescent="0.25">
      <c r="A3029" s="1" t="s">
        <v>12</v>
      </c>
      <c r="B3029" s="1" t="s">
        <v>13</v>
      </c>
      <c r="C3029" s="6">
        <v>689302</v>
      </c>
      <c r="D3029" s="6">
        <v>44502.47</v>
      </c>
      <c r="E3029" s="6">
        <v>44502.47</v>
      </c>
      <c r="F3029" s="6">
        <v>44502.47</v>
      </c>
      <c r="G3029" s="7" t="s">
        <v>25</v>
      </c>
      <c r="H3029" s="1">
        <f t="shared" si="47"/>
        <v>6.4561643517645387E-2</v>
      </c>
    </row>
    <row r="3030" spans="1:8" x14ac:dyDescent="0.25">
      <c r="A3030" s="1" t="s">
        <v>12</v>
      </c>
      <c r="B3030" s="1" t="s">
        <v>13</v>
      </c>
      <c r="C3030" s="6">
        <v>2171875</v>
      </c>
      <c r="D3030" s="6">
        <v>508500</v>
      </c>
      <c r="E3030" s="6">
        <v>508500</v>
      </c>
      <c r="F3030" s="6">
        <v>508500</v>
      </c>
      <c r="G3030" s="7" t="s">
        <v>25</v>
      </c>
      <c r="H3030" s="1">
        <f t="shared" si="47"/>
        <v>0.2341294964028777</v>
      </c>
    </row>
    <row r="3031" spans="1:8" x14ac:dyDescent="0.25">
      <c r="A3031" s="1" t="s">
        <v>12</v>
      </c>
      <c r="B3031" s="1" t="s">
        <v>13</v>
      </c>
      <c r="C3031" s="6">
        <v>884375</v>
      </c>
      <c r="D3031" s="6">
        <v>375750</v>
      </c>
      <c r="E3031" s="6">
        <v>375750</v>
      </c>
      <c r="F3031" s="6">
        <v>375750</v>
      </c>
      <c r="G3031" s="7" t="s">
        <v>25</v>
      </c>
      <c r="H3031" s="1">
        <f t="shared" si="47"/>
        <v>0.42487632508833922</v>
      </c>
    </row>
    <row r="3032" spans="1:8" x14ac:dyDescent="0.25">
      <c r="A3032" s="1" t="s">
        <v>12</v>
      </c>
      <c r="B3032" s="1" t="s">
        <v>13</v>
      </c>
      <c r="C3032" s="6">
        <v>1165700</v>
      </c>
      <c r="D3032" s="6">
        <v>1028225</v>
      </c>
      <c r="E3032" s="6">
        <v>1028225</v>
      </c>
      <c r="F3032" s="6">
        <v>1028225</v>
      </c>
      <c r="G3032" s="7" t="s">
        <v>25</v>
      </c>
      <c r="H3032" s="1">
        <f t="shared" si="47"/>
        <v>0.88206656944325301</v>
      </c>
    </row>
    <row r="3033" spans="1:8" x14ac:dyDescent="0.25">
      <c r="A3033" s="1" t="s">
        <v>12</v>
      </c>
      <c r="B3033" s="1" t="s">
        <v>13</v>
      </c>
      <c r="C3033" s="6">
        <v>251000</v>
      </c>
      <c r="D3033" s="6">
        <v>60875</v>
      </c>
      <c r="E3033" s="6">
        <v>60875</v>
      </c>
      <c r="F3033" s="6">
        <v>60875</v>
      </c>
      <c r="G3033" s="7" t="s">
        <v>25</v>
      </c>
      <c r="H3033" s="1">
        <f t="shared" si="47"/>
        <v>0.24252988047808766</v>
      </c>
    </row>
    <row r="3034" spans="1:8" x14ac:dyDescent="0.25">
      <c r="A3034" s="1" t="s">
        <v>12</v>
      </c>
      <c r="B3034" s="1" t="s">
        <v>13</v>
      </c>
      <c r="C3034" s="6">
        <v>750</v>
      </c>
      <c r="D3034" s="6">
        <v>0</v>
      </c>
      <c r="E3034" s="6">
        <v>0</v>
      </c>
      <c r="F3034" s="6">
        <v>0</v>
      </c>
      <c r="G3034" s="7" t="s">
        <v>25</v>
      </c>
      <c r="H3034" s="1">
        <f t="shared" si="47"/>
        <v>0</v>
      </c>
    </row>
    <row r="3035" spans="1:8" x14ac:dyDescent="0.25">
      <c r="A3035" s="1" t="s">
        <v>12</v>
      </c>
      <c r="B3035" s="1" t="s">
        <v>13</v>
      </c>
      <c r="C3035" s="6">
        <v>835750</v>
      </c>
      <c r="D3035" s="6">
        <v>0</v>
      </c>
      <c r="E3035" s="6">
        <v>0</v>
      </c>
      <c r="F3035" s="6">
        <v>0</v>
      </c>
      <c r="G3035" s="7" t="s">
        <v>25</v>
      </c>
      <c r="H3035" s="1">
        <f t="shared" si="47"/>
        <v>0</v>
      </c>
    </row>
    <row r="3036" spans="1:8" x14ac:dyDescent="0.25">
      <c r="A3036" s="1" t="s">
        <v>12</v>
      </c>
      <c r="B3036" s="1" t="s">
        <v>13</v>
      </c>
      <c r="C3036" s="6">
        <v>388100</v>
      </c>
      <c r="D3036" s="6">
        <v>73832.19</v>
      </c>
      <c r="E3036" s="6">
        <v>73832.19</v>
      </c>
      <c r="F3036" s="6">
        <v>73832.19</v>
      </c>
      <c r="G3036" s="7" t="s">
        <v>25</v>
      </c>
      <c r="H3036" s="1">
        <f t="shared" si="47"/>
        <v>0.19024011852615305</v>
      </c>
    </row>
    <row r="3037" spans="1:8" x14ac:dyDescent="0.25">
      <c r="A3037" s="1" t="s">
        <v>12</v>
      </c>
      <c r="B3037" s="1" t="s">
        <v>13</v>
      </c>
      <c r="C3037" s="6">
        <v>69000</v>
      </c>
      <c r="D3037" s="6">
        <v>0</v>
      </c>
      <c r="E3037" s="6">
        <v>0</v>
      </c>
      <c r="F3037" s="6">
        <v>0</v>
      </c>
      <c r="G3037" s="7" t="s">
        <v>25</v>
      </c>
      <c r="H3037" s="1">
        <f t="shared" si="47"/>
        <v>0</v>
      </c>
    </row>
    <row r="3038" spans="1:8" x14ac:dyDescent="0.25">
      <c r="A3038" s="1" t="s">
        <v>12</v>
      </c>
      <c r="B3038" s="1" t="s">
        <v>13</v>
      </c>
      <c r="C3038" s="6">
        <v>750</v>
      </c>
      <c r="D3038" s="6">
        <v>0</v>
      </c>
      <c r="E3038" s="6">
        <v>0</v>
      </c>
      <c r="F3038" s="6">
        <v>0</v>
      </c>
      <c r="G3038" s="7" t="s">
        <v>25</v>
      </c>
      <c r="H3038" s="1">
        <f t="shared" si="47"/>
        <v>0</v>
      </c>
    </row>
    <row r="3039" spans="1:8" x14ac:dyDescent="0.25">
      <c r="A3039" s="1" t="s">
        <v>12</v>
      </c>
      <c r="B3039" s="1" t="s">
        <v>13</v>
      </c>
      <c r="C3039" s="6">
        <v>13077241</v>
      </c>
      <c r="D3039" s="6">
        <v>2244337.42</v>
      </c>
      <c r="E3039" s="6">
        <v>2163531.0099999998</v>
      </c>
      <c r="F3039" s="6">
        <v>1703503.72</v>
      </c>
      <c r="G3039" s="7" t="s">
        <v>25</v>
      </c>
      <c r="H3039" s="1">
        <f t="shared" si="47"/>
        <v>0.17162163028118851</v>
      </c>
    </row>
    <row r="3040" spans="1:8" x14ac:dyDescent="0.25">
      <c r="A3040" s="1" t="s">
        <v>12</v>
      </c>
      <c r="B3040" s="1" t="s">
        <v>13</v>
      </c>
      <c r="C3040" s="6">
        <v>426500</v>
      </c>
      <c r="D3040" s="6">
        <v>152628.18</v>
      </c>
      <c r="E3040" s="6">
        <v>152628.18</v>
      </c>
      <c r="F3040" s="6">
        <v>137789.65</v>
      </c>
      <c r="G3040" s="7" t="s">
        <v>25</v>
      </c>
      <c r="H3040" s="1">
        <f t="shared" si="47"/>
        <v>0.35786208675263775</v>
      </c>
    </row>
    <row r="3041" spans="1:8" x14ac:dyDescent="0.25">
      <c r="A3041" s="1" t="s">
        <v>12</v>
      </c>
      <c r="B3041" s="1" t="s">
        <v>13</v>
      </c>
      <c r="C3041" s="6">
        <v>7270636</v>
      </c>
      <c r="D3041" s="6">
        <v>1394528</v>
      </c>
      <c r="E3041" s="6">
        <v>1394528</v>
      </c>
      <c r="F3041" s="6">
        <v>1391451.45</v>
      </c>
      <c r="G3041" s="7" t="s">
        <v>25</v>
      </c>
      <c r="H3041" s="1">
        <f t="shared" si="47"/>
        <v>0.1918027528815911</v>
      </c>
    </row>
    <row r="3042" spans="1:8" x14ac:dyDescent="0.25">
      <c r="A3042" s="1" t="s">
        <v>12</v>
      </c>
      <c r="B3042" s="1" t="s">
        <v>13</v>
      </c>
      <c r="C3042" s="6">
        <v>211975</v>
      </c>
      <c r="D3042" s="6">
        <v>88160.58</v>
      </c>
      <c r="E3042" s="6">
        <v>88160.58</v>
      </c>
      <c r="F3042" s="6">
        <v>88160.58</v>
      </c>
      <c r="G3042" s="7" t="s">
        <v>25</v>
      </c>
      <c r="H3042" s="1">
        <f t="shared" si="47"/>
        <v>0.41590083736289657</v>
      </c>
    </row>
    <row r="3043" spans="1:8" x14ac:dyDescent="0.25">
      <c r="A3043" s="1" t="s">
        <v>12</v>
      </c>
      <c r="B3043" s="1" t="s">
        <v>13</v>
      </c>
      <c r="C3043" s="6">
        <v>163000</v>
      </c>
      <c r="D3043" s="6">
        <v>120213.43</v>
      </c>
      <c r="E3043" s="6">
        <v>120213.43</v>
      </c>
      <c r="F3043" s="6">
        <v>120213.43</v>
      </c>
      <c r="G3043" s="7" t="s">
        <v>25</v>
      </c>
      <c r="H3043" s="1">
        <f t="shared" si="47"/>
        <v>0.73750570552147232</v>
      </c>
    </row>
    <row r="3044" spans="1:8" x14ac:dyDescent="0.25">
      <c r="A3044" s="1" t="s">
        <v>12</v>
      </c>
      <c r="B3044" s="1" t="s">
        <v>13</v>
      </c>
      <c r="C3044" s="6">
        <v>382750</v>
      </c>
      <c r="D3044" s="6">
        <v>207171.18</v>
      </c>
      <c r="E3044" s="6">
        <v>207171.18</v>
      </c>
      <c r="F3044" s="6">
        <v>207171.18</v>
      </c>
      <c r="G3044" s="7" t="s">
        <v>25</v>
      </c>
      <c r="H3044" s="1">
        <f t="shared" si="47"/>
        <v>0.5412702286087524</v>
      </c>
    </row>
    <row r="3045" spans="1:8" x14ac:dyDescent="0.25">
      <c r="A3045" s="1" t="s">
        <v>12</v>
      </c>
      <c r="B3045" s="1" t="s">
        <v>13</v>
      </c>
      <c r="C3045" s="6">
        <v>1499500</v>
      </c>
      <c r="D3045" s="6">
        <v>310729.68</v>
      </c>
      <c r="E3045" s="6">
        <v>310729.68</v>
      </c>
      <c r="F3045" s="6">
        <v>245361.64</v>
      </c>
      <c r="G3045" s="7" t="s">
        <v>25</v>
      </c>
      <c r="H3045" s="1">
        <f t="shared" si="47"/>
        <v>0.20722219406468823</v>
      </c>
    </row>
    <row r="3046" spans="1:8" x14ac:dyDescent="0.25">
      <c r="A3046" s="1" t="s">
        <v>12</v>
      </c>
      <c r="B3046" s="1" t="s">
        <v>13</v>
      </c>
      <c r="C3046" s="6">
        <v>1137619</v>
      </c>
      <c r="D3046" s="6">
        <v>410476.56</v>
      </c>
      <c r="E3046" s="6">
        <v>410476.56</v>
      </c>
      <c r="F3046" s="6">
        <v>401490.31</v>
      </c>
      <c r="G3046" s="7" t="s">
        <v>25</v>
      </c>
      <c r="H3046" s="1">
        <f t="shared" si="47"/>
        <v>0.36082076688240966</v>
      </c>
    </row>
    <row r="3047" spans="1:8" x14ac:dyDescent="0.25">
      <c r="A3047" s="1" t="s">
        <v>12</v>
      </c>
      <c r="B3047" s="1" t="s">
        <v>13</v>
      </c>
      <c r="C3047" s="6">
        <v>8417500</v>
      </c>
      <c r="D3047" s="6">
        <v>2993279.18</v>
      </c>
      <c r="E3047" s="6">
        <v>2993279.18</v>
      </c>
      <c r="F3047" s="6">
        <v>2822804.66</v>
      </c>
      <c r="G3047" s="7" t="s">
        <v>25</v>
      </c>
      <c r="H3047" s="1">
        <f t="shared" si="47"/>
        <v>0.35560192218592218</v>
      </c>
    </row>
    <row r="3048" spans="1:8" x14ac:dyDescent="0.25">
      <c r="A3048" s="1" t="s">
        <v>12</v>
      </c>
      <c r="B3048" s="1" t="s">
        <v>13</v>
      </c>
      <c r="C3048" s="6">
        <v>45500</v>
      </c>
      <c r="D3048" s="6">
        <v>70123.14</v>
      </c>
      <c r="E3048" s="6">
        <v>70123.14</v>
      </c>
      <c r="F3048" s="6">
        <v>70123.14</v>
      </c>
      <c r="G3048" s="7" t="s">
        <v>25</v>
      </c>
      <c r="H3048" s="1">
        <f t="shared" si="47"/>
        <v>1.541167912087912</v>
      </c>
    </row>
    <row r="3049" spans="1:8" x14ac:dyDescent="0.25">
      <c r="A3049" s="1" t="s">
        <v>12</v>
      </c>
      <c r="B3049" s="1" t="s">
        <v>13</v>
      </c>
      <c r="C3049" s="6">
        <v>1451375</v>
      </c>
      <c r="D3049" s="6">
        <v>527598.74</v>
      </c>
      <c r="E3049" s="6">
        <v>527598.74</v>
      </c>
      <c r="F3049" s="6">
        <v>527598.74</v>
      </c>
      <c r="G3049" s="7" t="s">
        <v>25</v>
      </c>
      <c r="H3049" s="1">
        <f t="shared" si="47"/>
        <v>0.36351648609077597</v>
      </c>
    </row>
    <row r="3050" spans="1:8" x14ac:dyDescent="0.25">
      <c r="A3050" s="1" t="s">
        <v>12</v>
      </c>
      <c r="B3050" s="1" t="s">
        <v>13</v>
      </c>
      <c r="C3050" s="6">
        <v>944043</v>
      </c>
      <c r="D3050" s="6">
        <v>393549.48</v>
      </c>
      <c r="E3050" s="6">
        <v>393549.48</v>
      </c>
      <c r="F3050" s="6">
        <v>393549.48</v>
      </c>
      <c r="G3050" s="7" t="s">
        <v>25</v>
      </c>
      <c r="H3050" s="1">
        <f t="shared" si="47"/>
        <v>0.41687664650868655</v>
      </c>
    </row>
    <row r="3051" spans="1:8" x14ac:dyDescent="0.25">
      <c r="A3051" s="1" t="s">
        <v>12</v>
      </c>
      <c r="B3051" s="1" t="s">
        <v>13</v>
      </c>
      <c r="C3051" s="6">
        <v>3030250</v>
      </c>
      <c r="D3051" s="6">
        <v>499070.8</v>
      </c>
      <c r="E3051" s="6">
        <v>499070.8</v>
      </c>
      <c r="F3051" s="6">
        <v>499070.8</v>
      </c>
      <c r="G3051" s="7" t="s">
        <v>25</v>
      </c>
      <c r="H3051" s="1">
        <f t="shared" si="47"/>
        <v>0.16469624618430823</v>
      </c>
    </row>
    <row r="3052" spans="1:8" x14ac:dyDescent="0.25">
      <c r="A3052" s="1" t="s">
        <v>12</v>
      </c>
      <c r="B3052" s="1" t="s">
        <v>13</v>
      </c>
      <c r="C3052" s="6">
        <v>1527725</v>
      </c>
      <c r="D3052" s="6">
        <v>1974350.45</v>
      </c>
      <c r="E3052" s="6">
        <v>1974350.45</v>
      </c>
      <c r="F3052" s="6">
        <v>1864535.52</v>
      </c>
      <c r="G3052" s="7" t="s">
        <v>25</v>
      </c>
      <c r="H3052" s="1">
        <f t="shared" si="47"/>
        <v>1.2923467574334386</v>
      </c>
    </row>
    <row r="3053" spans="1:8" x14ac:dyDescent="0.25">
      <c r="A3053" s="1" t="s">
        <v>12</v>
      </c>
      <c r="B3053" s="1" t="s">
        <v>13</v>
      </c>
      <c r="C3053" s="6">
        <v>9487502</v>
      </c>
      <c r="D3053" s="6">
        <v>4257700.66</v>
      </c>
      <c r="E3053" s="6">
        <v>4257700.66</v>
      </c>
      <c r="F3053" s="6">
        <v>4257700.66</v>
      </c>
      <c r="G3053" s="7" t="s">
        <v>25</v>
      </c>
      <c r="H3053" s="1">
        <f t="shared" si="47"/>
        <v>0.44876940842805618</v>
      </c>
    </row>
    <row r="3054" spans="1:8" x14ac:dyDescent="0.25">
      <c r="A3054" s="1" t="s">
        <v>12</v>
      </c>
      <c r="B3054" s="1" t="s">
        <v>13</v>
      </c>
      <c r="C3054" s="6">
        <v>1339000</v>
      </c>
      <c r="D3054" s="6">
        <v>0</v>
      </c>
      <c r="E3054" s="6">
        <v>0</v>
      </c>
      <c r="F3054" s="6">
        <v>0</v>
      </c>
      <c r="G3054" s="7" t="s">
        <v>25</v>
      </c>
      <c r="H3054" s="1">
        <f t="shared" si="47"/>
        <v>0</v>
      </c>
    </row>
    <row r="3055" spans="1:8" x14ac:dyDescent="0.25">
      <c r="A3055" s="1" t="s">
        <v>12</v>
      </c>
      <c r="B3055" s="1" t="s">
        <v>13</v>
      </c>
      <c r="C3055" s="6">
        <v>5720750</v>
      </c>
      <c r="D3055" s="6">
        <v>1572271.43</v>
      </c>
      <c r="E3055" s="6">
        <v>1572271.43</v>
      </c>
      <c r="F3055" s="6">
        <v>1505145.32</v>
      </c>
      <c r="G3055" s="7" t="s">
        <v>25</v>
      </c>
      <c r="H3055" s="1">
        <f t="shared" si="47"/>
        <v>0.2748365913560285</v>
      </c>
    </row>
    <row r="3056" spans="1:8" x14ac:dyDescent="0.25">
      <c r="A3056" s="1" t="s">
        <v>12</v>
      </c>
      <c r="B3056" s="1" t="s">
        <v>13</v>
      </c>
      <c r="C3056" s="6">
        <v>2250250</v>
      </c>
      <c r="D3056" s="6">
        <v>0</v>
      </c>
      <c r="E3056" s="6">
        <v>0</v>
      </c>
      <c r="F3056" s="6">
        <v>0</v>
      </c>
      <c r="G3056" s="7" t="s">
        <v>25</v>
      </c>
      <c r="H3056" s="1">
        <f t="shared" si="47"/>
        <v>0</v>
      </c>
    </row>
    <row r="3057" spans="1:8" x14ac:dyDescent="0.25">
      <c r="A3057" s="1" t="s">
        <v>12</v>
      </c>
      <c r="B3057" s="1" t="s">
        <v>13</v>
      </c>
      <c r="C3057" s="6">
        <v>1768500</v>
      </c>
      <c r="D3057" s="6">
        <v>136496.35</v>
      </c>
      <c r="E3057" s="6">
        <v>136496.35</v>
      </c>
      <c r="F3057" s="6">
        <v>68390.399999999994</v>
      </c>
      <c r="G3057" s="7" t="s">
        <v>25</v>
      </c>
      <c r="H3057" s="1">
        <f t="shared" si="47"/>
        <v>7.7181990387333907E-2</v>
      </c>
    </row>
    <row r="3058" spans="1:8" x14ac:dyDescent="0.25">
      <c r="A3058" s="1" t="s">
        <v>12</v>
      </c>
      <c r="B3058" s="1" t="s">
        <v>13</v>
      </c>
      <c r="C3058" s="6">
        <v>1284000</v>
      </c>
      <c r="D3058" s="6">
        <v>244825.3</v>
      </c>
      <c r="E3058" s="6">
        <v>244825.3</v>
      </c>
      <c r="F3058" s="6">
        <v>231967.55</v>
      </c>
      <c r="G3058" s="7" t="s">
        <v>25</v>
      </c>
      <c r="H3058" s="1">
        <f t="shared" si="47"/>
        <v>0.19067390965732087</v>
      </c>
    </row>
    <row r="3059" spans="1:8" x14ac:dyDescent="0.25">
      <c r="A3059" s="1" t="s">
        <v>12</v>
      </c>
      <c r="B3059" s="1" t="s">
        <v>13</v>
      </c>
      <c r="C3059" s="6">
        <v>21998100</v>
      </c>
      <c r="D3059" s="6">
        <v>113339.69</v>
      </c>
      <c r="E3059" s="6">
        <v>113339.69</v>
      </c>
      <c r="F3059" s="6">
        <v>113339.69</v>
      </c>
      <c r="G3059" s="7" t="s">
        <v>25</v>
      </c>
      <c r="H3059" s="1">
        <f t="shared" si="47"/>
        <v>5.1522490578731804E-3</v>
      </c>
    </row>
    <row r="3060" spans="1:8" x14ac:dyDescent="0.25">
      <c r="A3060" s="1" t="s">
        <v>12</v>
      </c>
      <c r="B3060" s="1" t="s">
        <v>13</v>
      </c>
      <c r="C3060" s="6">
        <v>1884000</v>
      </c>
      <c r="D3060" s="6">
        <v>390043.26</v>
      </c>
      <c r="E3060" s="6">
        <v>390043.26</v>
      </c>
      <c r="F3060" s="6">
        <v>273824.23</v>
      </c>
      <c r="G3060" s="7" t="s">
        <v>25</v>
      </c>
      <c r="H3060" s="1">
        <f t="shared" si="47"/>
        <v>0.2070293312101911</v>
      </c>
    </row>
    <row r="3061" spans="1:8" x14ac:dyDescent="0.25">
      <c r="A3061" s="1" t="s">
        <v>12</v>
      </c>
      <c r="B3061" s="1" t="s">
        <v>13</v>
      </c>
      <c r="C3061" s="6">
        <v>208000</v>
      </c>
      <c r="D3061" s="6">
        <v>67007.820000000007</v>
      </c>
      <c r="E3061" s="6">
        <v>67007.820000000007</v>
      </c>
      <c r="F3061" s="6">
        <v>67007.820000000007</v>
      </c>
      <c r="G3061" s="7" t="s">
        <v>25</v>
      </c>
      <c r="H3061" s="1">
        <f t="shared" si="47"/>
        <v>0.32215298076923082</v>
      </c>
    </row>
    <row r="3062" spans="1:8" x14ac:dyDescent="0.25">
      <c r="A3062" s="1" t="s">
        <v>12</v>
      </c>
      <c r="B3062" s="1" t="s">
        <v>13</v>
      </c>
      <c r="C3062" s="6">
        <v>37500</v>
      </c>
      <c r="D3062" s="6">
        <v>52063.47</v>
      </c>
      <c r="E3062" s="6">
        <v>52063.47</v>
      </c>
      <c r="F3062" s="6">
        <v>52063.47</v>
      </c>
      <c r="G3062" s="7" t="s">
        <v>25</v>
      </c>
      <c r="H3062" s="1">
        <f t="shared" si="47"/>
        <v>1.3883592</v>
      </c>
    </row>
    <row r="3063" spans="1:8" x14ac:dyDescent="0.25">
      <c r="A3063" s="1" t="s">
        <v>12</v>
      </c>
      <c r="B3063" s="1" t="s">
        <v>13</v>
      </c>
      <c r="C3063" s="6">
        <v>37500</v>
      </c>
      <c r="D3063" s="6">
        <v>0</v>
      </c>
      <c r="E3063" s="6">
        <v>0</v>
      </c>
      <c r="F3063" s="6">
        <v>0</v>
      </c>
      <c r="G3063" s="7" t="s">
        <v>25</v>
      </c>
      <c r="H3063" s="1">
        <f t="shared" si="47"/>
        <v>0</v>
      </c>
    </row>
    <row r="3064" spans="1:8" x14ac:dyDescent="0.25">
      <c r="A3064" s="1" t="s">
        <v>12</v>
      </c>
      <c r="B3064" s="1" t="s">
        <v>13</v>
      </c>
      <c r="C3064" s="6">
        <v>353000</v>
      </c>
      <c r="D3064" s="6">
        <v>0</v>
      </c>
      <c r="E3064" s="6">
        <v>0</v>
      </c>
      <c r="F3064" s="6">
        <v>0</v>
      </c>
      <c r="G3064" s="7" t="s">
        <v>25</v>
      </c>
      <c r="H3064" s="1">
        <f t="shared" si="47"/>
        <v>0</v>
      </c>
    </row>
    <row r="3065" spans="1:8" x14ac:dyDescent="0.25">
      <c r="A3065" s="1" t="s">
        <v>12</v>
      </c>
      <c r="B3065" s="1" t="s">
        <v>13</v>
      </c>
      <c r="C3065" s="6">
        <v>5750</v>
      </c>
      <c r="D3065" s="6">
        <v>0</v>
      </c>
      <c r="E3065" s="6">
        <v>0</v>
      </c>
      <c r="F3065" s="6">
        <v>0</v>
      </c>
      <c r="G3065" s="7" t="s">
        <v>25</v>
      </c>
      <c r="H3065" s="1">
        <f t="shared" si="47"/>
        <v>0</v>
      </c>
    </row>
    <row r="3066" spans="1:8" x14ac:dyDescent="0.25">
      <c r="A3066" s="1" t="s">
        <v>12</v>
      </c>
      <c r="B3066" s="1" t="s">
        <v>13</v>
      </c>
      <c r="C3066" s="6">
        <v>100401</v>
      </c>
      <c r="D3066" s="6">
        <v>0</v>
      </c>
      <c r="E3066" s="6">
        <v>0</v>
      </c>
      <c r="F3066" s="6">
        <v>0</v>
      </c>
      <c r="G3066" s="7" t="s">
        <v>25</v>
      </c>
      <c r="H3066" s="1">
        <f t="shared" si="47"/>
        <v>0</v>
      </c>
    </row>
    <row r="3067" spans="1:8" x14ac:dyDescent="0.25">
      <c r="A3067" s="1" t="s">
        <v>12</v>
      </c>
      <c r="B3067" s="1" t="s">
        <v>13</v>
      </c>
      <c r="C3067" s="6">
        <v>100000</v>
      </c>
      <c r="D3067" s="6">
        <v>0</v>
      </c>
      <c r="E3067" s="6">
        <v>0</v>
      </c>
      <c r="F3067" s="6">
        <v>0</v>
      </c>
      <c r="G3067" s="7" t="s">
        <v>25</v>
      </c>
      <c r="H3067" s="1">
        <f t="shared" si="47"/>
        <v>0</v>
      </c>
    </row>
    <row r="3068" spans="1:8" x14ac:dyDescent="0.25">
      <c r="A3068" s="1" t="s">
        <v>12</v>
      </c>
      <c r="B3068" s="1" t="s">
        <v>14</v>
      </c>
      <c r="C3068" s="6">
        <v>3954049</v>
      </c>
      <c r="D3068" s="6">
        <v>1793064.91</v>
      </c>
      <c r="E3068" s="6">
        <v>1604486.16</v>
      </c>
      <c r="F3068" s="6">
        <v>1604486.16</v>
      </c>
      <c r="G3068" s="7" t="s">
        <v>25</v>
      </c>
      <c r="H3068" s="1">
        <f t="shared" si="47"/>
        <v>0.45347564230994608</v>
      </c>
    </row>
    <row r="3069" spans="1:8" x14ac:dyDescent="0.25">
      <c r="A3069" s="1" t="s">
        <v>12</v>
      </c>
      <c r="B3069" s="1" t="s">
        <v>14</v>
      </c>
      <c r="C3069" s="6">
        <v>150000</v>
      </c>
      <c r="D3069" s="6">
        <v>0</v>
      </c>
      <c r="E3069" s="6">
        <v>0</v>
      </c>
      <c r="F3069" s="6">
        <v>0</v>
      </c>
      <c r="G3069" s="7" t="s">
        <v>25</v>
      </c>
      <c r="H3069" s="1">
        <f t="shared" si="47"/>
        <v>0</v>
      </c>
    </row>
    <row r="3070" spans="1:8" x14ac:dyDescent="0.25">
      <c r="A3070" s="1" t="s">
        <v>12</v>
      </c>
      <c r="B3070" s="1" t="s">
        <v>14</v>
      </c>
      <c r="C3070" s="6">
        <v>1672595</v>
      </c>
      <c r="D3070" s="6">
        <v>106505.35</v>
      </c>
      <c r="E3070" s="6">
        <v>106505.35</v>
      </c>
      <c r="F3070" s="6">
        <v>106505.35</v>
      </c>
      <c r="G3070" s="7" t="s">
        <v>25</v>
      </c>
      <c r="H3070" s="1">
        <f t="shared" si="47"/>
        <v>6.367671193564492E-2</v>
      </c>
    </row>
    <row r="3071" spans="1:8" x14ac:dyDescent="0.25">
      <c r="A3071" s="1" t="s">
        <v>12</v>
      </c>
      <c r="B3071" s="1" t="s">
        <v>14</v>
      </c>
      <c r="C3071" s="6">
        <v>6540657</v>
      </c>
      <c r="D3071" s="6">
        <v>7384515.5099999998</v>
      </c>
      <c r="E3071" s="6">
        <v>6681965.5099999998</v>
      </c>
      <c r="F3071" s="6">
        <v>6681965.5099999998</v>
      </c>
      <c r="G3071" s="7" t="s">
        <v>25</v>
      </c>
      <c r="H3071" s="1">
        <f t="shared" si="47"/>
        <v>1.1290173922894902</v>
      </c>
    </row>
    <row r="3072" spans="1:8" x14ac:dyDescent="0.25">
      <c r="A3072" s="1" t="s">
        <v>12</v>
      </c>
      <c r="B3072" s="1" t="s">
        <v>14</v>
      </c>
      <c r="C3072" s="6">
        <v>771047</v>
      </c>
      <c r="D3072" s="6">
        <v>623371.79</v>
      </c>
      <c r="E3072" s="6">
        <v>566976.74</v>
      </c>
      <c r="F3072" s="6">
        <v>566976.74</v>
      </c>
      <c r="G3072" s="7" t="s">
        <v>25</v>
      </c>
      <c r="H3072" s="1">
        <f t="shared" si="47"/>
        <v>0.80847443800442775</v>
      </c>
    </row>
    <row r="3073" spans="1:8" x14ac:dyDescent="0.25">
      <c r="A3073" s="1" t="s">
        <v>12</v>
      </c>
      <c r="B3073" s="1" t="s">
        <v>14</v>
      </c>
      <c r="C3073" s="6">
        <v>23607927</v>
      </c>
      <c r="D3073" s="6">
        <v>22088326.510000002</v>
      </c>
      <c r="E3073" s="6">
        <v>20264514.68</v>
      </c>
      <c r="F3073" s="6">
        <v>20264514.68</v>
      </c>
      <c r="G3073" s="7" t="s">
        <v>25</v>
      </c>
      <c r="H3073" s="1">
        <f t="shared" si="47"/>
        <v>0.9356317693628925</v>
      </c>
    </row>
    <row r="3074" spans="1:8" x14ac:dyDescent="0.25">
      <c r="A3074" s="1" t="s">
        <v>12</v>
      </c>
      <c r="B3074" s="1" t="s">
        <v>14</v>
      </c>
      <c r="C3074" s="6">
        <v>1798750</v>
      </c>
      <c r="D3074" s="6">
        <v>1578573.68</v>
      </c>
      <c r="E3074" s="6">
        <v>1439992.95</v>
      </c>
      <c r="F3074" s="6">
        <v>1388958.21</v>
      </c>
      <c r="G3074" s="7" t="s">
        <v>25</v>
      </c>
      <c r="H3074" s="1">
        <f t="shared" ref="H3074:H3133" si="48">IF(OR(ISNA($D3074),ISNA($C3074),$C3074=0),0,$D3074/$C3074)</f>
        <v>0.87759481862404443</v>
      </c>
    </row>
    <row r="3075" spans="1:8" x14ac:dyDescent="0.25">
      <c r="A3075" s="1" t="s">
        <v>12</v>
      </c>
      <c r="B3075" s="1" t="s">
        <v>14</v>
      </c>
      <c r="C3075" s="6">
        <v>9364273</v>
      </c>
      <c r="D3075" s="6">
        <v>6224548.3600000003</v>
      </c>
      <c r="E3075" s="6">
        <v>5798550.3300000001</v>
      </c>
      <c r="F3075" s="6">
        <v>5798550.3300000001</v>
      </c>
      <c r="G3075" s="7" t="s">
        <v>25</v>
      </c>
      <c r="H3075" s="1">
        <f t="shared" si="48"/>
        <v>0.66471239785512448</v>
      </c>
    </row>
    <row r="3076" spans="1:8" x14ac:dyDescent="0.25">
      <c r="A3076" s="1" t="s">
        <v>12</v>
      </c>
      <c r="B3076" s="1" t="s">
        <v>14</v>
      </c>
      <c r="C3076" s="6">
        <v>31868713</v>
      </c>
      <c r="D3076" s="6">
        <v>29282237.02</v>
      </c>
      <c r="E3076" s="6">
        <v>28566697.989999998</v>
      </c>
      <c r="F3076" s="6">
        <v>28356132.77</v>
      </c>
      <c r="G3076" s="7" t="s">
        <v>25</v>
      </c>
      <c r="H3076" s="1">
        <f t="shared" si="48"/>
        <v>0.9188396475251448</v>
      </c>
    </row>
    <row r="3077" spans="1:8" x14ac:dyDescent="0.25">
      <c r="A3077" s="1" t="s">
        <v>12</v>
      </c>
      <c r="B3077" s="1" t="s">
        <v>14</v>
      </c>
      <c r="C3077" s="6">
        <v>10554088</v>
      </c>
      <c r="D3077" s="6">
        <v>1416692.11</v>
      </c>
      <c r="E3077" s="6">
        <v>1416692.11</v>
      </c>
      <c r="F3077" s="6">
        <v>1359531.68</v>
      </c>
      <c r="G3077" s="7" t="s">
        <v>25</v>
      </c>
      <c r="H3077" s="1">
        <f t="shared" si="48"/>
        <v>0.13423159916801908</v>
      </c>
    </row>
    <row r="3078" spans="1:8" x14ac:dyDescent="0.25">
      <c r="A3078" s="1" t="s">
        <v>12</v>
      </c>
      <c r="B3078" s="1" t="s">
        <v>14</v>
      </c>
      <c r="C3078" s="6">
        <v>2004246</v>
      </c>
      <c r="D3078" s="6">
        <v>1435835.74</v>
      </c>
      <c r="E3078" s="6">
        <v>1427091.93</v>
      </c>
      <c r="F3078" s="6">
        <v>1113235.22</v>
      </c>
      <c r="G3078" s="7" t="s">
        <v>25</v>
      </c>
      <c r="H3078" s="1">
        <f t="shared" si="48"/>
        <v>0.71639695925550062</v>
      </c>
    </row>
    <row r="3079" spans="1:8" x14ac:dyDescent="0.25">
      <c r="A3079" s="1" t="s">
        <v>12</v>
      </c>
      <c r="B3079" s="1" t="s">
        <v>14</v>
      </c>
      <c r="C3079" s="6">
        <v>25163097</v>
      </c>
      <c r="D3079" s="6">
        <v>22107301.329999998</v>
      </c>
      <c r="E3079" s="6">
        <v>20832099.559999999</v>
      </c>
      <c r="F3079" s="6">
        <v>20832099.559999999</v>
      </c>
      <c r="G3079" s="7" t="s">
        <v>25</v>
      </c>
      <c r="H3079" s="1">
        <f t="shared" si="48"/>
        <v>0.87856043037945597</v>
      </c>
    </row>
    <row r="3080" spans="1:8" x14ac:dyDescent="0.25">
      <c r="A3080" s="1" t="s">
        <v>12</v>
      </c>
      <c r="B3080" s="1" t="s">
        <v>14</v>
      </c>
      <c r="C3080" s="6">
        <v>2500</v>
      </c>
      <c r="D3080" s="6">
        <v>0</v>
      </c>
      <c r="E3080" s="6">
        <v>0</v>
      </c>
      <c r="F3080" s="6">
        <v>0</v>
      </c>
      <c r="G3080" s="7" t="s">
        <v>25</v>
      </c>
      <c r="H3080" s="1">
        <f t="shared" si="48"/>
        <v>0</v>
      </c>
    </row>
    <row r="3081" spans="1:8" x14ac:dyDescent="0.25">
      <c r="A3081" s="1" t="s">
        <v>12</v>
      </c>
      <c r="B3081" s="1" t="s">
        <v>14</v>
      </c>
      <c r="C3081" s="6">
        <v>510842</v>
      </c>
      <c r="D3081" s="6">
        <v>332938.40999999997</v>
      </c>
      <c r="E3081" s="6">
        <v>306910.8</v>
      </c>
      <c r="F3081" s="6">
        <v>296747.51</v>
      </c>
      <c r="G3081" s="7" t="s">
        <v>25</v>
      </c>
      <c r="H3081" s="1">
        <f t="shared" si="48"/>
        <v>0.65174439454860789</v>
      </c>
    </row>
    <row r="3082" spans="1:8" x14ac:dyDescent="0.25">
      <c r="A3082" s="1" t="s">
        <v>12</v>
      </c>
      <c r="B3082" s="1" t="s">
        <v>14</v>
      </c>
      <c r="C3082" s="6">
        <v>6502741</v>
      </c>
      <c r="D3082" s="6">
        <v>2568375.23</v>
      </c>
      <c r="E3082" s="6">
        <v>2558355.2999999998</v>
      </c>
      <c r="F3082" s="6">
        <v>2482888.9300000002</v>
      </c>
      <c r="G3082" s="7" t="s">
        <v>25</v>
      </c>
      <c r="H3082" s="1">
        <f t="shared" si="48"/>
        <v>0.3949680957614643</v>
      </c>
    </row>
    <row r="3083" spans="1:8" x14ac:dyDescent="0.25">
      <c r="A3083" s="1" t="s">
        <v>12</v>
      </c>
      <c r="B3083" s="1" t="s">
        <v>14</v>
      </c>
      <c r="C3083" s="6">
        <v>112673280</v>
      </c>
      <c r="D3083" s="6">
        <v>8586492.2799999993</v>
      </c>
      <c r="E3083" s="6">
        <v>8420717.7300000004</v>
      </c>
      <c r="F3083" s="6">
        <v>5891408.0899999999</v>
      </c>
      <c r="G3083" s="7" t="s">
        <v>25</v>
      </c>
      <c r="H3083" s="1">
        <f t="shared" si="48"/>
        <v>7.6206996725399309E-2</v>
      </c>
    </row>
    <row r="3084" spans="1:8" x14ac:dyDescent="0.25">
      <c r="A3084" s="1" t="s">
        <v>12</v>
      </c>
      <c r="B3084" s="1" t="s">
        <v>14</v>
      </c>
      <c r="C3084" s="6">
        <v>283678</v>
      </c>
      <c r="D3084" s="6">
        <v>201822.2</v>
      </c>
      <c r="E3084" s="6">
        <v>201822.2</v>
      </c>
      <c r="F3084" s="6">
        <v>197464.92</v>
      </c>
      <c r="G3084" s="7" t="s">
        <v>25</v>
      </c>
      <c r="H3084" s="1">
        <f t="shared" si="48"/>
        <v>0.71144819125910363</v>
      </c>
    </row>
    <row r="3085" spans="1:8" x14ac:dyDescent="0.25">
      <c r="A3085" s="1" t="s">
        <v>12</v>
      </c>
      <c r="B3085" s="1" t="s">
        <v>14</v>
      </c>
      <c r="C3085" s="6">
        <v>11186679</v>
      </c>
      <c r="D3085" s="6">
        <v>801551.88</v>
      </c>
      <c r="E3085" s="6">
        <v>772647.37</v>
      </c>
      <c r="F3085" s="6">
        <v>740805.45</v>
      </c>
      <c r="G3085" s="7" t="s">
        <v>25</v>
      </c>
      <c r="H3085" s="1">
        <f t="shared" si="48"/>
        <v>7.1652353660992693E-2</v>
      </c>
    </row>
    <row r="3086" spans="1:8" x14ac:dyDescent="0.25">
      <c r="A3086" s="1" t="s">
        <v>12</v>
      </c>
      <c r="B3086" s="1" t="s">
        <v>14</v>
      </c>
      <c r="C3086" s="6">
        <v>16250</v>
      </c>
      <c r="D3086" s="6">
        <v>0</v>
      </c>
      <c r="E3086" s="6">
        <v>0</v>
      </c>
      <c r="F3086" s="6">
        <v>0</v>
      </c>
      <c r="G3086" s="7" t="s">
        <v>25</v>
      </c>
      <c r="H3086" s="1">
        <f t="shared" si="48"/>
        <v>0</v>
      </c>
    </row>
    <row r="3087" spans="1:8" x14ac:dyDescent="0.25">
      <c r="A3087" s="1" t="s">
        <v>12</v>
      </c>
      <c r="B3087" s="1" t="s">
        <v>15</v>
      </c>
      <c r="C3087" s="6">
        <v>8642050</v>
      </c>
      <c r="D3087" s="6">
        <v>7498750.4699999997</v>
      </c>
      <c r="E3087" s="6">
        <v>6310650.71</v>
      </c>
      <c r="F3087" s="6">
        <v>5996497.8200000003</v>
      </c>
      <c r="G3087" s="7" t="s">
        <v>25</v>
      </c>
      <c r="H3087" s="1">
        <f t="shared" si="48"/>
        <v>0.86770505493488237</v>
      </c>
    </row>
    <row r="3088" spans="1:8" x14ac:dyDescent="0.25">
      <c r="A3088" s="1" t="s">
        <v>12</v>
      </c>
      <c r="B3088" s="1" t="s">
        <v>15</v>
      </c>
      <c r="C3088" s="6">
        <v>28065250</v>
      </c>
      <c r="D3088" s="6">
        <v>25892418.809999999</v>
      </c>
      <c r="E3088" s="6">
        <v>25892418.809999999</v>
      </c>
      <c r="F3088" s="6">
        <v>25892418.809999999</v>
      </c>
      <c r="G3088" s="7" t="s">
        <v>25</v>
      </c>
      <c r="H3088" s="1">
        <f t="shared" si="48"/>
        <v>0.92257930394348875</v>
      </c>
    </row>
    <row r="3089" spans="1:8" x14ac:dyDescent="0.25">
      <c r="A3089" s="1" t="s">
        <v>12</v>
      </c>
      <c r="B3089" s="1" t="s">
        <v>15</v>
      </c>
      <c r="C3089" s="6">
        <v>2821600</v>
      </c>
      <c r="D3089" s="6">
        <v>319849.77</v>
      </c>
      <c r="E3089" s="6">
        <v>271732.42</v>
      </c>
      <c r="F3089" s="6">
        <v>211988.3</v>
      </c>
      <c r="G3089" s="7" t="s">
        <v>25</v>
      </c>
      <c r="H3089" s="1">
        <f t="shared" si="48"/>
        <v>0.11335758789339383</v>
      </c>
    </row>
    <row r="3090" spans="1:8" x14ac:dyDescent="0.25">
      <c r="A3090" s="1" t="s">
        <v>12</v>
      </c>
      <c r="B3090" s="1" t="s">
        <v>15</v>
      </c>
      <c r="C3090" s="6">
        <v>115000</v>
      </c>
      <c r="D3090" s="6">
        <v>0</v>
      </c>
      <c r="E3090" s="6">
        <v>0</v>
      </c>
      <c r="F3090" s="6">
        <v>0</v>
      </c>
      <c r="G3090" s="7" t="s">
        <v>25</v>
      </c>
      <c r="H3090" s="1">
        <f t="shared" si="48"/>
        <v>0</v>
      </c>
    </row>
    <row r="3091" spans="1:8" x14ac:dyDescent="0.25">
      <c r="A3091" s="1" t="s">
        <v>12</v>
      </c>
      <c r="B3091" s="1" t="s">
        <v>15</v>
      </c>
      <c r="C3091" s="6">
        <v>1427500</v>
      </c>
      <c r="D3091" s="6">
        <v>386587.5</v>
      </c>
      <c r="E3091" s="6">
        <v>325373.84999999998</v>
      </c>
      <c r="F3091" s="6">
        <v>288463.59999999998</v>
      </c>
      <c r="G3091" s="7" t="s">
        <v>25</v>
      </c>
      <c r="H3091" s="1">
        <f t="shared" si="48"/>
        <v>0.27081436077057791</v>
      </c>
    </row>
    <row r="3092" spans="1:8" x14ac:dyDescent="0.25">
      <c r="A3092" s="1" t="s">
        <v>12</v>
      </c>
      <c r="B3092" s="1" t="s">
        <v>15</v>
      </c>
      <c r="C3092" s="6">
        <v>206822</v>
      </c>
      <c r="D3092" s="6">
        <v>780640.51</v>
      </c>
      <c r="E3092" s="6">
        <v>780640.51</v>
      </c>
      <c r="F3092" s="6">
        <v>780640.51</v>
      </c>
      <c r="G3092" s="7" t="s">
        <v>25</v>
      </c>
      <c r="H3092" s="1">
        <f t="shared" si="48"/>
        <v>3.7744558605951011</v>
      </c>
    </row>
    <row r="3093" spans="1:8" x14ac:dyDescent="0.25">
      <c r="A3093" s="1" t="s">
        <v>12</v>
      </c>
      <c r="B3093" s="1" t="s">
        <v>15</v>
      </c>
      <c r="C3093" s="6">
        <v>375000</v>
      </c>
      <c r="D3093" s="6">
        <v>0</v>
      </c>
      <c r="E3093" s="6">
        <v>0</v>
      </c>
      <c r="F3093" s="6">
        <v>0</v>
      </c>
      <c r="G3093" s="7" t="s">
        <v>25</v>
      </c>
      <c r="H3093" s="1">
        <f t="shared" si="48"/>
        <v>0</v>
      </c>
    </row>
    <row r="3094" spans="1:8" x14ac:dyDescent="0.25">
      <c r="A3094" s="1" t="s">
        <v>12</v>
      </c>
      <c r="B3094" s="1" t="s">
        <v>15</v>
      </c>
      <c r="C3094" s="6">
        <v>183750</v>
      </c>
      <c r="D3094" s="6">
        <v>71125</v>
      </c>
      <c r="E3094" s="6">
        <v>71125</v>
      </c>
      <c r="F3094" s="6">
        <v>71125</v>
      </c>
      <c r="G3094" s="7" t="s">
        <v>25</v>
      </c>
      <c r="H3094" s="1">
        <f t="shared" si="48"/>
        <v>0.38707482993197279</v>
      </c>
    </row>
    <row r="3095" spans="1:8" x14ac:dyDescent="0.25">
      <c r="A3095" s="1" t="s">
        <v>12</v>
      </c>
      <c r="B3095" s="1" t="s">
        <v>15</v>
      </c>
      <c r="C3095" s="6">
        <v>34448798</v>
      </c>
      <c r="D3095" s="6">
        <v>26924451.129999999</v>
      </c>
      <c r="E3095" s="6">
        <v>22134677.809999999</v>
      </c>
      <c r="F3095" s="6">
        <v>17551872.460000001</v>
      </c>
      <c r="G3095" s="7" t="s">
        <v>25</v>
      </c>
      <c r="H3095" s="1">
        <f t="shared" si="48"/>
        <v>0.78157882693033287</v>
      </c>
    </row>
    <row r="3096" spans="1:8" x14ac:dyDescent="0.25">
      <c r="A3096" s="1" t="s">
        <v>12</v>
      </c>
      <c r="B3096" s="1" t="s">
        <v>15</v>
      </c>
      <c r="C3096" s="6">
        <v>1103050</v>
      </c>
      <c r="D3096" s="6">
        <v>18629.78</v>
      </c>
      <c r="E3096" s="6">
        <v>8009.84</v>
      </c>
      <c r="F3096" s="6">
        <v>0</v>
      </c>
      <c r="G3096" s="7" t="s">
        <v>25</v>
      </c>
      <c r="H3096" s="1">
        <f t="shared" si="48"/>
        <v>1.6889334119033587E-2</v>
      </c>
    </row>
    <row r="3097" spans="1:8" x14ac:dyDescent="0.25">
      <c r="A3097" s="1" t="s">
        <v>12</v>
      </c>
      <c r="B3097" s="1" t="s">
        <v>15</v>
      </c>
      <c r="C3097" s="6">
        <v>74856500</v>
      </c>
      <c r="D3097" s="6">
        <v>73991524.829999998</v>
      </c>
      <c r="E3097" s="6">
        <v>72961781.819999993</v>
      </c>
      <c r="F3097" s="6">
        <v>72833774.719999999</v>
      </c>
      <c r="G3097" s="7" t="s">
        <v>25</v>
      </c>
      <c r="H3097" s="1">
        <f t="shared" si="48"/>
        <v>0.98844488895419902</v>
      </c>
    </row>
    <row r="3098" spans="1:8" x14ac:dyDescent="0.25">
      <c r="A3098" s="1" t="s">
        <v>12</v>
      </c>
      <c r="B3098" s="1" t="s">
        <v>15</v>
      </c>
      <c r="C3098" s="6">
        <v>131553000</v>
      </c>
      <c r="D3098" s="6">
        <v>123919578.59</v>
      </c>
      <c r="E3098" s="6">
        <v>123919578.59</v>
      </c>
      <c r="F3098" s="6">
        <v>123919578.59</v>
      </c>
      <c r="G3098" s="7" t="s">
        <v>25</v>
      </c>
      <c r="H3098" s="1">
        <f t="shared" si="48"/>
        <v>0.94197455466618019</v>
      </c>
    </row>
    <row r="3099" spans="1:8" x14ac:dyDescent="0.25">
      <c r="A3099" s="1" t="s">
        <v>12</v>
      </c>
      <c r="B3099" s="1" t="s">
        <v>15</v>
      </c>
      <c r="C3099" s="6">
        <v>18196025</v>
      </c>
      <c r="D3099" s="6">
        <v>1333373.52</v>
      </c>
      <c r="E3099" s="6">
        <v>1300370.3500000001</v>
      </c>
      <c r="F3099" s="6">
        <v>1136573.56</v>
      </c>
      <c r="G3099" s="7" t="s">
        <v>25</v>
      </c>
      <c r="H3099" s="1">
        <f t="shared" si="48"/>
        <v>7.3278285779449087E-2</v>
      </c>
    </row>
    <row r="3100" spans="1:8" x14ac:dyDescent="0.25">
      <c r="A3100" s="1" t="s">
        <v>12</v>
      </c>
      <c r="B3100" s="1" t="s">
        <v>15</v>
      </c>
      <c r="C3100" s="6">
        <v>262594</v>
      </c>
      <c r="D3100" s="6">
        <v>41848.400000000001</v>
      </c>
      <c r="E3100" s="6">
        <v>28940.25</v>
      </c>
      <c r="F3100" s="6">
        <v>22440.25</v>
      </c>
      <c r="G3100" s="7" t="s">
        <v>25</v>
      </c>
      <c r="H3100" s="1">
        <f t="shared" si="48"/>
        <v>0.15936540819668385</v>
      </c>
    </row>
    <row r="3101" spans="1:8" x14ac:dyDescent="0.25">
      <c r="A3101" s="1" t="s">
        <v>12</v>
      </c>
      <c r="B3101" s="1" t="s">
        <v>15</v>
      </c>
      <c r="C3101" s="6">
        <v>141750</v>
      </c>
      <c r="D3101" s="6">
        <v>0</v>
      </c>
      <c r="E3101" s="6">
        <v>0</v>
      </c>
      <c r="F3101" s="6">
        <v>0</v>
      </c>
      <c r="G3101" s="7" t="s">
        <v>25</v>
      </c>
      <c r="H3101" s="1">
        <f t="shared" si="48"/>
        <v>0</v>
      </c>
    </row>
    <row r="3102" spans="1:8" x14ac:dyDescent="0.25">
      <c r="A3102" s="1" t="s">
        <v>12</v>
      </c>
      <c r="B3102" s="1" t="s">
        <v>15</v>
      </c>
      <c r="C3102" s="6">
        <v>3907459</v>
      </c>
      <c r="D3102" s="6">
        <v>3581630.48</v>
      </c>
      <c r="E3102" s="6">
        <v>3544018.88</v>
      </c>
      <c r="F3102" s="6">
        <v>3500304.34</v>
      </c>
      <c r="G3102" s="7" t="s">
        <v>25</v>
      </c>
      <c r="H3102" s="1">
        <f t="shared" si="48"/>
        <v>0.91661370727114477</v>
      </c>
    </row>
    <row r="3103" spans="1:8" x14ac:dyDescent="0.25">
      <c r="A3103" s="1" t="s">
        <v>12</v>
      </c>
      <c r="B3103" s="1" t="s">
        <v>15</v>
      </c>
      <c r="C3103" s="6">
        <v>23593273</v>
      </c>
      <c r="D3103" s="6">
        <v>27365542.100000001</v>
      </c>
      <c r="E3103" s="6">
        <v>22935498.989999998</v>
      </c>
      <c r="F3103" s="6">
        <v>17423437.329999998</v>
      </c>
      <c r="G3103" s="7" t="s">
        <v>25</v>
      </c>
      <c r="H3103" s="1">
        <f t="shared" si="48"/>
        <v>1.1598874857252743</v>
      </c>
    </row>
    <row r="3104" spans="1:8" x14ac:dyDescent="0.25">
      <c r="A3104" s="1" t="s">
        <v>12</v>
      </c>
      <c r="B3104" s="1" t="s">
        <v>15</v>
      </c>
      <c r="C3104" s="6">
        <v>31416186</v>
      </c>
      <c r="D3104" s="6">
        <v>11827562.060000001</v>
      </c>
      <c r="E3104" s="6">
        <v>11827562.060000001</v>
      </c>
      <c r="F3104" s="6">
        <v>11649024.800000001</v>
      </c>
      <c r="G3104" s="7" t="s">
        <v>25</v>
      </c>
      <c r="H3104" s="1">
        <f t="shared" si="48"/>
        <v>0.37647988396809212</v>
      </c>
    </row>
    <row r="3105" spans="1:8" x14ac:dyDescent="0.25">
      <c r="A3105" s="1" t="s">
        <v>12</v>
      </c>
      <c r="B3105" s="1" t="s">
        <v>15</v>
      </c>
      <c r="C3105" s="6">
        <v>12696975</v>
      </c>
      <c r="D3105" s="6">
        <v>0</v>
      </c>
      <c r="E3105" s="6">
        <v>0</v>
      </c>
      <c r="F3105" s="6">
        <v>0</v>
      </c>
      <c r="G3105" s="7" t="s">
        <v>25</v>
      </c>
      <c r="H3105" s="1">
        <f t="shared" si="48"/>
        <v>0</v>
      </c>
    </row>
    <row r="3106" spans="1:8" x14ac:dyDescent="0.25">
      <c r="A3106" s="1" t="s">
        <v>12</v>
      </c>
      <c r="B3106" s="1" t="s">
        <v>15</v>
      </c>
      <c r="C3106" s="6">
        <v>17142909</v>
      </c>
      <c r="D3106" s="6">
        <v>15197268.130000001</v>
      </c>
      <c r="E3106" s="6">
        <v>14275524.09</v>
      </c>
      <c r="F3106" s="6">
        <v>13780030.300000001</v>
      </c>
      <c r="G3106" s="7" t="s">
        <v>25</v>
      </c>
      <c r="H3106" s="1">
        <f t="shared" si="48"/>
        <v>0.88650462590683998</v>
      </c>
    </row>
    <row r="3107" spans="1:8" x14ac:dyDescent="0.25">
      <c r="A3107" s="1" t="s">
        <v>12</v>
      </c>
      <c r="B3107" s="1" t="s">
        <v>15</v>
      </c>
      <c r="C3107" s="6">
        <v>13200000</v>
      </c>
      <c r="D3107" s="6">
        <v>0</v>
      </c>
      <c r="E3107" s="6">
        <v>0</v>
      </c>
      <c r="F3107" s="6">
        <v>0</v>
      </c>
      <c r="G3107" s="7" t="s">
        <v>25</v>
      </c>
      <c r="H3107" s="1">
        <f t="shared" si="48"/>
        <v>0</v>
      </c>
    </row>
    <row r="3108" spans="1:8" x14ac:dyDescent="0.25">
      <c r="A3108" s="1" t="s">
        <v>12</v>
      </c>
      <c r="B3108" s="1" t="s">
        <v>15</v>
      </c>
      <c r="C3108" s="6">
        <v>12364744</v>
      </c>
      <c r="D3108" s="6">
        <v>9676546.1400000006</v>
      </c>
      <c r="E3108" s="6">
        <v>8633507.2100000009</v>
      </c>
      <c r="F3108" s="6">
        <v>8154741.04</v>
      </c>
      <c r="G3108" s="7" t="s">
        <v>25</v>
      </c>
      <c r="H3108" s="1">
        <f t="shared" si="48"/>
        <v>0.78259170913688147</v>
      </c>
    </row>
    <row r="3109" spans="1:8" x14ac:dyDescent="0.25">
      <c r="A3109" s="1" t="s">
        <v>12</v>
      </c>
      <c r="B3109" s="1" t="s">
        <v>15</v>
      </c>
      <c r="C3109" s="6">
        <v>30027248</v>
      </c>
      <c r="D3109" s="6">
        <v>34130012.32</v>
      </c>
      <c r="E3109" s="6">
        <v>32051318.350000001</v>
      </c>
      <c r="F3109" s="6">
        <v>31576144.030000001</v>
      </c>
      <c r="G3109" s="7" t="s">
        <v>25</v>
      </c>
      <c r="H3109" s="1">
        <f t="shared" si="48"/>
        <v>1.1366347099141421</v>
      </c>
    </row>
    <row r="3110" spans="1:8" x14ac:dyDescent="0.25">
      <c r="A3110" s="1" t="s">
        <v>12</v>
      </c>
      <c r="B3110" s="1" t="s">
        <v>15</v>
      </c>
      <c r="C3110" s="6">
        <v>1752459</v>
      </c>
      <c r="D3110" s="6">
        <v>1354555.47</v>
      </c>
      <c r="E3110" s="6">
        <v>888861.36</v>
      </c>
      <c r="F3110" s="6">
        <v>767047.63</v>
      </c>
      <c r="G3110" s="7" t="s">
        <v>25</v>
      </c>
      <c r="H3110" s="1">
        <f t="shared" si="48"/>
        <v>0.77294559815664732</v>
      </c>
    </row>
    <row r="3111" spans="1:8" x14ac:dyDescent="0.25">
      <c r="A3111" s="1" t="s">
        <v>12</v>
      </c>
      <c r="B3111" s="1" t="s">
        <v>15</v>
      </c>
      <c r="C3111" s="6">
        <v>468219</v>
      </c>
      <c r="D3111" s="6">
        <v>418491.43</v>
      </c>
      <c r="E3111" s="6">
        <v>291139.46999999997</v>
      </c>
      <c r="F3111" s="6">
        <v>274647.49</v>
      </c>
      <c r="G3111" s="7" t="s">
        <v>25</v>
      </c>
      <c r="H3111" s="1">
        <f t="shared" si="48"/>
        <v>0.89379420741148907</v>
      </c>
    </row>
    <row r="3112" spans="1:8" x14ac:dyDescent="0.25">
      <c r="A3112" s="1" t="s">
        <v>12</v>
      </c>
      <c r="B3112" s="1" t="s">
        <v>15</v>
      </c>
      <c r="C3112" s="6">
        <v>4600800</v>
      </c>
      <c r="D3112" s="6">
        <v>264989.11</v>
      </c>
      <c r="E3112" s="6">
        <v>127787.24</v>
      </c>
      <c r="F3112" s="6">
        <v>101888.35</v>
      </c>
      <c r="G3112" s="7" t="s">
        <v>25</v>
      </c>
      <c r="H3112" s="1">
        <f t="shared" si="48"/>
        <v>5.7596311511041554E-2</v>
      </c>
    </row>
    <row r="3113" spans="1:8" x14ac:dyDescent="0.25">
      <c r="A3113" s="1" t="s">
        <v>12</v>
      </c>
      <c r="B3113" s="1" t="s">
        <v>15</v>
      </c>
      <c r="C3113" s="6">
        <v>1373975</v>
      </c>
      <c r="D3113" s="6">
        <v>462411.1</v>
      </c>
      <c r="E3113" s="6">
        <v>246195.13</v>
      </c>
      <c r="F3113" s="6">
        <v>223653.06</v>
      </c>
      <c r="G3113" s="7" t="s">
        <v>25</v>
      </c>
      <c r="H3113" s="1">
        <f t="shared" si="48"/>
        <v>0.33654986444440399</v>
      </c>
    </row>
    <row r="3114" spans="1:8" x14ac:dyDescent="0.25">
      <c r="A3114" s="1" t="s">
        <v>12</v>
      </c>
      <c r="B3114" s="1" t="s">
        <v>15</v>
      </c>
      <c r="C3114" s="6">
        <v>2491250</v>
      </c>
      <c r="D3114" s="6">
        <v>2972724.11</v>
      </c>
      <c r="E3114" s="6">
        <v>2712234.89</v>
      </c>
      <c r="F3114" s="6">
        <v>2511726.88</v>
      </c>
      <c r="G3114" s="7" t="s">
        <v>25</v>
      </c>
      <c r="H3114" s="1">
        <f t="shared" si="48"/>
        <v>1.1932660752634219</v>
      </c>
    </row>
    <row r="3115" spans="1:8" x14ac:dyDescent="0.25">
      <c r="A3115" s="1" t="s">
        <v>12</v>
      </c>
      <c r="B3115" s="1" t="s">
        <v>15</v>
      </c>
      <c r="C3115" s="6">
        <v>1199975</v>
      </c>
      <c r="D3115" s="6">
        <v>1026129.3</v>
      </c>
      <c r="E3115" s="6">
        <v>868114.35</v>
      </c>
      <c r="F3115" s="6">
        <v>630123.28</v>
      </c>
      <c r="G3115" s="7" t="s">
        <v>25</v>
      </c>
      <c r="H3115" s="1">
        <f t="shared" si="48"/>
        <v>0.85512556511593996</v>
      </c>
    </row>
    <row r="3116" spans="1:8" x14ac:dyDescent="0.25">
      <c r="A3116" s="1" t="s">
        <v>12</v>
      </c>
      <c r="B3116" s="1" t="s">
        <v>15</v>
      </c>
      <c r="C3116" s="6">
        <v>1484350</v>
      </c>
      <c r="D3116" s="6">
        <v>1441923.91</v>
      </c>
      <c r="E3116" s="6">
        <v>914370.52</v>
      </c>
      <c r="F3116" s="6">
        <v>584242.31000000006</v>
      </c>
      <c r="G3116" s="7" t="s">
        <v>25</v>
      </c>
      <c r="H3116" s="1">
        <f t="shared" si="48"/>
        <v>0.97141773166705958</v>
      </c>
    </row>
    <row r="3117" spans="1:8" x14ac:dyDescent="0.25">
      <c r="A3117" s="1" t="s">
        <v>12</v>
      </c>
      <c r="B3117" s="1" t="s">
        <v>15</v>
      </c>
      <c r="C3117" s="6">
        <v>81640000</v>
      </c>
      <c r="D3117" s="6">
        <v>79223476.650000006</v>
      </c>
      <c r="E3117" s="6">
        <v>78823806.209999993</v>
      </c>
      <c r="F3117" s="6">
        <v>74215022.810000002</v>
      </c>
      <c r="G3117" s="7" t="s">
        <v>25</v>
      </c>
      <c r="H3117" s="1">
        <f t="shared" si="48"/>
        <v>0.97040025293973553</v>
      </c>
    </row>
    <row r="3118" spans="1:8" x14ac:dyDescent="0.25">
      <c r="A3118" s="1" t="s">
        <v>12</v>
      </c>
      <c r="B3118" s="1" t="s">
        <v>15</v>
      </c>
      <c r="C3118" s="6">
        <v>1683000</v>
      </c>
      <c r="D3118" s="6">
        <v>437858.24</v>
      </c>
      <c r="E3118" s="6">
        <v>405006.04</v>
      </c>
      <c r="F3118" s="6">
        <v>326603.33</v>
      </c>
      <c r="G3118" s="7" t="s">
        <v>25</v>
      </c>
      <c r="H3118" s="1">
        <f t="shared" si="48"/>
        <v>0.26016532382650032</v>
      </c>
    </row>
    <row r="3119" spans="1:8" x14ac:dyDescent="0.25">
      <c r="A3119" s="1" t="s">
        <v>12</v>
      </c>
      <c r="B3119" s="1" t="s">
        <v>15</v>
      </c>
      <c r="C3119" s="6">
        <v>4393400</v>
      </c>
      <c r="D3119" s="6">
        <v>3163635.25</v>
      </c>
      <c r="E3119" s="6">
        <v>2779480.34</v>
      </c>
      <c r="F3119" s="6">
        <v>2336345.7599999998</v>
      </c>
      <c r="G3119" s="7" t="s">
        <v>25</v>
      </c>
      <c r="H3119" s="1">
        <f t="shared" si="48"/>
        <v>0.72008814357900486</v>
      </c>
    </row>
    <row r="3120" spans="1:8" x14ac:dyDescent="0.25">
      <c r="A3120" s="1" t="s">
        <v>12</v>
      </c>
      <c r="B3120" s="1" t="s">
        <v>15</v>
      </c>
      <c r="C3120" s="6">
        <v>17341850</v>
      </c>
      <c r="D3120" s="6">
        <v>16616383.41</v>
      </c>
      <c r="E3120" s="6">
        <v>14124363.02</v>
      </c>
      <c r="F3120" s="6">
        <v>11393793.960000001</v>
      </c>
      <c r="G3120" s="7" t="s">
        <v>25</v>
      </c>
      <c r="H3120" s="1">
        <f t="shared" si="48"/>
        <v>0.95816671289395305</v>
      </c>
    </row>
    <row r="3121" spans="1:8" x14ac:dyDescent="0.25">
      <c r="A3121" s="1" t="s">
        <v>12</v>
      </c>
      <c r="B3121" s="1" t="s">
        <v>15</v>
      </c>
      <c r="C3121" s="6">
        <v>38253884</v>
      </c>
      <c r="D3121" s="6">
        <v>3468087.62</v>
      </c>
      <c r="E3121" s="6">
        <v>3303311.64</v>
      </c>
      <c r="F3121" s="6">
        <v>3169072.33</v>
      </c>
      <c r="G3121" s="7" t="s">
        <v>25</v>
      </c>
      <c r="H3121" s="1">
        <f t="shared" si="48"/>
        <v>9.0659751569278565E-2</v>
      </c>
    </row>
    <row r="3122" spans="1:8" x14ac:dyDescent="0.25">
      <c r="A3122" s="1" t="s">
        <v>12</v>
      </c>
      <c r="B3122" s="1" t="s">
        <v>15</v>
      </c>
      <c r="C3122" s="6">
        <v>234465000</v>
      </c>
      <c r="D3122" s="6">
        <v>219471088.40000001</v>
      </c>
      <c r="E3122" s="6">
        <v>212681450.16</v>
      </c>
      <c r="F3122" s="6">
        <v>205909034.69999999</v>
      </c>
      <c r="G3122" s="7" t="s">
        <v>25</v>
      </c>
      <c r="H3122" s="1">
        <f t="shared" si="48"/>
        <v>0.93605053376836633</v>
      </c>
    </row>
    <row r="3123" spans="1:8" x14ac:dyDescent="0.25">
      <c r="A3123" s="1" t="s">
        <v>12</v>
      </c>
      <c r="B3123" s="1" t="s">
        <v>15</v>
      </c>
      <c r="C3123" s="6">
        <v>12870000</v>
      </c>
      <c r="D3123" s="6">
        <v>6335077.25</v>
      </c>
      <c r="E3123" s="6">
        <v>5773894.1500000004</v>
      </c>
      <c r="F3123" s="6">
        <v>4722331.2</v>
      </c>
      <c r="G3123" s="7" t="s">
        <v>25</v>
      </c>
      <c r="H3123" s="1">
        <f t="shared" si="48"/>
        <v>0.49223599456099454</v>
      </c>
    </row>
    <row r="3124" spans="1:8" x14ac:dyDescent="0.25">
      <c r="A3124" s="1" t="s">
        <v>12</v>
      </c>
      <c r="B3124" s="1" t="s">
        <v>15</v>
      </c>
      <c r="C3124" s="6">
        <v>68601108</v>
      </c>
      <c r="D3124" s="6">
        <v>58403660.369999997</v>
      </c>
      <c r="E3124" s="6">
        <v>56082411.710000001</v>
      </c>
      <c r="F3124" s="6">
        <v>54592219</v>
      </c>
      <c r="G3124" s="7" t="s">
        <v>25</v>
      </c>
      <c r="H3124" s="1">
        <f t="shared" si="48"/>
        <v>0.85135156082318664</v>
      </c>
    </row>
    <row r="3125" spans="1:8" x14ac:dyDescent="0.25">
      <c r="A3125" s="1" t="s">
        <v>12</v>
      </c>
      <c r="B3125" s="1" t="s">
        <v>15</v>
      </c>
      <c r="C3125" s="6">
        <v>7000000</v>
      </c>
      <c r="D3125" s="6">
        <v>3356878.02</v>
      </c>
      <c r="E3125" s="6">
        <v>1625870.81</v>
      </c>
      <c r="F3125" s="6">
        <v>1529332.38</v>
      </c>
      <c r="G3125" s="7" t="s">
        <v>25</v>
      </c>
      <c r="H3125" s="1">
        <f t="shared" si="48"/>
        <v>0.47955400285714284</v>
      </c>
    </row>
    <row r="3126" spans="1:8" x14ac:dyDescent="0.25">
      <c r="A3126" s="1" t="s">
        <v>12</v>
      </c>
      <c r="B3126" s="1" t="s">
        <v>15</v>
      </c>
      <c r="C3126" s="6">
        <v>116500</v>
      </c>
      <c r="D3126" s="6">
        <v>15178.81</v>
      </c>
      <c r="E3126" s="6">
        <v>6627.5</v>
      </c>
      <c r="F3126" s="6">
        <v>6565</v>
      </c>
      <c r="G3126" s="7" t="s">
        <v>25</v>
      </c>
      <c r="H3126" s="1">
        <f t="shared" si="48"/>
        <v>0.13029021459227466</v>
      </c>
    </row>
    <row r="3127" spans="1:8" x14ac:dyDescent="0.25">
      <c r="A3127" s="1" t="s">
        <v>12</v>
      </c>
      <c r="B3127" s="1" t="s">
        <v>15</v>
      </c>
      <c r="C3127" s="6">
        <v>5000</v>
      </c>
      <c r="D3127" s="6">
        <v>0</v>
      </c>
      <c r="E3127" s="6">
        <v>0</v>
      </c>
      <c r="F3127" s="6">
        <v>0</v>
      </c>
      <c r="G3127" s="7" t="s">
        <v>25</v>
      </c>
      <c r="H3127" s="1">
        <f t="shared" si="48"/>
        <v>0</v>
      </c>
    </row>
    <row r="3128" spans="1:8" x14ac:dyDescent="0.25">
      <c r="A3128" s="1" t="s">
        <v>12</v>
      </c>
      <c r="B3128" s="1" t="s">
        <v>15</v>
      </c>
      <c r="C3128" s="6">
        <v>2300000</v>
      </c>
      <c r="D3128" s="6">
        <v>898654.47</v>
      </c>
      <c r="E3128" s="6">
        <v>777406.27</v>
      </c>
      <c r="F3128" s="6">
        <v>177930.7</v>
      </c>
      <c r="G3128" s="7" t="s">
        <v>25</v>
      </c>
      <c r="H3128" s="1">
        <f t="shared" si="48"/>
        <v>0.39071933478260867</v>
      </c>
    </row>
    <row r="3129" spans="1:8" x14ac:dyDescent="0.25">
      <c r="A3129" s="1" t="s">
        <v>12</v>
      </c>
      <c r="B3129" s="1" t="s">
        <v>15</v>
      </c>
      <c r="C3129" s="6">
        <v>1200000</v>
      </c>
      <c r="D3129" s="6">
        <v>1289099.0900000001</v>
      </c>
      <c r="E3129" s="6">
        <v>982229.39</v>
      </c>
      <c r="F3129" s="6">
        <v>484979.77</v>
      </c>
      <c r="G3129" s="7" t="s">
        <v>25</v>
      </c>
      <c r="H3129" s="1">
        <f t="shared" si="48"/>
        <v>1.0742492416666667</v>
      </c>
    </row>
    <row r="3130" spans="1:8" x14ac:dyDescent="0.25">
      <c r="A3130" s="1" t="s">
        <v>12</v>
      </c>
      <c r="B3130" s="1" t="s">
        <v>15</v>
      </c>
      <c r="C3130" s="6">
        <v>12674842</v>
      </c>
      <c r="D3130" s="6">
        <v>3214754.12</v>
      </c>
      <c r="E3130" s="6">
        <v>3168700.37</v>
      </c>
      <c r="F3130" s="6">
        <v>3049692.5</v>
      </c>
      <c r="G3130" s="7" t="s">
        <v>25</v>
      </c>
      <c r="H3130" s="1">
        <f t="shared" si="48"/>
        <v>0.25363267802470441</v>
      </c>
    </row>
    <row r="3131" spans="1:8" x14ac:dyDescent="0.25">
      <c r="A3131" s="1" t="s">
        <v>12</v>
      </c>
      <c r="B3131" s="1" t="s">
        <v>15</v>
      </c>
      <c r="C3131" s="6">
        <v>512500</v>
      </c>
      <c r="D3131" s="6">
        <v>3392089.52</v>
      </c>
      <c r="E3131" s="6">
        <v>3085622.49</v>
      </c>
      <c r="F3131" s="6">
        <v>2238203.5099999998</v>
      </c>
      <c r="G3131" s="7" t="s">
        <v>25</v>
      </c>
      <c r="H3131" s="1">
        <f t="shared" si="48"/>
        <v>6.6187112585365853</v>
      </c>
    </row>
    <row r="3132" spans="1:8" x14ac:dyDescent="0.25">
      <c r="A3132" s="1" t="s">
        <v>12</v>
      </c>
      <c r="B3132" s="1" t="s">
        <v>15</v>
      </c>
      <c r="C3132" s="6">
        <v>956750</v>
      </c>
      <c r="D3132" s="6">
        <v>504352.56</v>
      </c>
      <c r="E3132" s="6">
        <v>447951.66</v>
      </c>
      <c r="F3132" s="6">
        <v>404007.87</v>
      </c>
      <c r="G3132" s="7" t="s">
        <v>25</v>
      </c>
      <c r="H3132" s="1">
        <f t="shared" si="48"/>
        <v>0.52715187875620595</v>
      </c>
    </row>
    <row r="3133" spans="1:8" x14ac:dyDescent="0.25">
      <c r="A3133" s="1" t="s">
        <v>12</v>
      </c>
      <c r="B3133" s="1" t="s">
        <v>15</v>
      </c>
      <c r="C3133" s="6">
        <v>694248</v>
      </c>
      <c r="D3133" s="6">
        <v>493770.68</v>
      </c>
      <c r="E3133" s="6">
        <v>480025.01</v>
      </c>
      <c r="F3133" s="6">
        <v>433665.26</v>
      </c>
      <c r="G3133" s="7" t="s">
        <v>25</v>
      </c>
      <c r="H3133" s="1">
        <f t="shared" si="48"/>
        <v>0.71123097221742082</v>
      </c>
    </row>
    <row r="3134" spans="1:8" x14ac:dyDescent="0.25">
      <c r="A3134" s="1" t="s">
        <v>7</v>
      </c>
      <c r="B3134" s="1" t="s">
        <v>8</v>
      </c>
      <c r="C3134" s="6">
        <v>950000</v>
      </c>
      <c r="D3134" s="6">
        <v>955947.54</v>
      </c>
      <c r="E3134" s="6">
        <v>955947.54</v>
      </c>
      <c r="F3134" s="6">
        <v>955947.54</v>
      </c>
      <c r="G3134" s="7" t="s">
        <v>26</v>
      </c>
      <c r="H3134" s="1">
        <f t="shared" ref="H3134:H3161" si="49">IF(OR(ISNA($D3134),ISNA($C3134),$C3134=0),0,$D3134/$C3134)</f>
        <v>1.0062605684210526</v>
      </c>
    </row>
    <row r="3135" spans="1:8" x14ac:dyDescent="0.25">
      <c r="A3135" s="1" t="s">
        <v>7</v>
      </c>
      <c r="B3135" s="1" t="s">
        <v>8</v>
      </c>
      <c r="C3135" s="6">
        <v>140000</v>
      </c>
      <c r="D3135" s="6">
        <v>36000</v>
      </c>
      <c r="E3135" s="6">
        <v>36000</v>
      </c>
      <c r="F3135" s="6">
        <v>33000</v>
      </c>
      <c r="G3135" s="7" t="s">
        <v>26</v>
      </c>
      <c r="H3135" s="1">
        <f t="shared" si="49"/>
        <v>0.25714285714285712</v>
      </c>
    </row>
    <row r="3136" spans="1:8" x14ac:dyDescent="0.25">
      <c r="A3136" s="1" t="s">
        <v>7</v>
      </c>
      <c r="B3136" s="1" t="s">
        <v>8</v>
      </c>
      <c r="C3136" s="6">
        <v>3750</v>
      </c>
      <c r="D3136" s="6">
        <v>1125</v>
      </c>
      <c r="E3136" s="6">
        <v>0</v>
      </c>
      <c r="F3136" s="6">
        <v>0</v>
      </c>
      <c r="G3136" s="7" t="s">
        <v>26</v>
      </c>
      <c r="H3136" s="1">
        <f t="shared" si="49"/>
        <v>0.3</v>
      </c>
    </row>
    <row r="3137" spans="1:8" x14ac:dyDescent="0.25">
      <c r="A3137" s="1" t="s">
        <v>7</v>
      </c>
      <c r="B3137" s="1" t="s">
        <v>8</v>
      </c>
      <c r="C3137" s="6">
        <v>24975</v>
      </c>
      <c r="D3137" s="6">
        <v>8916.1299999999992</v>
      </c>
      <c r="E3137" s="6">
        <v>4416.13</v>
      </c>
      <c r="F3137" s="6">
        <v>4416.13</v>
      </c>
      <c r="G3137" s="7" t="s">
        <v>26</v>
      </c>
      <c r="H3137" s="1">
        <f t="shared" si="49"/>
        <v>0.35700220220220219</v>
      </c>
    </row>
    <row r="3138" spans="1:8" x14ac:dyDescent="0.25">
      <c r="A3138" s="1" t="s">
        <v>7</v>
      </c>
      <c r="B3138" s="1" t="s">
        <v>8</v>
      </c>
      <c r="C3138" s="6">
        <v>64590.5</v>
      </c>
      <c r="D3138" s="6">
        <v>96244.93</v>
      </c>
      <c r="E3138" s="6">
        <v>62325.65</v>
      </c>
      <c r="F3138" s="6">
        <v>62325.65</v>
      </c>
      <c r="G3138" s="7" t="s">
        <v>26</v>
      </c>
      <c r="H3138" s="1">
        <f t="shared" si="49"/>
        <v>1.4900787267477413</v>
      </c>
    </row>
    <row r="3139" spans="1:8" x14ac:dyDescent="0.25">
      <c r="A3139" s="1" t="s">
        <v>7</v>
      </c>
      <c r="B3139" s="1" t="s">
        <v>8</v>
      </c>
      <c r="C3139" s="6">
        <v>6750</v>
      </c>
      <c r="D3139" s="6">
        <v>17189.63</v>
      </c>
      <c r="E3139" s="6">
        <v>17189.63</v>
      </c>
      <c r="F3139" s="6">
        <v>17189.63</v>
      </c>
      <c r="G3139" s="7" t="s">
        <v>26</v>
      </c>
      <c r="H3139" s="1">
        <f t="shared" si="49"/>
        <v>2.5466118518518521</v>
      </c>
    </row>
    <row r="3140" spans="1:8" x14ac:dyDescent="0.25">
      <c r="A3140" s="1" t="s">
        <v>7</v>
      </c>
      <c r="B3140" s="1" t="s">
        <v>8</v>
      </c>
      <c r="C3140" s="6">
        <v>179821</v>
      </c>
      <c r="D3140" s="6">
        <v>253275.67</v>
      </c>
      <c r="E3140" s="6">
        <v>166810.07999999999</v>
      </c>
      <c r="F3140" s="6">
        <v>88157.66</v>
      </c>
      <c r="G3140" s="7" t="s">
        <v>26</v>
      </c>
      <c r="H3140" s="1">
        <f t="shared" si="49"/>
        <v>1.4084877183421292</v>
      </c>
    </row>
    <row r="3141" spans="1:8" x14ac:dyDescent="0.25">
      <c r="A3141" s="1" t="s">
        <v>7</v>
      </c>
      <c r="B3141" s="1" t="s">
        <v>8</v>
      </c>
      <c r="C3141" s="6">
        <v>213050</v>
      </c>
      <c r="D3141" s="6">
        <v>213050</v>
      </c>
      <c r="E3141" s="6">
        <v>213050</v>
      </c>
      <c r="F3141" s="6">
        <v>213050</v>
      </c>
      <c r="G3141" s="7" t="s">
        <v>26</v>
      </c>
      <c r="H3141" s="1">
        <f t="shared" si="49"/>
        <v>1</v>
      </c>
    </row>
    <row r="3142" spans="1:8" x14ac:dyDescent="0.25">
      <c r="A3142" s="1" t="s">
        <v>7</v>
      </c>
      <c r="B3142" s="1" t="s">
        <v>8</v>
      </c>
      <c r="C3142" s="6">
        <v>389573.5</v>
      </c>
      <c r="D3142" s="6">
        <v>230933.54</v>
      </c>
      <c r="E3142" s="6">
        <v>186750</v>
      </c>
      <c r="F3142" s="6">
        <v>186750</v>
      </c>
      <c r="G3142" s="7" t="s">
        <v>26</v>
      </c>
      <c r="H3142" s="1">
        <f t="shared" si="49"/>
        <v>0.59278554624480362</v>
      </c>
    </row>
    <row r="3143" spans="1:8" x14ac:dyDescent="0.25">
      <c r="A3143" s="1" t="s">
        <v>7</v>
      </c>
      <c r="B3143" s="1" t="s">
        <v>8</v>
      </c>
      <c r="C3143" s="6">
        <v>250000</v>
      </c>
      <c r="D3143" s="6">
        <v>112500</v>
      </c>
      <c r="E3143" s="6">
        <v>112500</v>
      </c>
      <c r="F3143" s="6">
        <v>112500</v>
      </c>
      <c r="G3143" s="7" t="s">
        <v>26</v>
      </c>
      <c r="H3143" s="1">
        <f t="shared" si="49"/>
        <v>0.45</v>
      </c>
    </row>
    <row r="3144" spans="1:8" x14ac:dyDescent="0.25">
      <c r="A3144" s="1" t="s">
        <v>7</v>
      </c>
      <c r="B3144" s="1" t="s">
        <v>8</v>
      </c>
      <c r="C3144" s="6">
        <v>221450</v>
      </c>
      <c r="D3144" s="6">
        <v>60102.41</v>
      </c>
      <c r="E3144" s="6">
        <v>13543.28</v>
      </c>
      <c r="F3144" s="6">
        <v>13543.28</v>
      </c>
      <c r="G3144" s="7" t="s">
        <v>26</v>
      </c>
      <c r="H3144" s="1">
        <f t="shared" si="49"/>
        <v>0.27140397380898623</v>
      </c>
    </row>
    <row r="3145" spans="1:8" x14ac:dyDescent="0.25">
      <c r="A3145" s="1" t="s">
        <v>7</v>
      </c>
      <c r="B3145" s="1" t="s">
        <v>8</v>
      </c>
      <c r="C3145" s="6">
        <v>2032996.25</v>
      </c>
      <c r="D3145" s="6">
        <v>2113930.7400000002</v>
      </c>
      <c r="E3145" s="6">
        <v>1926634.61</v>
      </c>
      <c r="F3145" s="6">
        <v>1920777.16</v>
      </c>
      <c r="G3145" s="7" t="s">
        <v>26</v>
      </c>
      <c r="H3145" s="1">
        <f t="shared" si="49"/>
        <v>1.0398104472647209</v>
      </c>
    </row>
    <row r="3146" spans="1:8" x14ac:dyDescent="0.25">
      <c r="A3146" s="1" t="s">
        <v>7</v>
      </c>
      <c r="B3146" s="1" t="s">
        <v>8</v>
      </c>
      <c r="C3146" s="6">
        <v>22317.5</v>
      </c>
      <c r="D3146" s="6">
        <v>11900</v>
      </c>
      <c r="E3146" s="6">
        <v>11900</v>
      </c>
      <c r="F3146" s="6">
        <v>11900</v>
      </c>
      <c r="G3146" s="7" t="s">
        <v>26</v>
      </c>
      <c r="H3146" s="1">
        <f t="shared" si="49"/>
        <v>0.53321384563683205</v>
      </c>
    </row>
    <row r="3147" spans="1:8" x14ac:dyDescent="0.25">
      <c r="A3147" s="1" t="s">
        <v>7</v>
      </c>
      <c r="B3147" s="1" t="s">
        <v>8</v>
      </c>
      <c r="C3147" s="6">
        <v>85000</v>
      </c>
      <c r="D3147" s="6">
        <v>0</v>
      </c>
      <c r="E3147" s="6">
        <v>0</v>
      </c>
      <c r="F3147" s="6">
        <v>0</v>
      </c>
      <c r="G3147" s="7" t="s">
        <v>26</v>
      </c>
      <c r="H3147" s="1">
        <f t="shared" si="49"/>
        <v>0</v>
      </c>
    </row>
    <row r="3148" spans="1:8" x14ac:dyDescent="0.25">
      <c r="A3148" s="1" t="s">
        <v>7</v>
      </c>
      <c r="B3148" s="1" t="s">
        <v>8</v>
      </c>
      <c r="C3148" s="6">
        <v>0</v>
      </c>
      <c r="D3148" s="6">
        <v>65279.86</v>
      </c>
      <c r="E3148" s="6">
        <v>65279.86</v>
      </c>
      <c r="F3148" s="6">
        <v>65279.86</v>
      </c>
      <c r="G3148" s="7" t="s">
        <v>26</v>
      </c>
      <c r="H3148" s="1">
        <f t="shared" si="49"/>
        <v>0</v>
      </c>
    </row>
    <row r="3149" spans="1:8" x14ac:dyDescent="0.25">
      <c r="A3149" s="1" t="s">
        <v>7</v>
      </c>
      <c r="B3149" s="1" t="s">
        <v>8</v>
      </c>
      <c r="C3149" s="6">
        <v>186720</v>
      </c>
      <c r="D3149" s="6">
        <v>150283.01</v>
      </c>
      <c r="E3149" s="6">
        <v>26654.25</v>
      </c>
      <c r="F3149" s="6">
        <v>22905.42</v>
      </c>
      <c r="G3149" s="7" t="s">
        <v>26</v>
      </c>
      <c r="H3149" s="1">
        <f t="shared" si="49"/>
        <v>0.80485759425878323</v>
      </c>
    </row>
    <row r="3150" spans="1:8" x14ac:dyDescent="0.25">
      <c r="A3150" s="1" t="s">
        <v>7</v>
      </c>
      <c r="B3150" s="1" t="s">
        <v>8</v>
      </c>
      <c r="C3150" s="6">
        <v>4915899</v>
      </c>
      <c r="D3150" s="6">
        <v>5242347.16</v>
      </c>
      <c r="E3150" s="6">
        <v>4742327.62</v>
      </c>
      <c r="F3150" s="6">
        <v>4730560.0999999996</v>
      </c>
      <c r="G3150" s="7" t="s">
        <v>26</v>
      </c>
      <c r="H3150" s="1">
        <f t="shared" si="49"/>
        <v>1.0664066043667699</v>
      </c>
    </row>
    <row r="3151" spans="1:8" x14ac:dyDescent="0.25">
      <c r="A3151" s="1" t="s">
        <v>7</v>
      </c>
      <c r="B3151" s="1" t="s">
        <v>8</v>
      </c>
      <c r="C3151" s="6">
        <v>140250</v>
      </c>
      <c r="D3151" s="6">
        <v>159895.91</v>
      </c>
      <c r="E3151" s="6">
        <v>159895.91</v>
      </c>
      <c r="F3151" s="6">
        <v>159895.91</v>
      </c>
      <c r="G3151" s="7" t="s">
        <v>26</v>
      </c>
      <c r="H3151" s="1">
        <f t="shared" si="49"/>
        <v>1.140077789661319</v>
      </c>
    </row>
    <row r="3152" spans="1:8" x14ac:dyDescent="0.25">
      <c r="A3152" s="1" t="s">
        <v>7</v>
      </c>
      <c r="B3152" s="1" t="s">
        <v>8</v>
      </c>
      <c r="C3152" s="6">
        <v>35000</v>
      </c>
      <c r="D3152" s="6">
        <v>21500</v>
      </c>
      <c r="E3152" s="6">
        <v>12500</v>
      </c>
      <c r="F3152" s="6">
        <v>12500</v>
      </c>
      <c r="G3152" s="7" t="s">
        <v>26</v>
      </c>
      <c r="H3152" s="1">
        <f t="shared" si="49"/>
        <v>0.61428571428571432</v>
      </c>
    </row>
    <row r="3153" spans="1:8" x14ac:dyDescent="0.25">
      <c r="A3153" s="1" t="s">
        <v>7</v>
      </c>
      <c r="B3153" s="1" t="s">
        <v>8</v>
      </c>
      <c r="C3153" s="6">
        <v>600000</v>
      </c>
      <c r="D3153" s="6">
        <v>675000</v>
      </c>
      <c r="E3153" s="6">
        <v>675000</v>
      </c>
      <c r="F3153" s="6">
        <v>675000</v>
      </c>
      <c r="G3153" s="7" t="s">
        <v>26</v>
      </c>
      <c r="H3153" s="1">
        <f t="shared" si="49"/>
        <v>1.125</v>
      </c>
    </row>
    <row r="3154" spans="1:8" x14ac:dyDescent="0.25">
      <c r="A3154" s="1" t="s">
        <v>7</v>
      </c>
      <c r="B3154" s="1" t="s">
        <v>8</v>
      </c>
      <c r="C3154" s="6">
        <v>650000</v>
      </c>
      <c r="D3154" s="6">
        <v>650000</v>
      </c>
      <c r="E3154" s="6">
        <v>650000</v>
      </c>
      <c r="F3154" s="6">
        <v>650000</v>
      </c>
      <c r="G3154" s="7" t="s">
        <v>26</v>
      </c>
      <c r="H3154" s="1">
        <f t="shared" si="49"/>
        <v>1</v>
      </c>
    </row>
    <row r="3155" spans="1:8" x14ac:dyDescent="0.25">
      <c r="A3155" s="1" t="s">
        <v>7</v>
      </c>
      <c r="B3155" s="1" t="s">
        <v>8</v>
      </c>
      <c r="C3155" s="6">
        <v>187500</v>
      </c>
      <c r="D3155" s="6">
        <v>187500</v>
      </c>
      <c r="E3155" s="6">
        <v>187500</v>
      </c>
      <c r="F3155" s="6">
        <v>187500</v>
      </c>
      <c r="G3155" s="7" t="s">
        <v>26</v>
      </c>
      <c r="H3155" s="1">
        <f t="shared" si="49"/>
        <v>1</v>
      </c>
    </row>
    <row r="3156" spans="1:8" x14ac:dyDescent="0.25">
      <c r="A3156" s="1" t="s">
        <v>7</v>
      </c>
      <c r="B3156" s="1" t="s">
        <v>8</v>
      </c>
      <c r="C3156" s="6">
        <v>32400</v>
      </c>
      <c r="D3156" s="6">
        <v>0</v>
      </c>
      <c r="E3156" s="6">
        <v>0</v>
      </c>
      <c r="F3156" s="6">
        <v>0</v>
      </c>
      <c r="G3156" s="7" t="s">
        <v>26</v>
      </c>
      <c r="H3156" s="1">
        <f t="shared" si="49"/>
        <v>0</v>
      </c>
    </row>
    <row r="3157" spans="1:8" x14ac:dyDescent="0.25">
      <c r="A3157" s="1" t="s">
        <v>7</v>
      </c>
      <c r="B3157" s="1" t="s">
        <v>8</v>
      </c>
      <c r="C3157" s="6">
        <v>600000</v>
      </c>
      <c r="D3157" s="6">
        <v>600000</v>
      </c>
      <c r="E3157" s="6">
        <v>600000</v>
      </c>
      <c r="F3157" s="6">
        <v>600000</v>
      </c>
      <c r="G3157" s="7" t="s">
        <v>26</v>
      </c>
      <c r="H3157" s="1">
        <f t="shared" si="49"/>
        <v>1</v>
      </c>
    </row>
    <row r="3158" spans="1:8" x14ac:dyDescent="0.25">
      <c r="A3158" s="1" t="s">
        <v>7</v>
      </c>
      <c r="B3158" s="1" t="s">
        <v>8</v>
      </c>
      <c r="C3158" s="6">
        <v>264762.75</v>
      </c>
      <c r="D3158" s="6">
        <v>46575.22</v>
      </c>
      <c r="E3158" s="6">
        <v>38783.410000000003</v>
      </c>
      <c r="F3158" s="6">
        <v>34550.06</v>
      </c>
      <c r="G3158" s="7" t="s">
        <v>26</v>
      </c>
      <c r="H3158" s="1">
        <f t="shared" si="49"/>
        <v>0.17591303912653877</v>
      </c>
    </row>
    <row r="3159" spans="1:8" x14ac:dyDescent="0.25">
      <c r="A3159" s="1" t="s">
        <v>7</v>
      </c>
      <c r="B3159" s="1" t="s">
        <v>8</v>
      </c>
      <c r="C3159" s="6">
        <v>7296687</v>
      </c>
      <c r="D3159" s="6">
        <v>7108283.5</v>
      </c>
      <c r="E3159" s="6">
        <v>7108283.5</v>
      </c>
      <c r="F3159" s="6">
        <v>6802665.0800000001</v>
      </c>
      <c r="G3159" s="7" t="s">
        <v>26</v>
      </c>
      <c r="H3159" s="1">
        <f t="shared" si="49"/>
        <v>0.97417958314506292</v>
      </c>
    </row>
    <row r="3160" spans="1:8" x14ac:dyDescent="0.25">
      <c r="A3160" s="1" t="s">
        <v>7</v>
      </c>
      <c r="B3160" s="1" t="s">
        <v>8</v>
      </c>
      <c r="C3160" s="6">
        <v>26250</v>
      </c>
      <c r="D3160" s="6">
        <v>28497.38</v>
      </c>
      <c r="E3160" s="6">
        <v>23751.14</v>
      </c>
      <c r="F3160" s="6">
        <v>23751.14</v>
      </c>
      <c r="G3160" s="7" t="s">
        <v>26</v>
      </c>
      <c r="H3160" s="1">
        <f t="shared" si="49"/>
        <v>1.0856144761904762</v>
      </c>
    </row>
    <row r="3161" spans="1:8" x14ac:dyDescent="0.25">
      <c r="A3161" s="1" t="s">
        <v>7</v>
      </c>
      <c r="B3161" s="1" t="s">
        <v>8</v>
      </c>
      <c r="C3161" s="6">
        <v>12500</v>
      </c>
      <c r="D3161" s="6">
        <v>147548.75</v>
      </c>
      <c r="E3161" s="6">
        <v>18748.75</v>
      </c>
      <c r="F3161" s="6">
        <v>18748.75</v>
      </c>
      <c r="G3161" s="7" t="s">
        <v>26</v>
      </c>
      <c r="H3161" s="1">
        <f t="shared" si="49"/>
        <v>11.803900000000001</v>
      </c>
    </row>
    <row r="3162" spans="1:8" x14ac:dyDescent="0.25">
      <c r="A3162" s="1" t="s">
        <v>7</v>
      </c>
      <c r="B3162" s="1" t="s">
        <v>8</v>
      </c>
      <c r="C3162" s="6">
        <v>16100</v>
      </c>
      <c r="D3162" s="6">
        <v>11525.37</v>
      </c>
      <c r="E3162" s="6">
        <v>8119.79</v>
      </c>
      <c r="F3162" s="6">
        <v>8119.79</v>
      </c>
      <c r="G3162" s="7" t="s">
        <v>26</v>
      </c>
      <c r="H3162" s="1">
        <f t="shared" ref="H3162:H3225" si="50">IF(OR(ISNA($D3162),ISNA($C3162),$C3162=0),0,$D3162/$C3162)</f>
        <v>0.71586149068322991</v>
      </c>
    </row>
    <row r="3163" spans="1:8" x14ac:dyDescent="0.25">
      <c r="A3163" s="1" t="s">
        <v>7</v>
      </c>
      <c r="B3163" s="1" t="s">
        <v>8</v>
      </c>
      <c r="C3163" s="6">
        <v>1082000</v>
      </c>
      <c r="D3163" s="6">
        <v>926185.18</v>
      </c>
      <c r="E3163" s="6">
        <v>926185.18</v>
      </c>
      <c r="F3163" s="6">
        <v>926185.18</v>
      </c>
      <c r="G3163" s="7" t="s">
        <v>26</v>
      </c>
      <c r="H3163" s="1">
        <f t="shared" si="50"/>
        <v>0.85599369685767102</v>
      </c>
    </row>
    <row r="3164" spans="1:8" x14ac:dyDescent="0.25">
      <c r="A3164" s="1" t="s">
        <v>7</v>
      </c>
      <c r="B3164" s="1" t="s">
        <v>10</v>
      </c>
      <c r="C3164" s="6">
        <v>746336</v>
      </c>
      <c r="D3164" s="6">
        <v>609656.1</v>
      </c>
      <c r="E3164" s="6">
        <v>609656.1</v>
      </c>
      <c r="F3164" s="6">
        <v>609656.1</v>
      </c>
      <c r="G3164" s="7" t="s">
        <v>26</v>
      </c>
      <c r="H3164" s="1">
        <f t="shared" si="50"/>
        <v>0.81686546006088412</v>
      </c>
    </row>
    <row r="3165" spans="1:8" x14ac:dyDescent="0.25">
      <c r="A3165" s="1" t="s">
        <v>7</v>
      </c>
      <c r="B3165" s="1" t="s">
        <v>10</v>
      </c>
      <c r="C3165" s="6">
        <v>576600</v>
      </c>
      <c r="D3165" s="6">
        <v>168159.26</v>
      </c>
      <c r="E3165" s="6">
        <v>53506.66</v>
      </c>
      <c r="F3165" s="6">
        <v>37106.660000000003</v>
      </c>
      <c r="G3165" s="7" t="s">
        <v>26</v>
      </c>
      <c r="H3165" s="1">
        <f t="shared" si="50"/>
        <v>0.29163936871314605</v>
      </c>
    </row>
    <row r="3166" spans="1:8" x14ac:dyDescent="0.25">
      <c r="A3166" s="1" t="s">
        <v>7</v>
      </c>
      <c r="B3166" s="1" t="s">
        <v>10</v>
      </c>
      <c r="C3166" s="6">
        <v>2038722.5</v>
      </c>
      <c r="D3166" s="6">
        <v>1455831.82</v>
      </c>
      <c r="E3166" s="6">
        <v>1009996.23</v>
      </c>
      <c r="F3166" s="6">
        <v>976850.15</v>
      </c>
      <c r="G3166" s="7" t="s">
        <v>26</v>
      </c>
      <c r="H3166" s="1">
        <f t="shared" si="50"/>
        <v>0.71409023052426213</v>
      </c>
    </row>
    <row r="3167" spans="1:8" x14ac:dyDescent="0.25">
      <c r="A3167" s="1" t="s">
        <v>7</v>
      </c>
      <c r="B3167" s="1" t="s">
        <v>10</v>
      </c>
      <c r="C3167" s="6">
        <v>142675.75</v>
      </c>
      <c r="D3167" s="6">
        <v>95921.65</v>
      </c>
      <c r="E3167" s="6">
        <v>95921.65</v>
      </c>
      <c r="F3167" s="6">
        <v>95921.65</v>
      </c>
      <c r="G3167" s="7" t="s">
        <v>26</v>
      </c>
      <c r="H3167" s="1">
        <f t="shared" si="50"/>
        <v>0.6723052095398131</v>
      </c>
    </row>
    <row r="3168" spans="1:8" x14ac:dyDescent="0.25">
      <c r="A3168" s="1" t="s">
        <v>7</v>
      </c>
      <c r="B3168" s="1" t="s">
        <v>10</v>
      </c>
      <c r="C3168" s="6">
        <v>4410423.5</v>
      </c>
      <c r="D3168" s="6">
        <v>4371848.58</v>
      </c>
      <c r="E3168" s="6">
        <v>4311159.54</v>
      </c>
      <c r="F3168" s="6">
        <v>4252594.34</v>
      </c>
      <c r="G3168" s="7" t="s">
        <v>26</v>
      </c>
      <c r="H3168" s="1">
        <f t="shared" si="50"/>
        <v>0.99125369253088735</v>
      </c>
    </row>
    <row r="3169" spans="1:8" x14ac:dyDescent="0.25">
      <c r="A3169" s="1" t="s">
        <v>7</v>
      </c>
      <c r="B3169" s="1" t="s">
        <v>10</v>
      </c>
      <c r="C3169" s="6">
        <v>218824</v>
      </c>
      <c r="D3169" s="6">
        <v>297564.67</v>
      </c>
      <c r="E3169" s="6">
        <v>217885.18</v>
      </c>
      <c r="F3169" s="6">
        <v>217885.18</v>
      </c>
      <c r="G3169" s="7" t="s">
        <v>26</v>
      </c>
      <c r="H3169" s="1">
        <f t="shared" si="50"/>
        <v>1.3598356213212444</v>
      </c>
    </row>
    <row r="3170" spans="1:8" x14ac:dyDescent="0.25">
      <c r="A3170" s="1" t="s">
        <v>7</v>
      </c>
      <c r="B3170" s="1" t="s">
        <v>10</v>
      </c>
      <c r="C3170" s="6">
        <v>0</v>
      </c>
      <c r="D3170" s="6">
        <v>4572.67</v>
      </c>
      <c r="E3170" s="6">
        <v>4572.67</v>
      </c>
      <c r="F3170" s="6">
        <v>0</v>
      </c>
      <c r="G3170" s="7" t="s">
        <v>26</v>
      </c>
      <c r="H3170" s="1">
        <f t="shared" si="50"/>
        <v>0</v>
      </c>
    </row>
    <row r="3171" spans="1:8" x14ac:dyDescent="0.25">
      <c r="A3171" s="1" t="s">
        <v>7</v>
      </c>
      <c r="B3171" s="1" t="s">
        <v>10</v>
      </c>
      <c r="C3171" s="6">
        <v>1202965.75</v>
      </c>
      <c r="D3171" s="6">
        <v>1200340.8</v>
      </c>
      <c r="E3171" s="6">
        <v>1018662.47</v>
      </c>
      <c r="F3171" s="6">
        <v>1016329.12</v>
      </c>
      <c r="G3171" s="7" t="s">
        <v>26</v>
      </c>
      <c r="H3171" s="1">
        <f t="shared" si="50"/>
        <v>0.99781793455050571</v>
      </c>
    </row>
    <row r="3172" spans="1:8" x14ac:dyDescent="0.25">
      <c r="A3172" s="1" t="s">
        <v>7</v>
      </c>
      <c r="B3172" s="1" t="s">
        <v>10</v>
      </c>
      <c r="C3172" s="6">
        <v>125000</v>
      </c>
      <c r="D3172" s="6">
        <v>0</v>
      </c>
      <c r="E3172" s="6">
        <v>0</v>
      </c>
      <c r="F3172" s="6">
        <v>0</v>
      </c>
      <c r="G3172" s="7" t="s">
        <v>26</v>
      </c>
      <c r="H3172" s="1">
        <f t="shared" si="50"/>
        <v>0</v>
      </c>
    </row>
    <row r="3173" spans="1:8" x14ac:dyDescent="0.25">
      <c r="A3173" s="1" t="s">
        <v>7</v>
      </c>
      <c r="B3173" s="1" t="s">
        <v>10</v>
      </c>
      <c r="C3173" s="6">
        <v>41098</v>
      </c>
      <c r="D3173" s="6">
        <v>40648.5</v>
      </c>
      <c r="E3173" s="6">
        <v>40648.5</v>
      </c>
      <c r="F3173" s="6">
        <v>40648.5</v>
      </c>
      <c r="G3173" s="7" t="s">
        <v>26</v>
      </c>
      <c r="H3173" s="1">
        <f t="shared" si="50"/>
        <v>0.98906272811329021</v>
      </c>
    </row>
    <row r="3174" spans="1:8" x14ac:dyDescent="0.25">
      <c r="A3174" s="1" t="s">
        <v>7</v>
      </c>
      <c r="B3174" s="1" t="s">
        <v>10</v>
      </c>
      <c r="C3174" s="6">
        <v>5000</v>
      </c>
      <c r="D3174" s="6">
        <v>23800</v>
      </c>
      <c r="E3174" s="6">
        <v>7000</v>
      </c>
      <c r="F3174" s="6">
        <v>7000</v>
      </c>
      <c r="G3174" s="7" t="s">
        <v>26</v>
      </c>
      <c r="H3174" s="1">
        <f t="shared" si="50"/>
        <v>4.76</v>
      </c>
    </row>
    <row r="3175" spans="1:8" x14ac:dyDescent="0.25">
      <c r="A3175" s="1" t="s">
        <v>7</v>
      </c>
      <c r="B3175" s="1" t="s">
        <v>10</v>
      </c>
      <c r="C3175" s="6">
        <v>158844.5</v>
      </c>
      <c r="D3175" s="6">
        <v>113692.12</v>
      </c>
      <c r="E3175" s="6">
        <v>113422.12</v>
      </c>
      <c r="F3175" s="6">
        <v>107740.31</v>
      </c>
      <c r="G3175" s="7" t="s">
        <v>26</v>
      </c>
      <c r="H3175" s="1">
        <f t="shared" si="50"/>
        <v>0.71574476925546682</v>
      </c>
    </row>
    <row r="3176" spans="1:8" x14ac:dyDescent="0.25">
      <c r="A3176" s="1" t="s">
        <v>7</v>
      </c>
      <c r="B3176" s="1" t="s">
        <v>10</v>
      </c>
      <c r="C3176" s="6">
        <v>33750</v>
      </c>
      <c r="D3176" s="6">
        <v>0</v>
      </c>
      <c r="E3176" s="6">
        <v>0</v>
      </c>
      <c r="F3176" s="6">
        <v>0</v>
      </c>
      <c r="G3176" s="7" t="s">
        <v>26</v>
      </c>
      <c r="H3176" s="1">
        <f t="shared" si="50"/>
        <v>0</v>
      </c>
    </row>
    <row r="3177" spans="1:8" x14ac:dyDescent="0.25">
      <c r="A3177" s="1" t="s">
        <v>7</v>
      </c>
      <c r="B3177" s="1" t="s">
        <v>10</v>
      </c>
      <c r="C3177" s="6">
        <v>0</v>
      </c>
      <c r="D3177" s="6">
        <v>38775.5</v>
      </c>
      <c r="E3177" s="6">
        <v>38775.5</v>
      </c>
      <c r="F3177" s="6">
        <v>38775.5</v>
      </c>
      <c r="G3177" s="7" t="s">
        <v>26</v>
      </c>
      <c r="H3177" s="1">
        <f t="shared" si="50"/>
        <v>0</v>
      </c>
    </row>
    <row r="3178" spans="1:8" x14ac:dyDescent="0.25">
      <c r="A3178" s="1" t="s">
        <v>7</v>
      </c>
      <c r="B3178" s="1" t="s">
        <v>10</v>
      </c>
      <c r="C3178" s="6">
        <v>36186</v>
      </c>
      <c r="D3178" s="6">
        <v>36350.839999999997</v>
      </c>
      <c r="E3178" s="6">
        <v>33787.29</v>
      </c>
      <c r="F3178" s="6">
        <v>32810.99</v>
      </c>
      <c r="G3178" s="7" t="s">
        <v>26</v>
      </c>
      <c r="H3178" s="1">
        <f t="shared" si="50"/>
        <v>1.0045553528989111</v>
      </c>
    </row>
    <row r="3179" spans="1:8" x14ac:dyDescent="0.25">
      <c r="A3179" s="1" t="s">
        <v>7</v>
      </c>
      <c r="B3179" s="1" t="s">
        <v>10</v>
      </c>
      <c r="C3179" s="6">
        <v>4450</v>
      </c>
      <c r="D3179" s="6">
        <v>7870.69</v>
      </c>
      <c r="E3179" s="6">
        <v>4852.71</v>
      </c>
      <c r="F3179" s="6">
        <v>2265.25</v>
      </c>
      <c r="G3179" s="7" t="s">
        <v>26</v>
      </c>
      <c r="H3179" s="1">
        <f t="shared" si="50"/>
        <v>1.7686943820224719</v>
      </c>
    </row>
    <row r="3180" spans="1:8" x14ac:dyDescent="0.25">
      <c r="A3180" s="1" t="s">
        <v>7</v>
      </c>
      <c r="B3180" s="1" t="s">
        <v>10</v>
      </c>
      <c r="C3180" s="6">
        <v>91519.5</v>
      </c>
      <c r="D3180" s="6">
        <v>100365.2</v>
      </c>
      <c r="E3180" s="6">
        <v>90032.8</v>
      </c>
      <c r="F3180" s="6">
        <v>83992.320000000007</v>
      </c>
      <c r="G3180" s="7" t="s">
        <v>26</v>
      </c>
      <c r="H3180" s="1">
        <f t="shared" si="50"/>
        <v>1.0966537186064171</v>
      </c>
    </row>
    <row r="3181" spans="1:8" x14ac:dyDescent="0.25">
      <c r="A3181" s="1" t="s">
        <v>7</v>
      </c>
      <c r="B3181" s="1" t="s">
        <v>10</v>
      </c>
      <c r="C3181" s="6">
        <v>187500</v>
      </c>
      <c r="D3181" s="6">
        <v>129883.89</v>
      </c>
      <c r="E3181" s="6">
        <v>123151.65</v>
      </c>
      <c r="F3181" s="6">
        <v>118779.4</v>
      </c>
      <c r="G3181" s="7" t="s">
        <v>26</v>
      </c>
      <c r="H3181" s="1">
        <f t="shared" si="50"/>
        <v>0.69271408000000001</v>
      </c>
    </row>
    <row r="3182" spans="1:8" x14ac:dyDescent="0.25">
      <c r="A3182" s="1" t="s">
        <v>7</v>
      </c>
      <c r="B3182" s="1" t="s">
        <v>10</v>
      </c>
      <c r="C3182" s="6">
        <v>189810</v>
      </c>
      <c r="D3182" s="6">
        <v>205534.25</v>
      </c>
      <c r="E3182" s="6">
        <v>203650.71</v>
      </c>
      <c r="F3182" s="6">
        <v>201636.48000000001</v>
      </c>
      <c r="G3182" s="7" t="s">
        <v>26</v>
      </c>
      <c r="H3182" s="1">
        <f t="shared" si="50"/>
        <v>1.0828420525788947</v>
      </c>
    </row>
    <row r="3183" spans="1:8" x14ac:dyDescent="0.25">
      <c r="A3183" s="1" t="s">
        <v>7</v>
      </c>
      <c r="B3183" s="1" t="s">
        <v>11</v>
      </c>
      <c r="C3183" s="6">
        <v>1000</v>
      </c>
      <c r="D3183" s="6">
        <v>0</v>
      </c>
      <c r="E3183" s="6">
        <v>0</v>
      </c>
      <c r="F3183" s="6">
        <v>0</v>
      </c>
      <c r="G3183" s="7" t="s">
        <v>26</v>
      </c>
      <c r="H3183" s="1">
        <f t="shared" si="50"/>
        <v>0</v>
      </c>
    </row>
    <row r="3184" spans="1:8" x14ac:dyDescent="0.25">
      <c r="A3184" s="1" t="s">
        <v>7</v>
      </c>
      <c r="B3184" s="1" t="s">
        <v>11</v>
      </c>
      <c r="C3184" s="6">
        <v>665213</v>
      </c>
      <c r="D3184" s="6">
        <v>352175.38</v>
      </c>
      <c r="E3184" s="6">
        <v>270313.40999999997</v>
      </c>
      <c r="F3184" s="6">
        <v>240620.36</v>
      </c>
      <c r="G3184" s="7" t="s">
        <v>26</v>
      </c>
      <c r="H3184" s="1">
        <f t="shared" si="50"/>
        <v>0.52941746478195706</v>
      </c>
    </row>
    <row r="3185" spans="1:8" x14ac:dyDescent="0.25">
      <c r="A3185" s="1" t="s">
        <v>7</v>
      </c>
      <c r="B3185" s="1" t="s">
        <v>11</v>
      </c>
      <c r="C3185" s="6">
        <v>2000</v>
      </c>
      <c r="D3185" s="6">
        <v>0</v>
      </c>
      <c r="E3185" s="6">
        <v>0</v>
      </c>
      <c r="F3185" s="6">
        <v>0</v>
      </c>
      <c r="G3185" s="7" t="s">
        <v>26</v>
      </c>
      <c r="H3185" s="1">
        <f t="shared" si="50"/>
        <v>0</v>
      </c>
    </row>
    <row r="3186" spans="1:8" x14ac:dyDescent="0.25">
      <c r="A3186" s="1" t="s">
        <v>7</v>
      </c>
      <c r="B3186" s="1" t="s">
        <v>11</v>
      </c>
      <c r="C3186" s="6">
        <v>1000</v>
      </c>
      <c r="D3186" s="6">
        <v>0</v>
      </c>
      <c r="E3186" s="6">
        <v>0</v>
      </c>
      <c r="F3186" s="6">
        <v>0</v>
      </c>
      <c r="G3186" s="7" t="s">
        <v>26</v>
      </c>
      <c r="H3186" s="1">
        <f t="shared" si="50"/>
        <v>0</v>
      </c>
    </row>
    <row r="3187" spans="1:8" x14ac:dyDescent="0.25">
      <c r="A3187" s="1" t="s">
        <v>7</v>
      </c>
      <c r="B3187" s="1" t="s">
        <v>11</v>
      </c>
      <c r="C3187" s="6">
        <v>63035904</v>
      </c>
      <c r="D3187" s="6">
        <v>76370066.400000006</v>
      </c>
      <c r="E3187" s="6">
        <v>67506461.280000001</v>
      </c>
      <c r="F3187" s="6">
        <v>64130581.759999998</v>
      </c>
      <c r="G3187" s="7" t="s">
        <v>26</v>
      </c>
      <c r="H3187" s="1">
        <f t="shared" si="50"/>
        <v>1.2115328178683693</v>
      </c>
    </row>
    <row r="3188" spans="1:8" x14ac:dyDescent="0.25">
      <c r="A3188" s="1" t="s">
        <v>7</v>
      </c>
      <c r="B3188" s="1" t="s">
        <v>11</v>
      </c>
      <c r="C3188" s="6">
        <v>188438995</v>
      </c>
      <c r="D3188" s="6">
        <v>108966787.06</v>
      </c>
      <c r="E3188" s="6">
        <v>106187979.26000001</v>
      </c>
      <c r="F3188" s="6">
        <v>99357890.109999999</v>
      </c>
      <c r="G3188" s="7" t="s">
        <v>26</v>
      </c>
      <c r="H3188" s="1">
        <f t="shared" si="50"/>
        <v>0.57826028556350562</v>
      </c>
    </row>
    <row r="3189" spans="1:8" x14ac:dyDescent="0.25">
      <c r="A3189" s="1" t="s">
        <v>7</v>
      </c>
      <c r="B3189" s="1" t="s">
        <v>11</v>
      </c>
      <c r="C3189" s="6">
        <v>10000</v>
      </c>
      <c r="D3189" s="6">
        <v>0</v>
      </c>
      <c r="E3189" s="6">
        <v>0</v>
      </c>
      <c r="F3189" s="6">
        <v>0</v>
      </c>
      <c r="G3189" s="7" t="s">
        <v>26</v>
      </c>
      <c r="H3189" s="1">
        <f t="shared" si="50"/>
        <v>0</v>
      </c>
    </row>
    <row r="3190" spans="1:8" x14ac:dyDescent="0.25">
      <c r="A3190" s="1" t="s">
        <v>7</v>
      </c>
      <c r="B3190" s="1" t="s">
        <v>11</v>
      </c>
      <c r="C3190" s="6">
        <v>1326932</v>
      </c>
      <c r="D3190" s="6">
        <v>632273.6</v>
      </c>
      <c r="E3190" s="6">
        <v>632273.6</v>
      </c>
      <c r="F3190" s="6">
        <v>632273.6</v>
      </c>
      <c r="G3190" s="7" t="s">
        <v>26</v>
      </c>
      <c r="H3190" s="1">
        <f t="shared" si="50"/>
        <v>0.47649284213509058</v>
      </c>
    </row>
    <row r="3191" spans="1:8" x14ac:dyDescent="0.25">
      <c r="A3191" s="1" t="s">
        <v>7</v>
      </c>
      <c r="B3191" s="1" t="s">
        <v>11</v>
      </c>
      <c r="C3191" s="6">
        <v>105000</v>
      </c>
      <c r="D3191" s="6">
        <v>0</v>
      </c>
      <c r="E3191" s="6">
        <v>0</v>
      </c>
      <c r="F3191" s="6">
        <v>0</v>
      </c>
      <c r="G3191" s="7" t="s">
        <v>26</v>
      </c>
      <c r="H3191" s="1">
        <f t="shared" si="50"/>
        <v>0</v>
      </c>
    </row>
    <row r="3192" spans="1:8" x14ac:dyDescent="0.25">
      <c r="A3192" s="1" t="s">
        <v>7</v>
      </c>
      <c r="B3192" s="1" t="s">
        <v>11</v>
      </c>
      <c r="C3192" s="6">
        <v>20000</v>
      </c>
      <c r="D3192" s="6">
        <v>0</v>
      </c>
      <c r="E3192" s="6">
        <v>0</v>
      </c>
      <c r="F3192" s="6">
        <v>0</v>
      </c>
      <c r="G3192" s="7" t="s">
        <v>26</v>
      </c>
      <c r="H3192" s="1">
        <f t="shared" si="50"/>
        <v>0</v>
      </c>
    </row>
    <row r="3193" spans="1:8" x14ac:dyDescent="0.25">
      <c r="A3193" s="1" t="s">
        <v>7</v>
      </c>
      <c r="B3193" s="1" t="s">
        <v>11</v>
      </c>
      <c r="C3193" s="6">
        <v>297400</v>
      </c>
      <c r="D3193" s="6">
        <v>0</v>
      </c>
      <c r="E3193" s="6">
        <v>0</v>
      </c>
      <c r="F3193" s="6">
        <v>0</v>
      </c>
      <c r="G3193" s="7" t="s">
        <v>26</v>
      </c>
      <c r="H3193" s="1">
        <f t="shared" si="50"/>
        <v>0</v>
      </c>
    </row>
    <row r="3194" spans="1:8" x14ac:dyDescent="0.25">
      <c r="A3194" s="1" t="s">
        <v>7</v>
      </c>
      <c r="B3194" s="1" t="s">
        <v>11</v>
      </c>
      <c r="C3194" s="6">
        <v>5000</v>
      </c>
      <c r="D3194" s="6">
        <v>0</v>
      </c>
      <c r="E3194" s="6">
        <v>0</v>
      </c>
      <c r="F3194" s="6">
        <v>0</v>
      </c>
      <c r="G3194" s="7" t="s">
        <v>26</v>
      </c>
      <c r="H3194" s="1">
        <f t="shared" si="50"/>
        <v>0</v>
      </c>
    </row>
    <row r="3195" spans="1:8" x14ac:dyDescent="0.25">
      <c r="A3195" s="1" t="s">
        <v>7</v>
      </c>
      <c r="B3195" s="1" t="s">
        <v>11</v>
      </c>
      <c r="C3195" s="6">
        <v>24710000</v>
      </c>
      <c r="D3195" s="6">
        <v>0</v>
      </c>
      <c r="E3195" s="6">
        <v>0</v>
      </c>
      <c r="F3195" s="6">
        <v>0</v>
      </c>
      <c r="G3195" s="7" t="s">
        <v>26</v>
      </c>
      <c r="H3195" s="1">
        <f t="shared" si="50"/>
        <v>0</v>
      </c>
    </row>
    <row r="3196" spans="1:8" x14ac:dyDescent="0.25">
      <c r="A3196" s="1" t="s">
        <v>7</v>
      </c>
      <c r="B3196" s="1" t="s">
        <v>11</v>
      </c>
      <c r="C3196" s="6">
        <v>3124698</v>
      </c>
      <c r="D3196" s="6">
        <v>2881474.08</v>
      </c>
      <c r="E3196" s="6">
        <v>1928437.28</v>
      </c>
      <c r="F3196" s="6">
        <v>1712888.67</v>
      </c>
      <c r="G3196" s="7" t="s">
        <v>26</v>
      </c>
      <c r="H3196" s="1">
        <f t="shared" si="50"/>
        <v>0.92216082322195614</v>
      </c>
    </row>
    <row r="3197" spans="1:8" x14ac:dyDescent="0.25">
      <c r="A3197" s="1" t="s">
        <v>7</v>
      </c>
      <c r="B3197" s="1" t="s">
        <v>11</v>
      </c>
      <c r="C3197" s="6">
        <v>8125549</v>
      </c>
      <c r="D3197" s="6">
        <v>5295110.58</v>
      </c>
      <c r="E3197" s="6">
        <v>5291067.8600000003</v>
      </c>
      <c r="F3197" s="6">
        <v>5291067.8600000003</v>
      </c>
      <c r="G3197" s="7" t="s">
        <v>26</v>
      </c>
      <c r="H3197" s="1">
        <f t="shared" si="50"/>
        <v>0.65166188524615387</v>
      </c>
    </row>
    <row r="3198" spans="1:8" x14ac:dyDescent="0.25">
      <c r="A3198" s="1" t="s">
        <v>7</v>
      </c>
      <c r="B3198" s="1" t="s">
        <v>11</v>
      </c>
      <c r="C3198" s="6">
        <v>1000</v>
      </c>
      <c r="D3198" s="6">
        <v>0</v>
      </c>
      <c r="E3198" s="6">
        <v>0</v>
      </c>
      <c r="F3198" s="6">
        <v>0</v>
      </c>
      <c r="G3198" s="7" t="s">
        <v>26</v>
      </c>
      <c r="H3198" s="1">
        <f t="shared" si="50"/>
        <v>0</v>
      </c>
    </row>
    <row r="3199" spans="1:8" x14ac:dyDescent="0.25">
      <c r="A3199" s="1" t="s">
        <v>7</v>
      </c>
      <c r="B3199" s="1" t="s">
        <v>11</v>
      </c>
      <c r="C3199" s="6">
        <v>270000</v>
      </c>
      <c r="D3199" s="6">
        <v>253227.04</v>
      </c>
      <c r="E3199" s="6">
        <v>0</v>
      </c>
      <c r="F3199" s="6">
        <v>0</v>
      </c>
      <c r="G3199" s="7" t="s">
        <v>26</v>
      </c>
      <c r="H3199" s="1">
        <f t="shared" si="50"/>
        <v>0.937877925925926</v>
      </c>
    </row>
    <row r="3200" spans="1:8" x14ac:dyDescent="0.25">
      <c r="A3200" s="1" t="s">
        <v>7</v>
      </c>
      <c r="B3200" s="1" t="s">
        <v>11</v>
      </c>
      <c r="C3200" s="6">
        <v>3800000</v>
      </c>
      <c r="D3200" s="6">
        <v>3809999.25</v>
      </c>
      <c r="E3200" s="6">
        <v>3434655.18</v>
      </c>
      <c r="F3200" s="6">
        <v>3434655.18</v>
      </c>
      <c r="G3200" s="7" t="s">
        <v>26</v>
      </c>
      <c r="H3200" s="1">
        <f t="shared" si="50"/>
        <v>1.0026313815789474</v>
      </c>
    </row>
    <row r="3201" spans="1:8" x14ac:dyDescent="0.25">
      <c r="A3201" s="1" t="s">
        <v>7</v>
      </c>
      <c r="B3201" s="1" t="s">
        <v>11</v>
      </c>
      <c r="C3201" s="6">
        <v>5000</v>
      </c>
      <c r="D3201" s="6">
        <v>0</v>
      </c>
      <c r="E3201" s="6">
        <v>0</v>
      </c>
      <c r="F3201" s="6">
        <v>0</v>
      </c>
      <c r="G3201" s="7" t="s">
        <v>26</v>
      </c>
      <c r="H3201" s="1">
        <f t="shared" si="50"/>
        <v>0</v>
      </c>
    </row>
    <row r="3202" spans="1:8" x14ac:dyDescent="0.25">
      <c r="A3202" s="1" t="s">
        <v>7</v>
      </c>
      <c r="B3202" s="1" t="s">
        <v>11</v>
      </c>
      <c r="C3202" s="6">
        <v>5000</v>
      </c>
      <c r="D3202" s="6">
        <v>0</v>
      </c>
      <c r="E3202" s="6">
        <v>0</v>
      </c>
      <c r="F3202" s="6">
        <v>0</v>
      </c>
      <c r="G3202" s="7" t="s">
        <v>26</v>
      </c>
      <c r="H3202" s="1">
        <f t="shared" si="50"/>
        <v>0</v>
      </c>
    </row>
    <row r="3203" spans="1:8" x14ac:dyDescent="0.25">
      <c r="A3203" s="1" t="s">
        <v>7</v>
      </c>
      <c r="B3203" s="1" t="s">
        <v>11</v>
      </c>
      <c r="C3203" s="6">
        <v>28680555</v>
      </c>
      <c r="D3203" s="6">
        <v>51973922.93</v>
      </c>
      <c r="E3203" s="6">
        <v>51903922.93</v>
      </c>
      <c r="F3203" s="6">
        <v>50753922.93</v>
      </c>
      <c r="G3203" s="7" t="s">
        <v>26</v>
      </c>
      <c r="H3203" s="1">
        <f t="shared" si="50"/>
        <v>1.8121658709184671</v>
      </c>
    </row>
    <row r="3204" spans="1:8" x14ac:dyDescent="0.25">
      <c r="A3204" s="1" t="s">
        <v>7</v>
      </c>
      <c r="B3204" s="1" t="s">
        <v>11</v>
      </c>
      <c r="C3204" s="6">
        <v>45000</v>
      </c>
      <c r="D3204" s="6">
        <v>0</v>
      </c>
      <c r="E3204" s="6">
        <v>0</v>
      </c>
      <c r="F3204" s="6">
        <v>0</v>
      </c>
      <c r="G3204" s="7" t="s">
        <v>26</v>
      </c>
      <c r="H3204" s="1">
        <f t="shared" si="50"/>
        <v>0</v>
      </c>
    </row>
    <row r="3205" spans="1:8" x14ac:dyDescent="0.25">
      <c r="A3205" s="1" t="s">
        <v>7</v>
      </c>
      <c r="B3205" s="1" t="s">
        <v>11</v>
      </c>
      <c r="C3205" s="6">
        <v>40100000</v>
      </c>
      <c r="D3205" s="6">
        <v>27927630.579999998</v>
      </c>
      <c r="E3205" s="6">
        <v>27927630.579999998</v>
      </c>
      <c r="F3205" s="6">
        <v>27927630.579999998</v>
      </c>
      <c r="G3205" s="7" t="s">
        <v>26</v>
      </c>
      <c r="H3205" s="1">
        <f t="shared" si="50"/>
        <v>0.69644964039900248</v>
      </c>
    </row>
    <row r="3206" spans="1:8" x14ac:dyDescent="0.25">
      <c r="A3206" s="1" t="s">
        <v>7</v>
      </c>
      <c r="B3206" s="1" t="s">
        <v>11</v>
      </c>
      <c r="C3206" s="6">
        <v>56400406</v>
      </c>
      <c r="D3206" s="6">
        <v>34751584.939999998</v>
      </c>
      <c r="E3206" s="6">
        <v>34751584.939999998</v>
      </c>
      <c r="F3206" s="6">
        <v>34751584.939999998</v>
      </c>
      <c r="G3206" s="7" t="s">
        <v>26</v>
      </c>
      <c r="H3206" s="1">
        <f t="shared" si="50"/>
        <v>0.61615841807947269</v>
      </c>
    </row>
    <row r="3207" spans="1:8" x14ac:dyDescent="0.25">
      <c r="A3207" s="1" t="s">
        <v>7</v>
      </c>
      <c r="B3207" s="1" t="s">
        <v>11</v>
      </c>
      <c r="C3207" s="6">
        <v>4000655</v>
      </c>
      <c r="D3207" s="6">
        <v>2512322.8199999998</v>
      </c>
      <c r="E3207" s="6">
        <v>2512322.8199999998</v>
      </c>
      <c r="F3207" s="6">
        <v>2512322.8199999998</v>
      </c>
      <c r="G3207" s="7" t="s">
        <v>26</v>
      </c>
      <c r="H3207" s="1">
        <f t="shared" si="50"/>
        <v>0.62797787362319413</v>
      </c>
    </row>
    <row r="3208" spans="1:8" x14ac:dyDescent="0.25">
      <c r="A3208" s="1" t="s">
        <v>7</v>
      </c>
      <c r="B3208" s="1" t="s">
        <v>11</v>
      </c>
      <c r="C3208" s="6">
        <v>1311359425</v>
      </c>
      <c r="D3208" s="6">
        <v>1431003302.21</v>
      </c>
      <c r="E3208" s="6">
        <v>1356429027.5799999</v>
      </c>
      <c r="F3208" s="6">
        <v>1246870923.8099999</v>
      </c>
      <c r="G3208" s="7" t="s">
        <v>26</v>
      </c>
      <c r="H3208" s="1">
        <f t="shared" si="50"/>
        <v>1.0912365251883556</v>
      </c>
    </row>
    <row r="3209" spans="1:8" x14ac:dyDescent="0.25">
      <c r="A3209" s="1" t="s">
        <v>7</v>
      </c>
      <c r="B3209" s="1" t="s">
        <v>11</v>
      </c>
      <c r="C3209" s="6">
        <v>5000</v>
      </c>
      <c r="D3209" s="6">
        <v>0</v>
      </c>
      <c r="E3209" s="6">
        <v>0</v>
      </c>
      <c r="F3209" s="6">
        <v>0</v>
      </c>
      <c r="G3209" s="7" t="s">
        <v>26</v>
      </c>
      <c r="H3209" s="1">
        <f t="shared" si="50"/>
        <v>0</v>
      </c>
    </row>
    <row r="3210" spans="1:8" x14ac:dyDescent="0.25">
      <c r="A3210" s="1" t="s">
        <v>7</v>
      </c>
      <c r="B3210" s="1" t="s">
        <v>11</v>
      </c>
      <c r="C3210" s="6">
        <v>21525525</v>
      </c>
      <c r="D3210" s="6">
        <v>0</v>
      </c>
      <c r="E3210" s="6">
        <v>0</v>
      </c>
      <c r="F3210" s="6">
        <v>0</v>
      </c>
      <c r="G3210" s="7" t="s">
        <v>26</v>
      </c>
      <c r="H3210" s="1">
        <f t="shared" si="50"/>
        <v>0</v>
      </c>
    </row>
    <row r="3211" spans="1:8" x14ac:dyDescent="0.25">
      <c r="A3211" s="1" t="s">
        <v>7</v>
      </c>
      <c r="B3211" s="1" t="s">
        <v>11</v>
      </c>
      <c r="C3211" s="6">
        <v>5000</v>
      </c>
      <c r="D3211" s="6">
        <v>0</v>
      </c>
      <c r="E3211" s="6">
        <v>0</v>
      </c>
      <c r="F3211" s="6">
        <v>0</v>
      </c>
      <c r="G3211" s="7" t="s">
        <v>26</v>
      </c>
      <c r="H3211" s="1">
        <f t="shared" si="50"/>
        <v>0</v>
      </c>
    </row>
    <row r="3212" spans="1:8" x14ac:dyDescent="0.25">
      <c r="A3212" s="1" t="s">
        <v>7</v>
      </c>
      <c r="B3212" s="1" t="s">
        <v>11</v>
      </c>
      <c r="C3212" s="6">
        <v>5000</v>
      </c>
      <c r="D3212" s="6">
        <v>0</v>
      </c>
      <c r="E3212" s="6">
        <v>0</v>
      </c>
      <c r="F3212" s="6">
        <v>0</v>
      </c>
      <c r="G3212" s="7" t="s">
        <v>26</v>
      </c>
      <c r="H3212" s="1">
        <f t="shared" si="50"/>
        <v>0</v>
      </c>
    </row>
    <row r="3213" spans="1:8" x14ac:dyDescent="0.25">
      <c r="A3213" s="1" t="s">
        <v>7</v>
      </c>
      <c r="B3213" s="1" t="s">
        <v>11</v>
      </c>
      <c r="C3213" s="6">
        <v>726200</v>
      </c>
      <c r="D3213" s="6">
        <v>0</v>
      </c>
      <c r="E3213" s="6">
        <v>0</v>
      </c>
      <c r="F3213" s="6">
        <v>0</v>
      </c>
      <c r="G3213" s="7" t="s">
        <v>26</v>
      </c>
      <c r="H3213" s="1">
        <f t="shared" si="50"/>
        <v>0</v>
      </c>
    </row>
    <row r="3214" spans="1:8" x14ac:dyDescent="0.25">
      <c r="A3214" s="1" t="s">
        <v>7</v>
      </c>
      <c r="B3214" s="1" t="s">
        <v>11</v>
      </c>
      <c r="C3214" s="6">
        <v>45000</v>
      </c>
      <c r="D3214" s="6">
        <v>0</v>
      </c>
      <c r="E3214" s="6">
        <v>0</v>
      </c>
      <c r="F3214" s="6">
        <v>0</v>
      </c>
      <c r="G3214" s="7" t="s">
        <v>26</v>
      </c>
      <c r="H3214" s="1">
        <f t="shared" si="50"/>
        <v>0</v>
      </c>
    </row>
    <row r="3215" spans="1:8" x14ac:dyDescent="0.25">
      <c r="A3215" s="1" t="s">
        <v>7</v>
      </c>
      <c r="B3215" s="1" t="s">
        <v>11</v>
      </c>
      <c r="C3215" s="6">
        <v>51979573</v>
      </c>
      <c r="D3215" s="6">
        <v>48994478.219999999</v>
      </c>
      <c r="E3215" s="6">
        <v>48929515.780000001</v>
      </c>
      <c r="F3215" s="6">
        <v>44346079.039999999</v>
      </c>
      <c r="G3215" s="7" t="s">
        <v>26</v>
      </c>
      <c r="H3215" s="1">
        <f t="shared" si="50"/>
        <v>0.94257177179966445</v>
      </c>
    </row>
    <row r="3216" spans="1:8" x14ac:dyDescent="0.25">
      <c r="A3216" s="1" t="s">
        <v>7</v>
      </c>
      <c r="B3216" s="1" t="s">
        <v>11</v>
      </c>
      <c r="C3216" s="6">
        <v>45000</v>
      </c>
      <c r="D3216" s="6">
        <v>0</v>
      </c>
      <c r="E3216" s="6">
        <v>0</v>
      </c>
      <c r="F3216" s="6">
        <v>0</v>
      </c>
      <c r="G3216" s="7" t="s">
        <v>26</v>
      </c>
      <c r="H3216" s="1">
        <f t="shared" si="50"/>
        <v>0</v>
      </c>
    </row>
    <row r="3217" spans="1:8" x14ac:dyDescent="0.25">
      <c r="A3217" s="1" t="s">
        <v>7</v>
      </c>
      <c r="B3217" s="1" t="s">
        <v>11</v>
      </c>
      <c r="C3217" s="6">
        <v>7526400</v>
      </c>
      <c r="D3217" s="6">
        <v>0</v>
      </c>
      <c r="E3217" s="6">
        <v>0</v>
      </c>
      <c r="F3217" s="6">
        <v>0</v>
      </c>
      <c r="G3217" s="7" t="s">
        <v>26</v>
      </c>
      <c r="H3217" s="1">
        <f t="shared" si="50"/>
        <v>0</v>
      </c>
    </row>
    <row r="3218" spans="1:8" x14ac:dyDescent="0.25">
      <c r="A3218" s="1" t="s">
        <v>7</v>
      </c>
      <c r="B3218" s="1" t="s">
        <v>11</v>
      </c>
      <c r="C3218" s="6">
        <v>1145034</v>
      </c>
      <c r="D3218" s="6">
        <v>666005.67000000004</v>
      </c>
      <c r="E3218" s="6">
        <v>615481.29</v>
      </c>
      <c r="F3218" s="6">
        <v>615481.29</v>
      </c>
      <c r="G3218" s="7" t="s">
        <v>26</v>
      </c>
      <c r="H3218" s="1">
        <f t="shared" si="50"/>
        <v>0.58164706899533114</v>
      </c>
    </row>
    <row r="3219" spans="1:8" x14ac:dyDescent="0.25">
      <c r="A3219" s="1" t="s">
        <v>7</v>
      </c>
      <c r="B3219" s="1" t="s">
        <v>11</v>
      </c>
      <c r="C3219" s="6">
        <v>5000</v>
      </c>
      <c r="D3219" s="6">
        <v>0</v>
      </c>
      <c r="E3219" s="6">
        <v>0</v>
      </c>
      <c r="F3219" s="6">
        <v>0</v>
      </c>
      <c r="G3219" s="7" t="s">
        <v>26</v>
      </c>
      <c r="H3219" s="1">
        <f t="shared" si="50"/>
        <v>0</v>
      </c>
    </row>
    <row r="3220" spans="1:8" x14ac:dyDescent="0.25">
      <c r="A3220" s="1" t="s">
        <v>7</v>
      </c>
      <c r="B3220" s="1" t="s">
        <v>11</v>
      </c>
      <c r="C3220" s="6">
        <v>500004</v>
      </c>
      <c r="D3220" s="6">
        <v>1189125.73</v>
      </c>
      <c r="E3220" s="6">
        <v>1189125.73</v>
      </c>
      <c r="F3220" s="6">
        <v>1189125.73</v>
      </c>
      <c r="G3220" s="7" t="s">
        <v>26</v>
      </c>
      <c r="H3220" s="1">
        <f t="shared" si="50"/>
        <v>2.3782324341405268</v>
      </c>
    </row>
    <row r="3221" spans="1:8" x14ac:dyDescent="0.25">
      <c r="A3221" s="1" t="s">
        <v>7</v>
      </c>
      <c r="B3221" s="1" t="s">
        <v>11</v>
      </c>
      <c r="C3221" s="6">
        <v>5000</v>
      </c>
      <c r="D3221" s="6">
        <v>0</v>
      </c>
      <c r="E3221" s="6">
        <v>0</v>
      </c>
      <c r="F3221" s="6">
        <v>0</v>
      </c>
      <c r="G3221" s="7" t="s">
        <v>26</v>
      </c>
      <c r="H3221" s="1">
        <f t="shared" si="50"/>
        <v>0</v>
      </c>
    </row>
    <row r="3222" spans="1:8" x14ac:dyDescent="0.25">
      <c r="A3222" s="1" t="s">
        <v>7</v>
      </c>
      <c r="B3222" s="1" t="s">
        <v>11</v>
      </c>
      <c r="C3222" s="6">
        <v>5000</v>
      </c>
      <c r="D3222" s="6">
        <v>0</v>
      </c>
      <c r="E3222" s="6">
        <v>0</v>
      </c>
      <c r="F3222" s="6">
        <v>0</v>
      </c>
      <c r="G3222" s="7" t="s">
        <v>26</v>
      </c>
      <c r="H3222" s="1">
        <f t="shared" si="50"/>
        <v>0</v>
      </c>
    </row>
    <row r="3223" spans="1:8" x14ac:dyDescent="0.25">
      <c r="A3223" s="1" t="s">
        <v>7</v>
      </c>
      <c r="B3223" s="1" t="s">
        <v>11</v>
      </c>
      <c r="C3223" s="6">
        <v>5000</v>
      </c>
      <c r="D3223" s="6">
        <v>263674.5</v>
      </c>
      <c r="E3223" s="6">
        <v>263674.5</v>
      </c>
      <c r="F3223" s="6">
        <v>263674.5</v>
      </c>
      <c r="G3223" s="7" t="s">
        <v>26</v>
      </c>
      <c r="H3223" s="1">
        <f t="shared" si="50"/>
        <v>52.734900000000003</v>
      </c>
    </row>
    <row r="3224" spans="1:8" x14ac:dyDescent="0.25">
      <c r="A3224" s="1" t="s">
        <v>7</v>
      </c>
      <c r="B3224" s="1" t="s">
        <v>11</v>
      </c>
      <c r="C3224" s="6">
        <v>5000</v>
      </c>
      <c r="D3224" s="6">
        <v>0</v>
      </c>
      <c r="E3224" s="6">
        <v>0</v>
      </c>
      <c r="F3224" s="6">
        <v>0</v>
      </c>
      <c r="G3224" s="7" t="s">
        <v>26</v>
      </c>
      <c r="H3224" s="1">
        <f t="shared" si="50"/>
        <v>0</v>
      </c>
    </row>
    <row r="3225" spans="1:8" x14ac:dyDescent="0.25">
      <c r="A3225" s="1" t="s">
        <v>7</v>
      </c>
      <c r="B3225" s="1" t="s">
        <v>11</v>
      </c>
      <c r="C3225" s="6">
        <v>5000</v>
      </c>
      <c r="D3225" s="6">
        <v>0</v>
      </c>
      <c r="E3225" s="6">
        <v>0</v>
      </c>
      <c r="F3225" s="6">
        <v>0</v>
      </c>
      <c r="G3225" s="7" t="s">
        <v>26</v>
      </c>
      <c r="H3225" s="1">
        <f t="shared" si="50"/>
        <v>0</v>
      </c>
    </row>
    <row r="3226" spans="1:8" x14ac:dyDescent="0.25">
      <c r="A3226" s="1" t="s">
        <v>7</v>
      </c>
      <c r="B3226" s="1" t="s">
        <v>11</v>
      </c>
      <c r="C3226" s="6">
        <v>26657017</v>
      </c>
      <c r="D3226" s="6">
        <v>120690</v>
      </c>
      <c r="E3226" s="6">
        <v>31380</v>
      </c>
      <c r="F3226" s="6">
        <v>31380</v>
      </c>
      <c r="G3226" s="7" t="s">
        <v>26</v>
      </c>
      <c r="H3226" s="1">
        <f t="shared" ref="H3226:H3289" si="51">IF(OR(ISNA($D3226),ISNA($C3226),$C3226=0),0,$D3226/$C3226)</f>
        <v>4.5275133372950169E-3</v>
      </c>
    </row>
    <row r="3227" spans="1:8" x14ac:dyDescent="0.25">
      <c r="A3227" s="1" t="s">
        <v>7</v>
      </c>
      <c r="B3227" s="1" t="s">
        <v>11</v>
      </c>
      <c r="C3227" s="6">
        <v>270000</v>
      </c>
      <c r="D3227" s="6">
        <v>249042.12</v>
      </c>
      <c r="E3227" s="6">
        <v>0</v>
      </c>
      <c r="F3227" s="6">
        <v>0</v>
      </c>
      <c r="G3227" s="7" t="s">
        <v>26</v>
      </c>
      <c r="H3227" s="1">
        <f t="shared" si="51"/>
        <v>0.92237822222222221</v>
      </c>
    </row>
    <row r="3228" spans="1:8" x14ac:dyDescent="0.25">
      <c r="A3228" s="1" t="s">
        <v>7</v>
      </c>
      <c r="B3228" s="1" t="s">
        <v>11</v>
      </c>
      <c r="C3228" s="6">
        <v>69589</v>
      </c>
      <c r="D3228" s="6">
        <v>50564716.960000001</v>
      </c>
      <c r="E3228" s="6">
        <v>50564716.960000001</v>
      </c>
      <c r="F3228" s="6">
        <v>50564716.960000001</v>
      </c>
      <c r="G3228" s="7" t="s">
        <v>26</v>
      </c>
      <c r="H3228" s="1">
        <f t="shared" si="51"/>
        <v>726.61939329491736</v>
      </c>
    </row>
    <row r="3229" spans="1:8" x14ac:dyDescent="0.25">
      <c r="A3229" s="1" t="s">
        <v>7</v>
      </c>
      <c r="B3229" s="1" t="s">
        <v>11</v>
      </c>
      <c r="C3229" s="6">
        <v>2000000</v>
      </c>
      <c r="D3229" s="6">
        <v>1971191.07</v>
      </c>
      <c r="E3229" s="6">
        <v>1816010.24</v>
      </c>
      <c r="F3229" s="6">
        <v>1816010.24</v>
      </c>
      <c r="G3229" s="7" t="s">
        <v>26</v>
      </c>
      <c r="H3229" s="1">
        <f t="shared" si="51"/>
        <v>0.98559553500000008</v>
      </c>
    </row>
    <row r="3230" spans="1:8" x14ac:dyDescent="0.25">
      <c r="A3230" s="1" t="s">
        <v>7</v>
      </c>
      <c r="B3230" s="1" t="s">
        <v>11</v>
      </c>
      <c r="C3230" s="6">
        <v>25354584</v>
      </c>
      <c r="D3230" s="6">
        <v>29336991.780000001</v>
      </c>
      <c r="E3230" s="6">
        <v>29336991.780000001</v>
      </c>
      <c r="F3230" s="6">
        <v>29336991.780000001</v>
      </c>
      <c r="G3230" s="7" t="s">
        <v>26</v>
      </c>
      <c r="H3230" s="1">
        <f t="shared" si="51"/>
        <v>1.1570685513909438</v>
      </c>
    </row>
    <row r="3231" spans="1:8" x14ac:dyDescent="0.25">
      <c r="A3231" s="1" t="s">
        <v>7</v>
      </c>
      <c r="B3231" s="1" t="s">
        <v>11</v>
      </c>
      <c r="C3231" s="6">
        <v>45000</v>
      </c>
      <c r="D3231" s="6">
        <v>0</v>
      </c>
      <c r="E3231" s="6">
        <v>0</v>
      </c>
      <c r="F3231" s="6">
        <v>0</v>
      </c>
      <c r="G3231" s="7" t="s">
        <v>26</v>
      </c>
      <c r="H3231" s="1">
        <f t="shared" si="51"/>
        <v>0</v>
      </c>
    </row>
    <row r="3232" spans="1:8" x14ac:dyDescent="0.25">
      <c r="A3232" s="1" t="s">
        <v>7</v>
      </c>
      <c r="B3232" s="1" t="s">
        <v>11</v>
      </c>
      <c r="C3232" s="6">
        <v>2475000</v>
      </c>
      <c r="D3232" s="6">
        <v>2005620.53</v>
      </c>
      <c r="E3232" s="6">
        <v>2005620.53</v>
      </c>
      <c r="F3232" s="6">
        <v>2005620.53</v>
      </c>
      <c r="G3232" s="7" t="s">
        <v>26</v>
      </c>
      <c r="H3232" s="1">
        <f t="shared" si="51"/>
        <v>0.81035172929292931</v>
      </c>
    </row>
    <row r="3233" spans="1:8" x14ac:dyDescent="0.25">
      <c r="A3233" s="1" t="s">
        <v>7</v>
      </c>
      <c r="B3233" s="1" t="s">
        <v>11</v>
      </c>
      <c r="C3233" s="6">
        <v>76293</v>
      </c>
      <c r="D3233" s="6">
        <v>5258143.8099999996</v>
      </c>
      <c r="E3233" s="6">
        <v>5258143.8099999996</v>
      </c>
      <c r="F3233" s="6">
        <v>5258143.8099999996</v>
      </c>
      <c r="G3233" s="7" t="s">
        <v>26</v>
      </c>
      <c r="H3233" s="1">
        <f t="shared" si="51"/>
        <v>68.920396497712758</v>
      </c>
    </row>
    <row r="3234" spans="1:8" x14ac:dyDescent="0.25">
      <c r="A3234" s="1" t="s">
        <v>7</v>
      </c>
      <c r="B3234" s="1" t="s">
        <v>11</v>
      </c>
      <c r="C3234" s="6">
        <v>3372645</v>
      </c>
      <c r="D3234" s="6">
        <v>1627126.52</v>
      </c>
      <c r="E3234" s="6">
        <v>1627126.52</v>
      </c>
      <c r="F3234" s="6">
        <v>1627126.52</v>
      </c>
      <c r="G3234" s="7" t="s">
        <v>26</v>
      </c>
      <c r="H3234" s="1">
        <f t="shared" si="51"/>
        <v>0.48244820311654502</v>
      </c>
    </row>
    <row r="3235" spans="1:8" x14ac:dyDescent="0.25">
      <c r="A3235" s="1" t="s">
        <v>7</v>
      </c>
      <c r="B3235" s="1" t="s">
        <v>11</v>
      </c>
      <c r="C3235" s="6">
        <v>644577682</v>
      </c>
      <c r="D3235" s="6">
        <v>791808819.35000002</v>
      </c>
      <c r="E3235" s="6">
        <v>764479436.23000002</v>
      </c>
      <c r="F3235" s="6">
        <v>703414982.99000001</v>
      </c>
      <c r="G3235" s="7" t="s">
        <v>26</v>
      </c>
      <c r="H3235" s="1">
        <f t="shared" si="51"/>
        <v>1.2284148853760655</v>
      </c>
    </row>
    <row r="3236" spans="1:8" x14ac:dyDescent="0.25">
      <c r="A3236" s="1" t="s">
        <v>7</v>
      </c>
      <c r="B3236" s="1" t="s">
        <v>11</v>
      </c>
      <c r="C3236" s="6">
        <v>46000</v>
      </c>
      <c r="D3236" s="6">
        <v>30000000</v>
      </c>
      <c r="E3236" s="6">
        <v>30000000</v>
      </c>
      <c r="F3236" s="6">
        <v>30000000</v>
      </c>
      <c r="G3236" s="7" t="s">
        <v>26</v>
      </c>
      <c r="H3236" s="1">
        <f t="shared" si="51"/>
        <v>652.17391304347825</v>
      </c>
    </row>
    <row r="3237" spans="1:8" x14ac:dyDescent="0.25">
      <c r="A3237" s="1" t="s">
        <v>7</v>
      </c>
      <c r="B3237" s="1" t="s">
        <v>11</v>
      </c>
      <c r="C3237" s="6">
        <v>380406762</v>
      </c>
      <c r="D3237" s="6">
        <v>357203962.67000002</v>
      </c>
      <c r="E3237" s="6">
        <v>346139582.5</v>
      </c>
      <c r="F3237" s="6">
        <v>343239928.44</v>
      </c>
      <c r="G3237" s="7" t="s">
        <v>26</v>
      </c>
      <c r="H3237" s="1">
        <f t="shared" si="51"/>
        <v>0.93900529210361416</v>
      </c>
    </row>
    <row r="3238" spans="1:8" x14ac:dyDescent="0.25">
      <c r="A3238" s="1" t="s">
        <v>7</v>
      </c>
      <c r="B3238" s="1" t="s">
        <v>11</v>
      </c>
      <c r="C3238" s="6">
        <v>5000</v>
      </c>
      <c r="D3238" s="6">
        <v>0</v>
      </c>
      <c r="E3238" s="6">
        <v>0</v>
      </c>
      <c r="F3238" s="6">
        <v>0</v>
      </c>
      <c r="G3238" s="7" t="s">
        <v>26</v>
      </c>
      <c r="H3238" s="1">
        <f t="shared" si="51"/>
        <v>0</v>
      </c>
    </row>
    <row r="3239" spans="1:8" x14ac:dyDescent="0.25">
      <c r="A3239" s="1" t="s">
        <v>7</v>
      </c>
      <c r="B3239" s="1" t="s">
        <v>11</v>
      </c>
      <c r="C3239" s="6">
        <v>5000</v>
      </c>
      <c r="D3239" s="6">
        <v>0</v>
      </c>
      <c r="E3239" s="6">
        <v>0</v>
      </c>
      <c r="F3239" s="6">
        <v>0</v>
      </c>
      <c r="G3239" s="7" t="s">
        <v>26</v>
      </c>
      <c r="H3239" s="1">
        <f t="shared" si="51"/>
        <v>0</v>
      </c>
    </row>
    <row r="3240" spans="1:8" x14ac:dyDescent="0.25">
      <c r="A3240" s="1" t="s">
        <v>7</v>
      </c>
      <c r="B3240" s="1" t="s">
        <v>11</v>
      </c>
      <c r="C3240" s="6">
        <v>0</v>
      </c>
      <c r="D3240" s="6">
        <v>3529977.79</v>
      </c>
      <c r="E3240" s="6">
        <v>3529977.79</v>
      </c>
      <c r="F3240" s="6">
        <v>3529977.79</v>
      </c>
      <c r="G3240" s="7" t="s">
        <v>26</v>
      </c>
      <c r="H3240" s="1">
        <f t="shared" si="51"/>
        <v>0</v>
      </c>
    </row>
    <row r="3241" spans="1:8" x14ac:dyDescent="0.25">
      <c r="A3241" s="1" t="s">
        <v>7</v>
      </c>
      <c r="B3241" s="1" t="s">
        <v>11</v>
      </c>
      <c r="C3241" s="6">
        <v>45000</v>
      </c>
      <c r="D3241" s="6">
        <v>0</v>
      </c>
      <c r="E3241" s="6">
        <v>0</v>
      </c>
      <c r="F3241" s="6">
        <v>0</v>
      </c>
      <c r="G3241" s="7" t="s">
        <v>26</v>
      </c>
      <c r="H3241" s="1">
        <f t="shared" si="51"/>
        <v>0</v>
      </c>
    </row>
    <row r="3242" spans="1:8" x14ac:dyDescent="0.25">
      <c r="A3242" s="1" t="s">
        <v>7</v>
      </c>
      <c r="B3242" s="1" t="s">
        <v>11</v>
      </c>
      <c r="C3242" s="6">
        <v>3273600</v>
      </c>
      <c r="D3242" s="6">
        <v>0</v>
      </c>
      <c r="E3242" s="6">
        <v>0</v>
      </c>
      <c r="F3242" s="6">
        <v>0</v>
      </c>
      <c r="G3242" s="7" t="s">
        <v>26</v>
      </c>
      <c r="H3242" s="1">
        <f t="shared" si="51"/>
        <v>0</v>
      </c>
    </row>
    <row r="3243" spans="1:8" x14ac:dyDescent="0.25">
      <c r="A3243" s="1" t="s">
        <v>7</v>
      </c>
      <c r="B3243" s="1" t="s">
        <v>11</v>
      </c>
      <c r="C3243" s="6">
        <v>1145034</v>
      </c>
      <c r="D3243" s="6">
        <v>1748653.47</v>
      </c>
      <c r="E3243" s="6">
        <v>1597080.51</v>
      </c>
      <c r="F3243" s="6">
        <v>1597080.51</v>
      </c>
      <c r="G3243" s="7" t="s">
        <v>26</v>
      </c>
      <c r="H3243" s="1">
        <f t="shared" si="51"/>
        <v>1.5271629226730385</v>
      </c>
    </row>
    <row r="3244" spans="1:8" x14ac:dyDescent="0.25">
      <c r="A3244" s="1" t="s">
        <v>7</v>
      </c>
      <c r="B3244" s="1" t="s">
        <v>11</v>
      </c>
      <c r="C3244" s="6">
        <v>5000</v>
      </c>
      <c r="D3244" s="6">
        <v>0</v>
      </c>
      <c r="E3244" s="6">
        <v>0</v>
      </c>
      <c r="F3244" s="6">
        <v>0</v>
      </c>
      <c r="G3244" s="7" t="s">
        <v>26</v>
      </c>
      <c r="H3244" s="1">
        <f t="shared" si="51"/>
        <v>0</v>
      </c>
    </row>
    <row r="3245" spans="1:8" x14ac:dyDescent="0.25">
      <c r="A3245" s="1" t="s">
        <v>7</v>
      </c>
      <c r="B3245" s="1" t="s">
        <v>11</v>
      </c>
      <c r="C3245" s="6">
        <v>6369471</v>
      </c>
      <c r="D3245" s="6">
        <v>0</v>
      </c>
      <c r="E3245" s="6">
        <v>0</v>
      </c>
      <c r="F3245" s="6">
        <v>0</v>
      </c>
      <c r="G3245" s="7" t="s">
        <v>26</v>
      </c>
      <c r="H3245" s="1">
        <f t="shared" si="51"/>
        <v>0</v>
      </c>
    </row>
    <row r="3246" spans="1:8" x14ac:dyDescent="0.25">
      <c r="A3246" s="1" t="s">
        <v>7</v>
      </c>
      <c r="B3246" s="1" t="s">
        <v>11</v>
      </c>
      <c r="C3246" s="6">
        <v>500004</v>
      </c>
      <c r="D3246" s="6">
        <v>1222335.47</v>
      </c>
      <c r="E3246" s="6">
        <v>1222335.47</v>
      </c>
      <c r="F3246" s="6">
        <v>1222335.47</v>
      </c>
      <c r="G3246" s="7" t="s">
        <v>26</v>
      </c>
      <c r="H3246" s="1">
        <f t="shared" si="51"/>
        <v>2.4446513827889378</v>
      </c>
    </row>
    <row r="3247" spans="1:8" x14ac:dyDescent="0.25">
      <c r="A3247" s="1" t="s">
        <v>7</v>
      </c>
      <c r="B3247" s="1" t="s">
        <v>11</v>
      </c>
      <c r="C3247" s="6">
        <v>5000</v>
      </c>
      <c r="D3247" s="6">
        <v>0</v>
      </c>
      <c r="E3247" s="6">
        <v>0</v>
      </c>
      <c r="F3247" s="6">
        <v>0</v>
      </c>
      <c r="G3247" s="7" t="s">
        <v>26</v>
      </c>
      <c r="H3247" s="1">
        <f t="shared" si="51"/>
        <v>0</v>
      </c>
    </row>
    <row r="3248" spans="1:8" x14ac:dyDescent="0.25">
      <c r="A3248" s="1" t="s">
        <v>7</v>
      </c>
      <c r="B3248" s="1" t="s">
        <v>11</v>
      </c>
      <c r="C3248" s="6">
        <v>5000</v>
      </c>
      <c r="D3248" s="6">
        <v>0</v>
      </c>
      <c r="E3248" s="6">
        <v>0</v>
      </c>
      <c r="F3248" s="6">
        <v>0</v>
      </c>
      <c r="G3248" s="7" t="s">
        <v>26</v>
      </c>
      <c r="H3248" s="1">
        <f t="shared" si="51"/>
        <v>0</v>
      </c>
    </row>
    <row r="3249" spans="1:8" x14ac:dyDescent="0.25">
      <c r="A3249" s="1" t="s">
        <v>7</v>
      </c>
      <c r="B3249" s="1" t="s">
        <v>11</v>
      </c>
      <c r="C3249" s="6">
        <v>15784895</v>
      </c>
      <c r="D3249" s="6">
        <v>39225</v>
      </c>
      <c r="E3249" s="6">
        <v>0</v>
      </c>
      <c r="F3249" s="6">
        <v>0</v>
      </c>
      <c r="G3249" s="7" t="s">
        <v>26</v>
      </c>
      <c r="H3249" s="1">
        <f t="shared" si="51"/>
        <v>2.4849706000578402E-3</v>
      </c>
    </row>
    <row r="3250" spans="1:8" x14ac:dyDescent="0.25">
      <c r="A3250" s="1" t="s">
        <v>7</v>
      </c>
      <c r="B3250" s="1" t="s">
        <v>11</v>
      </c>
      <c r="C3250" s="6">
        <v>10000</v>
      </c>
      <c r="D3250" s="6">
        <v>0</v>
      </c>
      <c r="E3250" s="6">
        <v>0</v>
      </c>
      <c r="F3250" s="6">
        <v>0</v>
      </c>
      <c r="G3250" s="7" t="s">
        <v>26</v>
      </c>
      <c r="H3250" s="1">
        <f t="shared" si="51"/>
        <v>0</v>
      </c>
    </row>
    <row r="3251" spans="1:8" x14ac:dyDescent="0.25">
      <c r="A3251" s="1" t="s">
        <v>7</v>
      </c>
      <c r="B3251" s="1" t="s">
        <v>11</v>
      </c>
      <c r="C3251" s="6">
        <v>231669</v>
      </c>
      <c r="D3251" s="6">
        <v>648218</v>
      </c>
      <c r="E3251" s="6">
        <v>648218</v>
      </c>
      <c r="F3251" s="6">
        <v>648218</v>
      </c>
      <c r="G3251" s="7" t="s">
        <v>26</v>
      </c>
      <c r="H3251" s="1">
        <f t="shared" si="51"/>
        <v>2.7980351277037498</v>
      </c>
    </row>
    <row r="3252" spans="1:8" x14ac:dyDescent="0.25">
      <c r="A3252" s="1" t="s">
        <v>7</v>
      </c>
      <c r="B3252" s="1" t="s">
        <v>11</v>
      </c>
      <c r="C3252" s="6">
        <v>5000</v>
      </c>
      <c r="D3252" s="6">
        <v>0</v>
      </c>
      <c r="E3252" s="6">
        <v>0</v>
      </c>
      <c r="F3252" s="6">
        <v>0</v>
      </c>
      <c r="G3252" s="7" t="s">
        <v>26</v>
      </c>
      <c r="H3252" s="1">
        <f t="shared" si="51"/>
        <v>0</v>
      </c>
    </row>
    <row r="3253" spans="1:8" x14ac:dyDescent="0.25">
      <c r="A3253" s="1" t="s">
        <v>7</v>
      </c>
      <c r="B3253" s="1" t="s">
        <v>11</v>
      </c>
      <c r="C3253" s="6">
        <v>75000</v>
      </c>
      <c r="D3253" s="6">
        <v>0</v>
      </c>
      <c r="E3253" s="6">
        <v>0</v>
      </c>
      <c r="F3253" s="6">
        <v>0</v>
      </c>
      <c r="G3253" s="7" t="s">
        <v>26</v>
      </c>
      <c r="H3253" s="1">
        <f t="shared" si="51"/>
        <v>0</v>
      </c>
    </row>
    <row r="3254" spans="1:8" x14ac:dyDescent="0.25">
      <c r="A3254" s="1" t="s">
        <v>7</v>
      </c>
      <c r="B3254" s="1" t="s">
        <v>11</v>
      </c>
      <c r="C3254" s="6">
        <v>88189</v>
      </c>
      <c r="D3254" s="6">
        <v>70770</v>
      </c>
      <c r="E3254" s="6">
        <v>70770</v>
      </c>
      <c r="F3254" s="6">
        <v>70770</v>
      </c>
      <c r="G3254" s="7" t="s">
        <v>26</v>
      </c>
      <c r="H3254" s="1">
        <f t="shared" si="51"/>
        <v>0.80248103504972279</v>
      </c>
    </row>
    <row r="3255" spans="1:8" x14ac:dyDescent="0.25">
      <c r="A3255" s="1" t="s">
        <v>7</v>
      </c>
      <c r="B3255" s="1" t="s">
        <v>11</v>
      </c>
      <c r="C3255" s="6">
        <v>23260</v>
      </c>
      <c r="D3255" s="6">
        <v>4213</v>
      </c>
      <c r="E3255" s="6">
        <v>4213</v>
      </c>
      <c r="F3255" s="6">
        <v>4213</v>
      </c>
      <c r="G3255" s="7" t="s">
        <v>26</v>
      </c>
      <c r="H3255" s="1">
        <f t="shared" si="51"/>
        <v>0.18112639724849527</v>
      </c>
    </row>
    <row r="3256" spans="1:8" x14ac:dyDescent="0.25">
      <c r="A3256" s="1" t="s">
        <v>7</v>
      </c>
      <c r="B3256" s="1" t="s">
        <v>11</v>
      </c>
      <c r="C3256" s="6">
        <v>36628095</v>
      </c>
      <c r="D3256" s="6">
        <v>26038083.949999999</v>
      </c>
      <c r="E3256" s="6">
        <v>25939706.469999999</v>
      </c>
      <c r="F3256" s="6">
        <v>23557619.07</v>
      </c>
      <c r="G3256" s="7" t="s">
        <v>26</v>
      </c>
      <c r="H3256" s="1">
        <f t="shared" si="51"/>
        <v>0.71087737295646958</v>
      </c>
    </row>
    <row r="3257" spans="1:8" x14ac:dyDescent="0.25">
      <c r="A3257" s="1" t="s">
        <v>7</v>
      </c>
      <c r="B3257" s="1" t="s">
        <v>11</v>
      </c>
      <c r="C3257" s="6">
        <v>5000</v>
      </c>
      <c r="D3257" s="6">
        <v>0</v>
      </c>
      <c r="E3257" s="6">
        <v>0</v>
      </c>
      <c r="F3257" s="6">
        <v>0</v>
      </c>
      <c r="G3257" s="7" t="s">
        <v>26</v>
      </c>
      <c r="H3257" s="1">
        <f t="shared" si="51"/>
        <v>0</v>
      </c>
    </row>
    <row r="3258" spans="1:8" x14ac:dyDescent="0.25">
      <c r="A3258" s="1" t="s">
        <v>7</v>
      </c>
      <c r="B3258" s="1" t="s">
        <v>11</v>
      </c>
      <c r="C3258" s="6">
        <v>5000</v>
      </c>
      <c r="D3258" s="6">
        <v>0</v>
      </c>
      <c r="E3258" s="6">
        <v>0</v>
      </c>
      <c r="F3258" s="6">
        <v>0</v>
      </c>
      <c r="G3258" s="7" t="s">
        <v>26</v>
      </c>
      <c r="H3258" s="1">
        <f t="shared" si="51"/>
        <v>0</v>
      </c>
    </row>
    <row r="3259" spans="1:8" x14ac:dyDescent="0.25">
      <c r="A3259" s="1" t="s">
        <v>7</v>
      </c>
      <c r="B3259" s="1" t="s">
        <v>11</v>
      </c>
      <c r="C3259" s="6">
        <v>5000</v>
      </c>
      <c r="D3259" s="6">
        <v>0</v>
      </c>
      <c r="E3259" s="6">
        <v>0</v>
      </c>
      <c r="F3259" s="6">
        <v>0</v>
      </c>
      <c r="G3259" s="7" t="s">
        <v>26</v>
      </c>
      <c r="H3259" s="1">
        <f t="shared" si="51"/>
        <v>0</v>
      </c>
    </row>
    <row r="3260" spans="1:8" x14ac:dyDescent="0.25">
      <c r="A3260" s="1" t="s">
        <v>7</v>
      </c>
      <c r="B3260" s="1" t="s">
        <v>11</v>
      </c>
      <c r="C3260" s="6">
        <v>2022605</v>
      </c>
      <c r="D3260" s="6">
        <v>0</v>
      </c>
      <c r="E3260" s="6">
        <v>0</v>
      </c>
      <c r="F3260" s="6">
        <v>0</v>
      </c>
      <c r="G3260" s="7" t="s">
        <v>26</v>
      </c>
      <c r="H3260" s="1">
        <f t="shared" si="51"/>
        <v>0</v>
      </c>
    </row>
    <row r="3261" spans="1:8" x14ac:dyDescent="0.25">
      <c r="A3261" s="1" t="s">
        <v>7</v>
      </c>
      <c r="B3261" s="1" t="s">
        <v>11</v>
      </c>
      <c r="C3261" s="6">
        <v>5000</v>
      </c>
      <c r="D3261" s="6">
        <v>0</v>
      </c>
      <c r="E3261" s="6">
        <v>0</v>
      </c>
      <c r="F3261" s="6">
        <v>0</v>
      </c>
      <c r="G3261" s="7" t="s">
        <v>26</v>
      </c>
      <c r="H3261" s="1">
        <f t="shared" si="51"/>
        <v>0</v>
      </c>
    </row>
    <row r="3262" spans="1:8" x14ac:dyDescent="0.25">
      <c r="A3262" s="1" t="s">
        <v>7</v>
      </c>
      <c r="B3262" s="1" t="s">
        <v>11</v>
      </c>
      <c r="C3262" s="6">
        <v>5000</v>
      </c>
      <c r="D3262" s="6">
        <v>0</v>
      </c>
      <c r="E3262" s="6">
        <v>0</v>
      </c>
      <c r="F3262" s="6">
        <v>0</v>
      </c>
      <c r="G3262" s="7" t="s">
        <v>26</v>
      </c>
      <c r="H3262" s="1">
        <f t="shared" si="51"/>
        <v>0</v>
      </c>
    </row>
    <row r="3263" spans="1:8" x14ac:dyDescent="0.25">
      <c r="A3263" s="1" t="s">
        <v>7</v>
      </c>
      <c r="B3263" s="1" t="s">
        <v>11</v>
      </c>
      <c r="C3263" s="6">
        <v>695007</v>
      </c>
      <c r="D3263" s="6">
        <v>1134604.97</v>
      </c>
      <c r="E3263" s="6">
        <v>633654.97</v>
      </c>
      <c r="F3263" s="6">
        <v>633654.97</v>
      </c>
      <c r="G3263" s="7" t="s">
        <v>26</v>
      </c>
      <c r="H3263" s="1">
        <f t="shared" si="51"/>
        <v>1.6325086941570373</v>
      </c>
    </row>
    <row r="3264" spans="1:8" x14ac:dyDescent="0.25">
      <c r="A3264" s="1" t="s">
        <v>7</v>
      </c>
      <c r="B3264" s="1" t="s">
        <v>11</v>
      </c>
      <c r="C3264" s="6">
        <v>15000</v>
      </c>
      <c r="D3264" s="6">
        <v>0</v>
      </c>
      <c r="E3264" s="6">
        <v>0</v>
      </c>
      <c r="F3264" s="6">
        <v>0</v>
      </c>
      <c r="G3264" s="7" t="s">
        <v>26</v>
      </c>
      <c r="H3264" s="1">
        <f t="shared" si="51"/>
        <v>0</v>
      </c>
    </row>
    <row r="3265" spans="1:8" x14ac:dyDescent="0.25">
      <c r="A3265" s="1" t="s">
        <v>7</v>
      </c>
      <c r="B3265" s="1" t="s">
        <v>11</v>
      </c>
      <c r="C3265" s="6">
        <v>225000</v>
      </c>
      <c r="D3265" s="6">
        <v>0</v>
      </c>
      <c r="E3265" s="6">
        <v>0</v>
      </c>
      <c r="F3265" s="6">
        <v>0</v>
      </c>
      <c r="G3265" s="7" t="s">
        <v>26</v>
      </c>
      <c r="H3265" s="1">
        <f t="shared" si="51"/>
        <v>0</v>
      </c>
    </row>
    <row r="3266" spans="1:8" x14ac:dyDescent="0.25">
      <c r="A3266" s="1" t="s">
        <v>7</v>
      </c>
      <c r="B3266" s="1" t="s">
        <v>11</v>
      </c>
      <c r="C3266" s="6">
        <v>777905</v>
      </c>
      <c r="D3266" s="6">
        <v>335895</v>
      </c>
      <c r="E3266" s="6">
        <v>335895</v>
      </c>
      <c r="F3266" s="6">
        <v>335895</v>
      </c>
      <c r="G3266" s="7" t="s">
        <v>26</v>
      </c>
      <c r="H3266" s="1">
        <f t="shared" si="51"/>
        <v>0.43179437077792276</v>
      </c>
    </row>
    <row r="3267" spans="1:8" x14ac:dyDescent="0.25">
      <c r="A3267" s="1" t="s">
        <v>7</v>
      </c>
      <c r="B3267" s="1" t="s">
        <v>11</v>
      </c>
      <c r="C3267" s="6">
        <v>69783</v>
      </c>
      <c r="D3267" s="6">
        <v>12903</v>
      </c>
      <c r="E3267" s="6">
        <v>12903</v>
      </c>
      <c r="F3267" s="6">
        <v>12903</v>
      </c>
      <c r="G3267" s="7" t="s">
        <v>26</v>
      </c>
      <c r="H3267" s="1">
        <f t="shared" si="51"/>
        <v>0.18490176690597995</v>
      </c>
    </row>
    <row r="3268" spans="1:8" x14ac:dyDescent="0.25">
      <c r="A3268" s="1" t="s">
        <v>7</v>
      </c>
      <c r="B3268" s="1" t="s">
        <v>11</v>
      </c>
      <c r="C3268" s="6">
        <v>1370762</v>
      </c>
      <c r="D3268" s="6">
        <v>0</v>
      </c>
      <c r="E3268" s="6">
        <v>0</v>
      </c>
      <c r="F3268" s="6">
        <v>0</v>
      </c>
      <c r="G3268" s="7" t="s">
        <v>26</v>
      </c>
      <c r="H3268" s="1">
        <f t="shared" si="51"/>
        <v>0</v>
      </c>
    </row>
    <row r="3269" spans="1:8" x14ac:dyDescent="0.25">
      <c r="A3269" s="1" t="s">
        <v>7</v>
      </c>
      <c r="B3269" s="1" t="s">
        <v>11</v>
      </c>
      <c r="C3269" s="6">
        <v>900000</v>
      </c>
      <c r="D3269" s="6">
        <v>82415448.200000003</v>
      </c>
      <c r="E3269" s="6">
        <v>82415448.200000003</v>
      </c>
      <c r="F3269" s="6">
        <v>82415448.200000003</v>
      </c>
      <c r="G3269" s="7" t="s">
        <v>26</v>
      </c>
      <c r="H3269" s="1">
        <f t="shared" si="51"/>
        <v>91.57272022222223</v>
      </c>
    </row>
    <row r="3270" spans="1:8" x14ac:dyDescent="0.25">
      <c r="A3270" s="1" t="s">
        <v>7</v>
      </c>
      <c r="B3270" s="1" t="s">
        <v>11</v>
      </c>
      <c r="C3270" s="6">
        <v>3682659</v>
      </c>
      <c r="D3270" s="6">
        <v>1299458.18</v>
      </c>
      <c r="E3270" s="6">
        <v>1099541.5</v>
      </c>
      <c r="F3270" s="6">
        <v>1099541.5</v>
      </c>
      <c r="G3270" s="7" t="s">
        <v>26</v>
      </c>
      <c r="H3270" s="1">
        <f t="shared" si="51"/>
        <v>0.35285867629883733</v>
      </c>
    </row>
    <row r="3271" spans="1:8" x14ac:dyDescent="0.25">
      <c r="A3271" s="1" t="s">
        <v>7</v>
      </c>
      <c r="B3271" s="1" t="s">
        <v>11</v>
      </c>
      <c r="C3271" s="6">
        <v>480000</v>
      </c>
      <c r="D3271" s="6">
        <v>0</v>
      </c>
      <c r="E3271" s="6">
        <v>0</v>
      </c>
      <c r="F3271" s="6">
        <v>0</v>
      </c>
      <c r="G3271" s="7" t="s">
        <v>26</v>
      </c>
      <c r="H3271" s="1">
        <f t="shared" si="51"/>
        <v>0</v>
      </c>
    </row>
    <row r="3272" spans="1:8" x14ac:dyDescent="0.25">
      <c r="A3272" s="1" t="s">
        <v>7</v>
      </c>
      <c r="B3272" s="1" t="s">
        <v>11</v>
      </c>
      <c r="C3272" s="6">
        <v>5974017</v>
      </c>
      <c r="D3272" s="6">
        <v>6985197.1399999997</v>
      </c>
      <c r="E3272" s="6">
        <v>6985197.1399999997</v>
      </c>
      <c r="F3272" s="6">
        <v>6385971.7599999998</v>
      </c>
      <c r="G3272" s="7" t="s">
        <v>26</v>
      </c>
      <c r="H3272" s="1">
        <f t="shared" si="51"/>
        <v>1.1692630168277056</v>
      </c>
    </row>
    <row r="3273" spans="1:8" x14ac:dyDescent="0.25">
      <c r="A3273" s="1" t="s">
        <v>7</v>
      </c>
      <c r="B3273" s="1" t="s">
        <v>11</v>
      </c>
      <c r="C3273" s="6">
        <v>45000</v>
      </c>
      <c r="D3273" s="6">
        <v>0</v>
      </c>
      <c r="E3273" s="6">
        <v>0</v>
      </c>
      <c r="F3273" s="6">
        <v>0</v>
      </c>
      <c r="G3273" s="7" t="s">
        <v>26</v>
      </c>
      <c r="H3273" s="1">
        <f t="shared" si="51"/>
        <v>0</v>
      </c>
    </row>
    <row r="3274" spans="1:8" x14ac:dyDescent="0.25">
      <c r="A3274" s="1" t="s">
        <v>7</v>
      </c>
      <c r="B3274" s="1" t="s">
        <v>11</v>
      </c>
      <c r="C3274" s="6">
        <v>6000000</v>
      </c>
      <c r="D3274" s="6">
        <v>0</v>
      </c>
      <c r="E3274" s="6">
        <v>0</v>
      </c>
      <c r="F3274" s="6">
        <v>0</v>
      </c>
      <c r="G3274" s="7" t="s">
        <v>26</v>
      </c>
      <c r="H3274" s="1">
        <f t="shared" si="51"/>
        <v>0</v>
      </c>
    </row>
    <row r="3275" spans="1:8" x14ac:dyDescent="0.25">
      <c r="A3275" s="1" t="s">
        <v>7</v>
      </c>
      <c r="B3275" s="1" t="s">
        <v>11</v>
      </c>
      <c r="C3275" s="6">
        <v>150490</v>
      </c>
      <c r="D3275" s="6">
        <v>0</v>
      </c>
      <c r="E3275" s="6">
        <v>0</v>
      </c>
      <c r="F3275" s="6">
        <v>0</v>
      </c>
      <c r="G3275" s="7" t="s">
        <v>26</v>
      </c>
      <c r="H3275" s="1">
        <f t="shared" si="51"/>
        <v>0</v>
      </c>
    </row>
    <row r="3276" spans="1:8" x14ac:dyDescent="0.25">
      <c r="A3276" s="1" t="s">
        <v>7</v>
      </c>
      <c r="B3276" s="1" t="s">
        <v>11</v>
      </c>
      <c r="C3276" s="6">
        <v>82520</v>
      </c>
      <c r="D3276" s="6">
        <v>91424.38</v>
      </c>
      <c r="E3276" s="6">
        <v>69301.58</v>
      </c>
      <c r="F3276" s="6">
        <v>69301.58</v>
      </c>
      <c r="G3276" s="7" t="s">
        <v>26</v>
      </c>
      <c r="H3276" s="1">
        <f t="shared" si="51"/>
        <v>1.1079057198254969</v>
      </c>
    </row>
    <row r="3277" spans="1:8" x14ac:dyDescent="0.25">
      <c r="A3277" s="1" t="s">
        <v>7</v>
      </c>
      <c r="B3277" s="1" t="s">
        <v>11</v>
      </c>
      <c r="C3277" s="6">
        <v>850</v>
      </c>
      <c r="D3277" s="6">
        <v>0</v>
      </c>
      <c r="E3277" s="6">
        <v>0</v>
      </c>
      <c r="F3277" s="6">
        <v>0</v>
      </c>
      <c r="G3277" s="7" t="s">
        <v>26</v>
      </c>
      <c r="H3277" s="1">
        <f t="shared" si="51"/>
        <v>0</v>
      </c>
    </row>
    <row r="3278" spans="1:8" x14ac:dyDescent="0.25">
      <c r="A3278" s="1" t="s">
        <v>7</v>
      </c>
      <c r="B3278" s="1" t="s">
        <v>11</v>
      </c>
      <c r="C3278" s="6">
        <v>17850</v>
      </c>
      <c r="D3278" s="6">
        <v>100707.85</v>
      </c>
      <c r="E3278" s="6">
        <v>86032.86</v>
      </c>
      <c r="F3278" s="6">
        <v>85202.67</v>
      </c>
      <c r="G3278" s="7" t="s">
        <v>26</v>
      </c>
      <c r="H3278" s="1">
        <f t="shared" si="51"/>
        <v>5.6418963585434181</v>
      </c>
    </row>
    <row r="3279" spans="1:8" x14ac:dyDescent="0.25">
      <c r="A3279" s="1" t="s">
        <v>7</v>
      </c>
      <c r="B3279" s="1" t="s">
        <v>11</v>
      </c>
      <c r="C3279" s="6">
        <v>850</v>
      </c>
      <c r="D3279" s="6">
        <v>33118.550000000003</v>
      </c>
      <c r="E3279" s="6">
        <v>0</v>
      </c>
      <c r="F3279" s="6">
        <v>0</v>
      </c>
      <c r="G3279" s="7" t="s">
        <v>26</v>
      </c>
      <c r="H3279" s="1">
        <f t="shared" si="51"/>
        <v>38.963000000000001</v>
      </c>
    </row>
    <row r="3280" spans="1:8" x14ac:dyDescent="0.25">
      <c r="A3280" s="1" t="s">
        <v>7</v>
      </c>
      <c r="B3280" s="1" t="s">
        <v>11</v>
      </c>
      <c r="C3280" s="6">
        <v>1870</v>
      </c>
      <c r="D3280" s="6">
        <v>1589.54</v>
      </c>
      <c r="E3280" s="6">
        <v>1589.54</v>
      </c>
      <c r="F3280" s="6">
        <v>1589.54</v>
      </c>
      <c r="G3280" s="7" t="s">
        <v>26</v>
      </c>
      <c r="H3280" s="1">
        <f t="shared" si="51"/>
        <v>0.85002139037433155</v>
      </c>
    </row>
    <row r="3281" spans="1:8" x14ac:dyDescent="0.25">
      <c r="A3281" s="1" t="s">
        <v>7</v>
      </c>
      <c r="B3281" s="1" t="s">
        <v>11</v>
      </c>
      <c r="C3281" s="6">
        <v>3974.5</v>
      </c>
      <c r="D3281" s="6">
        <v>0</v>
      </c>
      <c r="E3281" s="6">
        <v>0</v>
      </c>
      <c r="F3281" s="6">
        <v>0</v>
      </c>
      <c r="G3281" s="7" t="s">
        <v>26</v>
      </c>
      <c r="H3281" s="1">
        <f t="shared" si="51"/>
        <v>0</v>
      </c>
    </row>
    <row r="3282" spans="1:8" x14ac:dyDescent="0.25">
      <c r="A3282" s="1" t="s">
        <v>7</v>
      </c>
      <c r="B3282" s="1" t="s">
        <v>11</v>
      </c>
      <c r="C3282" s="6">
        <v>405</v>
      </c>
      <c r="D3282" s="6">
        <v>0</v>
      </c>
      <c r="E3282" s="6">
        <v>0</v>
      </c>
      <c r="F3282" s="6">
        <v>0</v>
      </c>
      <c r="G3282" s="7" t="s">
        <v>26</v>
      </c>
      <c r="H3282" s="1">
        <f t="shared" si="51"/>
        <v>0</v>
      </c>
    </row>
    <row r="3283" spans="1:8" x14ac:dyDescent="0.25">
      <c r="A3283" s="1" t="s">
        <v>7</v>
      </c>
      <c r="B3283" s="1" t="s">
        <v>11</v>
      </c>
      <c r="C3283" s="6">
        <v>17062.5</v>
      </c>
      <c r="D3283" s="6">
        <v>0</v>
      </c>
      <c r="E3283" s="6">
        <v>0</v>
      </c>
      <c r="F3283" s="6">
        <v>0</v>
      </c>
      <c r="G3283" s="7" t="s">
        <v>26</v>
      </c>
      <c r="H3283" s="1">
        <f t="shared" si="51"/>
        <v>0</v>
      </c>
    </row>
    <row r="3284" spans="1:8" x14ac:dyDescent="0.25">
      <c r="A3284" s="1" t="s">
        <v>7</v>
      </c>
      <c r="B3284" s="1" t="s">
        <v>11</v>
      </c>
      <c r="C3284" s="6">
        <v>26350</v>
      </c>
      <c r="D3284" s="6">
        <v>0</v>
      </c>
      <c r="E3284" s="6">
        <v>0</v>
      </c>
      <c r="F3284" s="6">
        <v>0</v>
      </c>
      <c r="G3284" s="7" t="s">
        <v>26</v>
      </c>
      <c r="H3284" s="1">
        <f t="shared" si="51"/>
        <v>0</v>
      </c>
    </row>
    <row r="3285" spans="1:8" x14ac:dyDescent="0.25">
      <c r="A3285" s="1" t="s">
        <v>7</v>
      </c>
      <c r="B3285" s="1" t="s">
        <v>11</v>
      </c>
      <c r="C3285" s="6">
        <v>250</v>
      </c>
      <c r="D3285" s="6">
        <v>0</v>
      </c>
      <c r="E3285" s="6">
        <v>0</v>
      </c>
      <c r="F3285" s="6">
        <v>0</v>
      </c>
      <c r="G3285" s="7" t="s">
        <v>26</v>
      </c>
      <c r="H3285" s="1">
        <f t="shared" si="51"/>
        <v>0</v>
      </c>
    </row>
    <row r="3286" spans="1:8" x14ac:dyDescent="0.25">
      <c r="A3286" s="1" t="s">
        <v>7</v>
      </c>
      <c r="B3286" s="1" t="s">
        <v>11</v>
      </c>
      <c r="C3286" s="6">
        <v>170530</v>
      </c>
      <c r="D3286" s="6">
        <v>168425.03</v>
      </c>
      <c r="E3286" s="6">
        <v>168425.03</v>
      </c>
      <c r="F3286" s="6">
        <v>168425.03</v>
      </c>
      <c r="G3286" s="7" t="s">
        <v>26</v>
      </c>
      <c r="H3286" s="1">
        <f t="shared" si="51"/>
        <v>0.98765630680818628</v>
      </c>
    </row>
    <row r="3287" spans="1:8" x14ac:dyDescent="0.25">
      <c r="A3287" s="1" t="s">
        <v>7</v>
      </c>
      <c r="B3287" s="1" t="s">
        <v>11</v>
      </c>
      <c r="C3287" s="6">
        <v>94500</v>
      </c>
      <c r="D3287" s="6">
        <v>0</v>
      </c>
      <c r="E3287" s="6">
        <v>0</v>
      </c>
      <c r="F3287" s="6">
        <v>0</v>
      </c>
      <c r="G3287" s="7" t="s">
        <v>26</v>
      </c>
      <c r="H3287" s="1">
        <f t="shared" si="51"/>
        <v>0</v>
      </c>
    </row>
    <row r="3288" spans="1:8" x14ac:dyDescent="0.25">
      <c r="A3288" s="1" t="s">
        <v>16</v>
      </c>
      <c r="B3288" s="1" t="s">
        <v>17</v>
      </c>
      <c r="C3288" s="6">
        <v>4003632</v>
      </c>
      <c r="D3288" s="6">
        <v>4003631.16</v>
      </c>
      <c r="E3288" s="6">
        <v>4003631.16</v>
      </c>
      <c r="F3288" s="6">
        <v>4003631.16</v>
      </c>
      <c r="G3288" s="7" t="s">
        <v>26</v>
      </c>
      <c r="H3288" s="1">
        <f t="shared" si="51"/>
        <v>0.99999979019050711</v>
      </c>
    </row>
    <row r="3289" spans="1:8" x14ac:dyDescent="0.25">
      <c r="A3289" s="1" t="s">
        <v>16</v>
      </c>
      <c r="B3289" s="1" t="s">
        <v>17</v>
      </c>
      <c r="C3289" s="6">
        <v>33513008</v>
      </c>
      <c r="D3289" s="6">
        <v>27523043.629999999</v>
      </c>
      <c r="E3289" s="6">
        <v>26792070.809999999</v>
      </c>
      <c r="F3289" s="6">
        <v>25974240.989999998</v>
      </c>
      <c r="G3289" s="7" t="s">
        <v>26</v>
      </c>
      <c r="H3289" s="1">
        <f t="shared" si="51"/>
        <v>0.82126449616220665</v>
      </c>
    </row>
    <row r="3290" spans="1:8" x14ac:dyDescent="0.25">
      <c r="A3290" s="1" t="s">
        <v>16</v>
      </c>
      <c r="B3290" s="1" t="s">
        <v>17</v>
      </c>
      <c r="C3290" s="6">
        <v>1083455</v>
      </c>
      <c r="D3290" s="6">
        <v>1071454.32</v>
      </c>
      <c r="E3290" s="6">
        <v>1071454.32</v>
      </c>
      <c r="F3290" s="6">
        <v>1071454.32</v>
      </c>
      <c r="G3290" s="7" t="s">
        <v>26</v>
      </c>
      <c r="H3290" s="1">
        <f t="shared" ref="H3290:H3353" si="52">IF(OR(ISNA($D3290),ISNA($C3290),$C3290=0),0,$D3290/$C3290)</f>
        <v>0.98892369318522699</v>
      </c>
    </row>
    <row r="3291" spans="1:8" x14ac:dyDescent="0.25">
      <c r="A3291" s="1" t="s">
        <v>16</v>
      </c>
      <c r="B3291" s="1" t="s">
        <v>17</v>
      </c>
      <c r="C3291" s="6">
        <v>18184</v>
      </c>
      <c r="D3291" s="6">
        <v>0</v>
      </c>
      <c r="E3291" s="6">
        <v>0</v>
      </c>
      <c r="F3291" s="6">
        <v>0</v>
      </c>
      <c r="G3291" s="7" t="s">
        <v>26</v>
      </c>
      <c r="H3291" s="1">
        <f t="shared" si="52"/>
        <v>0</v>
      </c>
    </row>
    <row r="3292" spans="1:8" x14ac:dyDescent="0.25">
      <c r="A3292" s="1" t="s">
        <v>16</v>
      </c>
      <c r="B3292" s="1" t="s">
        <v>17</v>
      </c>
      <c r="C3292" s="6">
        <v>1029864</v>
      </c>
      <c r="D3292" s="6">
        <v>65653.210000000006</v>
      </c>
      <c r="E3292" s="6">
        <v>59190.71</v>
      </c>
      <c r="F3292" s="6">
        <v>58596.3</v>
      </c>
      <c r="G3292" s="7" t="s">
        <v>26</v>
      </c>
      <c r="H3292" s="1">
        <f t="shared" si="52"/>
        <v>6.3749397978762251E-2</v>
      </c>
    </row>
    <row r="3293" spans="1:8" x14ac:dyDescent="0.25">
      <c r="A3293" s="1" t="s">
        <v>16</v>
      </c>
      <c r="B3293" s="1" t="s">
        <v>17</v>
      </c>
      <c r="C3293" s="6">
        <v>392688</v>
      </c>
      <c r="D3293" s="6">
        <v>399678</v>
      </c>
      <c r="E3293" s="6">
        <v>399678</v>
      </c>
      <c r="F3293" s="6">
        <v>399678</v>
      </c>
      <c r="G3293" s="7" t="s">
        <v>26</v>
      </c>
      <c r="H3293" s="1">
        <f t="shared" si="52"/>
        <v>1.017800391150226</v>
      </c>
    </row>
    <row r="3294" spans="1:8" x14ac:dyDescent="0.25">
      <c r="A3294" s="1" t="s">
        <v>16</v>
      </c>
      <c r="B3294" s="1" t="s">
        <v>17</v>
      </c>
      <c r="C3294" s="6">
        <v>814464</v>
      </c>
      <c r="D3294" s="6">
        <v>659328</v>
      </c>
      <c r="E3294" s="6">
        <v>659328</v>
      </c>
      <c r="F3294" s="6">
        <v>659328</v>
      </c>
      <c r="G3294" s="7" t="s">
        <v>26</v>
      </c>
      <c r="H3294" s="1">
        <f t="shared" si="52"/>
        <v>0.80952380952380953</v>
      </c>
    </row>
    <row r="3295" spans="1:8" x14ac:dyDescent="0.25">
      <c r="A3295" s="1" t="s">
        <v>16</v>
      </c>
      <c r="B3295" s="1" t="s">
        <v>17</v>
      </c>
      <c r="C3295" s="6">
        <v>60856</v>
      </c>
      <c r="D3295" s="6">
        <v>68645</v>
      </c>
      <c r="E3295" s="6">
        <v>62486.3</v>
      </c>
      <c r="F3295" s="6">
        <v>56328.2</v>
      </c>
      <c r="G3295" s="7" t="s">
        <v>26</v>
      </c>
      <c r="H3295" s="1">
        <f t="shared" si="52"/>
        <v>1.1279906664913895</v>
      </c>
    </row>
    <row r="3296" spans="1:8" x14ac:dyDescent="0.25">
      <c r="A3296" s="1" t="s">
        <v>16</v>
      </c>
      <c r="B3296" s="1" t="s">
        <v>17</v>
      </c>
      <c r="C3296" s="6">
        <v>9000</v>
      </c>
      <c r="D3296" s="6">
        <v>0</v>
      </c>
      <c r="E3296" s="6">
        <v>0</v>
      </c>
      <c r="F3296" s="6">
        <v>0</v>
      </c>
      <c r="G3296" s="7" t="s">
        <v>26</v>
      </c>
      <c r="H3296" s="1">
        <f t="shared" si="52"/>
        <v>0</v>
      </c>
    </row>
    <row r="3297" spans="1:8" x14ac:dyDescent="0.25">
      <c r="A3297" s="1" t="s">
        <v>16</v>
      </c>
      <c r="B3297" s="1" t="s">
        <v>17</v>
      </c>
      <c r="C3297" s="6">
        <v>802242</v>
      </c>
      <c r="D3297" s="6">
        <v>806221.65</v>
      </c>
      <c r="E3297" s="6">
        <v>801648.73</v>
      </c>
      <c r="F3297" s="6">
        <v>801648.73</v>
      </c>
      <c r="G3297" s="7" t="s">
        <v>26</v>
      </c>
      <c r="H3297" s="1">
        <f t="shared" si="52"/>
        <v>1.0049606602496504</v>
      </c>
    </row>
    <row r="3298" spans="1:8" x14ac:dyDescent="0.25">
      <c r="A3298" s="1" t="s">
        <v>16</v>
      </c>
      <c r="B3298" s="1" t="s">
        <v>17</v>
      </c>
      <c r="C3298" s="6">
        <v>13494495</v>
      </c>
      <c r="D3298" s="6">
        <v>12512386.6</v>
      </c>
      <c r="E3298" s="6">
        <v>11739234.720000001</v>
      </c>
      <c r="F3298" s="6">
        <v>11739234.720000001</v>
      </c>
      <c r="G3298" s="7" t="s">
        <v>26</v>
      </c>
      <c r="H3298" s="1">
        <f t="shared" si="52"/>
        <v>0.92722155219591396</v>
      </c>
    </row>
    <row r="3299" spans="1:8" x14ac:dyDescent="0.25">
      <c r="A3299" s="1" t="s">
        <v>16</v>
      </c>
      <c r="B3299" s="1" t="s">
        <v>17</v>
      </c>
      <c r="C3299" s="6">
        <v>210000</v>
      </c>
      <c r="D3299" s="6">
        <v>0</v>
      </c>
      <c r="E3299" s="6">
        <v>0</v>
      </c>
      <c r="F3299" s="6">
        <v>0</v>
      </c>
      <c r="G3299" s="7" t="s">
        <v>26</v>
      </c>
      <c r="H3299" s="1">
        <f t="shared" si="52"/>
        <v>0</v>
      </c>
    </row>
    <row r="3300" spans="1:8" x14ac:dyDescent="0.25">
      <c r="A3300" s="1" t="s">
        <v>16</v>
      </c>
      <c r="B3300" s="1" t="s">
        <v>17</v>
      </c>
      <c r="C3300" s="6">
        <v>241300</v>
      </c>
      <c r="D3300" s="6">
        <v>0</v>
      </c>
      <c r="E3300" s="6">
        <v>0</v>
      </c>
      <c r="F3300" s="6">
        <v>0</v>
      </c>
      <c r="G3300" s="7" t="s">
        <v>26</v>
      </c>
      <c r="H3300" s="1">
        <f t="shared" si="52"/>
        <v>0</v>
      </c>
    </row>
    <row r="3301" spans="1:8" x14ac:dyDescent="0.25">
      <c r="A3301" s="1" t="s">
        <v>16</v>
      </c>
      <c r="B3301" s="1" t="s">
        <v>17</v>
      </c>
      <c r="C3301" s="6">
        <v>607356</v>
      </c>
      <c r="D3301" s="6">
        <v>0</v>
      </c>
      <c r="E3301" s="6">
        <v>0</v>
      </c>
      <c r="F3301" s="6">
        <v>0</v>
      </c>
      <c r="G3301" s="7" t="s">
        <v>26</v>
      </c>
      <c r="H3301" s="1">
        <f t="shared" si="52"/>
        <v>0</v>
      </c>
    </row>
    <row r="3302" spans="1:8" x14ac:dyDescent="0.25">
      <c r="A3302" s="1" t="s">
        <v>16</v>
      </c>
      <c r="B3302" s="1" t="s">
        <v>17</v>
      </c>
      <c r="C3302" s="6">
        <v>519300</v>
      </c>
      <c r="D3302" s="6">
        <v>0</v>
      </c>
      <c r="E3302" s="6">
        <v>0</v>
      </c>
      <c r="F3302" s="6">
        <v>0</v>
      </c>
      <c r="G3302" s="7" t="s">
        <v>26</v>
      </c>
      <c r="H3302" s="1">
        <f t="shared" si="52"/>
        <v>0</v>
      </c>
    </row>
    <row r="3303" spans="1:8" x14ac:dyDescent="0.25">
      <c r="A3303" s="1" t="s">
        <v>16</v>
      </c>
      <c r="B3303" s="1" t="s">
        <v>17</v>
      </c>
      <c r="C3303" s="6">
        <v>1367745</v>
      </c>
      <c r="D3303" s="6">
        <v>111975.73</v>
      </c>
      <c r="E3303" s="6">
        <v>111975.73</v>
      </c>
      <c r="F3303" s="6">
        <v>111975.73</v>
      </c>
      <c r="G3303" s="7" t="s">
        <v>26</v>
      </c>
      <c r="H3303" s="1">
        <f t="shared" si="52"/>
        <v>8.1868864444761269E-2</v>
      </c>
    </row>
    <row r="3304" spans="1:8" x14ac:dyDescent="0.25">
      <c r="A3304" s="1" t="s">
        <v>16</v>
      </c>
      <c r="B3304" s="1" t="s">
        <v>17</v>
      </c>
      <c r="C3304" s="6">
        <v>774623</v>
      </c>
      <c r="D3304" s="6">
        <v>580993.11</v>
      </c>
      <c r="E3304" s="6">
        <v>27858.6</v>
      </c>
      <c r="F3304" s="6">
        <v>27858.6</v>
      </c>
      <c r="G3304" s="7" t="s">
        <v>26</v>
      </c>
      <c r="H3304" s="1">
        <f t="shared" si="52"/>
        <v>0.75003338398162722</v>
      </c>
    </row>
    <row r="3305" spans="1:8" x14ac:dyDescent="0.25">
      <c r="A3305" s="1" t="s">
        <v>16</v>
      </c>
      <c r="B3305" s="1" t="s">
        <v>17</v>
      </c>
      <c r="C3305" s="6">
        <v>810000</v>
      </c>
      <c r="D3305" s="6">
        <v>300000</v>
      </c>
      <c r="E3305" s="6">
        <v>100000</v>
      </c>
      <c r="F3305" s="6">
        <v>0</v>
      </c>
      <c r="G3305" s="7" t="s">
        <v>26</v>
      </c>
      <c r="H3305" s="1">
        <f t="shared" si="52"/>
        <v>0.37037037037037035</v>
      </c>
    </row>
    <row r="3306" spans="1:8" x14ac:dyDescent="0.25">
      <c r="A3306" s="1" t="s">
        <v>16</v>
      </c>
      <c r="B3306" s="1" t="s">
        <v>17</v>
      </c>
      <c r="C3306" s="6">
        <v>405000</v>
      </c>
      <c r="D3306" s="6">
        <v>393475.4</v>
      </c>
      <c r="E3306" s="6">
        <v>327725.40000000002</v>
      </c>
      <c r="F3306" s="6">
        <v>327725.40000000002</v>
      </c>
      <c r="G3306" s="7" t="s">
        <v>26</v>
      </c>
      <c r="H3306" s="1">
        <f t="shared" si="52"/>
        <v>0.9715441975308643</v>
      </c>
    </row>
    <row r="3307" spans="1:8" x14ac:dyDescent="0.25">
      <c r="A3307" s="1" t="s">
        <v>16</v>
      </c>
      <c r="B3307" s="1" t="s">
        <v>17</v>
      </c>
      <c r="C3307" s="6">
        <v>3750</v>
      </c>
      <c r="D3307" s="6">
        <v>0</v>
      </c>
      <c r="E3307" s="6">
        <v>0</v>
      </c>
      <c r="F3307" s="6">
        <v>0</v>
      </c>
      <c r="G3307" s="7" t="s">
        <v>26</v>
      </c>
      <c r="H3307" s="1">
        <f t="shared" si="52"/>
        <v>0</v>
      </c>
    </row>
    <row r="3308" spans="1:8" x14ac:dyDescent="0.25">
      <c r="A3308" s="1" t="s">
        <v>16</v>
      </c>
      <c r="B3308" s="1" t="s">
        <v>17</v>
      </c>
      <c r="C3308" s="6">
        <v>250</v>
      </c>
      <c r="D3308" s="6">
        <v>0</v>
      </c>
      <c r="E3308" s="6">
        <v>0</v>
      </c>
      <c r="F3308" s="6">
        <v>0</v>
      </c>
      <c r="G3308" s="7" t="s">
        <v>26</v>
      </c>
      <c r="H3308" s="1">
        <f t="shared" si="52"/>
        <v>0</v>
      </c>
    </row>
    <row r="3309" spans="1:8" x14ac:dyDescent="0.25">
      <c r="A3309" s="1" t="s">
        <v>16</v>
      </c>
      <c r="B3309" s="1" t="s">
        <v>17</v>
      </c>
      <c r="C3309" s="6">
        <v>12593086</v>
      </c>
      <c r="D3309" s="6">
        <v>17387202.539999999</v>
      </c>
      <c r="E3309" s="6">
        <v>17150629.420000002</v>
      </c>
      <c r="F3309" s="6">
        <v>17112325.780000001</v>
      </c>
      <c r="G3309" s="7" t="s">
        <v>26</v>
      </c>
      <c r="H3309" s="1">
        <f t="shared" si="52"/>
        <v>1.3806943381471388</v>
      </c>
    </row>
    <row r="3310" spans="1:8" x14ac:dyDescent="0.25">
      <c r="A3310" s="1" t="s">
        <v>16</v>
      </c>
      <c r="B3310" s="1" t="s">
        <v>17</v>
      </c>
      <c r="C3310" s="6">
        <v>348689.75</v>
      </c>
      <c r="D3310" s="6">
        <v>348689.58</v>
      </c>
      <c r="E3310" s="6">
        <v>348689.58</v>
      </c>
      <c r="F3310" s="6">
        <v>348689.58</v>
      </c>
      <c r="G3310" s="7" t="s">
        <v>26</v>
      </c>
      <c r="H3310" s="1">
        <f t="shared" si="52"/>
        <v>0.99999951246057572</v>
      </c>
    </row>
    <row r="3311" spans="1:8" x14ac:dyDescent="0.25">
      <c r="A3311" s="1" t="s">
        <v>16</v>
      </c>
      <c r="B3311" s="1" t="s">
        <v>17</v>
      </c>
      <c r="C3311" s="6">
        <v>1186623.25</v>
      </c>
      <c r="D3311" s="6">
        <v>1230866.1299999999</v>
      </c>
      <c r="E3311" s="6">
        <v>1172178.5</v>
      </c>
      <c r="F3311" s="6">
        <v>1029684.5</v>
      </c>
      <c r="G3311" s="7" t="s">
        <v>26</v>
      </c>
      <c r="H3311" s="1">
        <f t="shared" si="52"/>
        <v>1.0372846899805814</v>
      </c>
    </row>
    <row r="3312" spans="1:8" x14ac:dyDescent="0.25">
      <c r="A3312" s="1" t="s">
        <v>16</v>
      </c>
      <c r="B3312" s="1" t="s">
        <v>17</v>
      </c>
      <c r="C3312" s="6">
        <v>421979</v>
      </c>
      <c r="D3312" s="6">
        <v>485488.85</v>
      </c>
      <c r="E3312" s="6">
        <v>458299.96</v>
      </c>
      <c r="F3312" s="6">
        <v>458299.96</v>
      </c>
      <c r="G3312" s="7" t="s">
        <v>26</v>
      </c>
      <c r="H3312" s="1">
        <f t="shared" si="52"/>
        <v>1.1505047644551032</v>
      </c>
    </row>
    <row r="3313" spans="1:8" x14ac:dyDescent="0.25">
      <c r="A3313" s="1" t="s">
        <v>16</v>
      </c>
      <c r="B3313" s="1" t="s">
        <v>17</v>
      </c>
      <c r="C3313" s="6">
        <v>9855798.25</v>
      </c>
      <c r="D3313" s="6">
        <v>9189787.4100000001</v>
      </c>
      <c r="E3313" s="6">
        <v>8596993.9199999999</v>
      </c>
      <c r="F3313" s="6">
        <v>8583045.0500000007</v>
      </c>
      <c r="G3313" s="7" t="s">
        <v>26</v>
      </c>
      <c r="H3313" s="1">
        <f t="shared" si="52"/>
        <v>0.93242446495899001</v>
      </c>
    </row>
    <row r="3314" spans="1:8" x14ac:dyDescent="0.25">
      <c r="A3314" s="1" t="s">
        <v>16</v>
      </c>
      <c r="B3314" s="1" t="s">
        <v>17</v>
      </c>
      <c r="C3314" s="6">
        <v>2803996.25</v>
      </c>
      <c r="D3314" s="6">
        <v>1981961.51</v>
      </c>
      <c r="E3314" s="6">
        <v>1883648.32</v>
      </c>
      <c r="F3314" s="6">
        <v>1703288.55</v>
      </c>
      <c r="G3314" s="7" t="s">
        <v>26</v>
      </c>
      <c r="H3314" s="1">
        <f t="shared" si="52"/>
        <v>0.70683457939717287</v>
      </c>
    </row>
    <row r="3315" spans="1:8" x14ac:dyDescent="0.25">
      <c r="A3315" s="1" t="s">
        <v>16</v>
      </c>
      <c r="B3315" s="1" t="s">
        <v>17</v>
      </c>
      <c r="C3315" s="6">
        <v>452500</v>
      </c>
      <c r="D3315" s="6">
        <v>220624.42</v>
      </c>
      <c r="E3315" s="6">
        <v>183061.61</v>
      </c>
      <c r="F3315" s="6">
        <v>158995.10999999999</v>
      </c>
      <c r="G3315" s="7" t="s">
        <v>26</v>
      </c>
      <c r="H3315" s="1">
        <f t="shared" si="52"/>
        <v>0.48756777900552489</v>
      </c>
    </row>
    <row r="3316" spans="1:8" x14ac:dyDescent="0.25">
      <c r="A3316" s="1" t="s">
        <v>16</v>
      </c>
      <c r="B3316" s="1" t="s">
        <v>17</v>
      </c>
      <c r="C3316" s="6">
        <v>1398185</v>
      </c>
      <c r="D3316" s="6">
        <v>29.88</v>
      </c>
      <c r="E3316" s="6">
        <v>0</v>
      </c>
      <c r="F3316" s="6">
        <v>0</v>
      </c>
      <c r="G3316" s="7" t="s">
        <v>26</v>
      </c>
      <c r="H3316" s="1">
        <f t="shared" si="52"/>
        <v>2.1370562550735416E-5</v>
      </c>
    </row>
    <row r="3317" spans="1:8" x14ac:dyDescent="0.25">
      <c r="A3317" s="1" t="s">
        <v>16</v>
      </c>
      <c r="B3317" s="1" t="s">
        <v>17</v>
      </c>
      <c r="C3317" s="6">
        <v>2750</v>
      </c>
      <c r="D3317" s="6">
        <v>0</v>
      </c>
      <c r="E3317" s="6">
        <v>0</v>
      </c>
      <c r="F3317" s="6">
        <v>0</v>
      </c>
      <c r="G3317" s="7" t="s">
        <v>26</v>
      </c>
      <c r="H3317" s="1">
        <f t="shared" si="52"/>
        <v>0</v>
      </c>
    </row>
    <row r="3318" spans="1:8" x14ac:dyDescent="0.25">
      <c r="A3318" s="1" t="s">
        <v>16</v>
      </c>
      <c r="B3318" s="1" t="s">
        <v>17</v>
      </c>
      <c r="C3318" s="6">
        <v>2007724.5</v>
      </c>
      <c r="D3318" s="6">
        <v>1958738.52</v>
      </c>
      <c r="E3318" s="6">
        <v>1425643.6</v>
      </c>
      <c r="F3318" s="6">
        <v>1402938.17</v>
      </c>
      <c r="G3318" s="7" t="s">
        <v>26</v>
      </c>
      <c r="H3318" s="1">
        <f t="shared" si="52"/>
        <v>0.97560124409499416</v>
      </c>
    </row>
    <row r="3319" spans="1:8" x14ac:dyDescent="0.25">
      <c r="A3319" s="1" t="s">
        <v>16</v>
      </c>
      <c r="B3319" s="1" t="s">
        <v>17</v>
      </c>
      <c r="C3319" s="6">
        <v>333787.25</v>
      </c>
      <c r="D3319" s="6">
        <v>290140.5</v>
      </c>
      <c r="E3319" s="6">
        <v>267640.5</v>
      </c>
      <c r="F3319" s="6">
        <v>265240.5</v>
      </c>
      <c r="G3319" s="7" t="s">
        <v>26</v>
      </c>
      <c r="H3319" s="1">
        <f t="shared" si="52"/>
        <v>0.86923781540487244</v>
      </c>
    </row>
    <row r="3320" spans="1:8" x14ac:dyDescent="0.25">
      <c r="A3320" s="1" t="s">
        <v>16</v>
      </c>
      <c r="B3320" s="1" t="s">
        <v>17</v>
      </c>
      <c r="C3320" s="6">
        <v>208131.25</v>
      </c>
      <c r="D3320" s="6">
        <v>189793.72</v>
      </c>
      <c r="E3320" s="6">
        <v>100729.89</v>
      </c>
      <c r="F3320" s="6">
        <v>100729.89</v>
      </c>
      <c r="G3320" s="7" t="s">
        <v>26</v>
      </c>
      <c r="H3320" s="1">
        <f t="shared" si="52"/>
        <v>0.91189439356175495</v>
      </c>
    </row>
    <row r="3321" spans="1:8" x14ac:dyDescent="0.25">
      <c r="A3321" s="1" t="s">
        <v>16</v>
      </c>
      <c r="B3321" s="1" t="s">
        <v>17</v>
      </c>
      <c r="C3321" s="6">
        <v>204000</v>
      </c>
      <c r="D3321" s="6">
        <v>204000</v>
      </c>
      <c r="E3321" s="6">
        <v>204000</v>
      </c>
      <c r="F3321" s="6">
        <v>204000</v>
      </c>
      <c r="G3321" s="7" t="s">
        <v>26</v>
      </c>
      <c r="H3321" s="1">
        <f t="shared" si="52"/>
        <v>1</v>
      </c>
    </row>
    <row r="3322" spans="1:8" x14ac:dyDescent="0.25">
      <c r="A3322" s="1" t="s">
        <v>16</v>
      </c>
      <c r="B3322" s="1" t="s">
        <v>17</v>
      </c>
      <c r="C3322" s="6">
        <v>401309.75</v>
      </c>
      <c r="D3322" s="6">
        <v>401309.56</v>
      </c>
      <c r="E3322" s="6">
        <v>401309.56</v>
      </c>
      <c r="F3322" s="6">
        <v>401309.56</v>
      </c>
      <c r="G3322" s="7" t="s">
        <v>26</v>
      </c>
      <c r="H3322" s="1">
        <f t="shared" si="52"/>
        <v>0.99999952655025204</v>
      </c>
    </row>
    <row r="3323" spans="1:8" x14ac:dyDescent="0.25">
      <c r="A3323" s="1" t="s">
        <v>16</v>
      </c>
      <c r="B3323" s="1" t="s">
        <v>17</v>
      </c>
      <c r="C3323" s="6">
        <v>1641118</v>
      </c>
      <c r="D3323" s="6">
        <v>0</v>
      </c>
      <c r="E3323" s="6">
        <v>0</v>
      </c>
      <c r="F3323" s="6">
        <v>0</v>
      </c>
      <c r="G3323" s="7" t="s">
        <v>26</v>
      </c>
      <c r="H3323" s="1">
        <f t="shared" si="52"/>
        <v>0</v>
      </c>
    </row>
    <row r="3324" spans="1:8" x14ac:dyDescent="0.25">
      <c r="A3324" s="1" t="s">
        <v>16</v>
      </c>
      <c r="B3324" s="1" t="s">
        <v>17</v>
      </c>
      <c r="C3324" s="6">
        <v>2235899.25</v>
      </c>
      <c r="D3324" s="6">
        <v>2523479.41</v>
      </c>
      <c r="E3324" s="6">
        <v>2464955.4</v>
      </c>
      <c r="F3324" s="6">
        <v>2409376.35</v>
      </c>
      <c r="G3324" s="7" t="s">
        <v>26</v>
      </c>
      <c r="H3324" s="1">
        <f t="shared" si="52"/>
        <v>1.1286194626166632</v>
      </c>
    </row>
    <row r="3325" spans="1:8" x14ac:dyDescent="0.25">
      <c r="A3325" s="1" t="s">
        <v>16</v>
      </c>
      <c r="B3325" s="1" t="s">
        <v>17</v>
      </c>
      <c r="C3325" s="6">
        <v>217678.5</v>
      </c>
      <c r="D3325" s="6">
        <v>217678.44</v>
      </c>
      <c r="E3325" s="6">
        <v>199538.57</v>
      </c>
      <c r="F3325" s="6">
        <v>199538.57</v>
      </c>
      <c r="G3325" s="7" t="s">
        <v>26</v>
      </c>
      <c r="H3325" s="1">
        <f t="shared" si="52"/>
        <v>0.99999972436414253</v>
      </c>
    </row>
    <row r="3326" spans="1:8" x14ac:dyDescent="0.25">
      <c r="A3326" s="1" t="s">
        <v>16</v>
      </c>
      <c r="B3326" s="1" t="s">
        <v>17</v>
      </c>
      <c r="C3326" s="6">
        <v>141134.25</v>
      </c>
      <c r="D3326" s="6">
        <v>136821.66</v>
      </c>
      <c r="E3326" s="6">
        <v>136821.66</v>
      </c>
      <c r="F3326" s="6">
        <v>136821.66</v>
      </c>
      <c r="G3326" s="7" t="s">
        <v>26</v>
      </c>
      <c r="H3326" s="1">
        <f t="shared" si="52"/>
        <v>0.96944334915160568</v>
      </c>
    </row>
    <row r="3327" spans="1:8" x14ac:dyDescent="0.25">
      <c r="A3327" s="1" t="s">
        <v>16</v>
      </c>
      <c r="B3327" s="1" t="s">
        <v>17</v>
      </c>
      <c r="C3327" s="6">
        <v>250</v>
      </c>
      <c r="D3327" s="6">
        <v>0</v>
      </c>
      <c r="E3327" s="6">
        <v>0</v>
      </c>
      <c r="F3327" s="6">
        <v>0</v>
      </c>
      <c r="G3327" s="7" t="s">
        <v>26</v>
      </c>
      <c r="H3327" s="1">
        <f t="shared" si="52"/>
        <v>0</v>
      </c>
    </row>
    <row r="3328" spans="1:8" x14ac:dyDescent="0.25">
      <c r="A3328" s="1" t="s">
        <v>16</v>
      </c>
      <c r="B3328" s="1" t="s">
        <v>17</v>
      </c>
      <c r="C3328" s="6">
        <v>150000</v>
      </c>
      <c r="D3328" s="6">
        <v>124788.67</v>
      </c>
      <c r="E3328" s="6">
        <v>119500.85</v>
      </c>
      <c r="F3328" s="6">
        <v>106692.57</v>
      </c>
      <c r="G3328" s="7" t="s">
        <v>26</v>
      </c>
      <c r="H3328" s="1">
        <f t="shared" si="52"/>
        <v>0.83192446666666664</v>
      </c>
    </row>
    <row r="3329" spans="1:8" x14ac:dyDescent="0.25">
      <c r="A3329" s="1" t="s">
        <v>16</v>
      </c>
      <c r="B3329" s="1" t="s">
        <v>17</v>
      </c>
      <c r="C3329" s="6">
        <v>500</v>
      </c>
      <c r="D3329" s="6">
        <v>0</v>
      </c>
      <c r="E3329" s="6">
        <v>0</v>
      </c>
      <c r="F3329" s="6">
        <v>0</v>
      </c>
      <c r="G3329" s="7" t="s">
        <v>26</v>
      </c>
      <c r="H3329" s="1">
        <f t="shared" si="52"/>
        <v>0</v>
      </c>
    </row>
    <row r="3330" spans="1:8" x14ac:dyDescent="0.25">
      <c r="A3330" s="1" t="s">
        <v>16</v>
      </c>
      <c r="B3330" s="1" t="s">
        <v>17</v>
      </c>
      <c r="C3330" s="6">
        <v>250</v>
      </c>
      <c r="D3330" s="6">
        <v>0</v>
      </c>
      <c r="E3330" s="6">
        <v>0</v>
      </c>
      <c r="F3330" s="6">
        <v>0</v>
      </c>
      <c r="G3330" s="7" t="s">
        <v>26</v>
      </c>
      <c r="H3330" s="1">
        <f t="shared" si="52"/>
        <v>0</v>
      </c>
    </row>
    <row r="3331" spans="1:8" x14ac:dyDescent="0.25">
      <c r="A3331" s="1" t="s">
        <v>16</v>
      </c>
      <c r="B3331" s="1" t="s">
        <v>17</v>
      </c>
      <c r="C3331" s="6">
        <v>7114167.75</v>
      </c>
      <c r="D3331" s="6">
        <v>7061614.9199999999</v>
      </c>
      <c r="E3331" s="6">
        <v>6918476.5499999998</v>
      </c>
      <c r="F3331" s="6">
        <v>6855787.4900000002</v>
      </c>
      <c r="G3331" s="7" t="s">
        <v>26</v>
      </c>
      <c r="H3331" s="1">
        <f t="shared" si="52"/>
        <v>0.99261293353674429</v>
      </c>
    </row>
    <row r="3332" spans="1:8" x14ac:dyDescent="0.25">
      <c r="A3332" s="1" t="s">
        <v>16</v>
      </c>
      <c r="B3332" s="1" t="s">
        <v>17</v>
      </c>
      <c r="C3332" s="6">
        <v>427800.25</v>
      </c>
      <c r="D3332" s="6">
        <v>355532.95</v>
      </c>
      <c r="E3332" s="6">
        <v>351407.71</v>
      </c>
      <c r="F3332" s="6">
        <v>295236.78000000003</v>
      </c>
      <c r="G3332" s="7" t="s">
        <v>26</v>
      </c>
      <c r="H3332" s="1">
        <f t="shared" si="52"/>
        <v>0.83107232873286074</v>
      </c>
    </row>
    <row r="3333" spans="1:8" x14ac:dyDescent="0.25">
      <c r="A3333" s="1" t="s">
        <v>16</v>
      </c>
      <c r="B3333" s="1" t="s">
        <v>17</v>
      </c>
      <c r="C3333" s="6">
        <v>1809097</v>
      </c>
      <c r="D3333" s="6">
        <v>1970939.05</v>
      </c>
      <c r="E3333" s="6">
        <v>1952576.08</v>
      </c>
      <c r="F3333" s="6">
        <v>1952576.08</v>
      </c>
      <c r="G3333" s="7" t="s">
        <v>26</v>
      </c>
      <c r="H3333" s="1">
        <f t="shared" si="52"/>
        <v>1.0894601284508239</v>
      </c>
    </row>
    <row r="3334" spans="1:8" x14ac:dyDescent="0.25">
      <c r="A3334" s="1" t="s">
        <v>16</v>
      </c>
      <c r="B3334" s="1" t="s">
        <v>17</v>
      </c>
      <c r="C3334" s="6">
        <v>1270718</v>
      </c>
      <c r="D3334" s="6">
        <v>1145718</v>
      </c>
      <c r="E3334" s="6">
        <v>1145718</v>
      </c>
      <c r="F3334" s="6">
        <v>1145718</v>
      </c>
      <c r="G3334" s="7" t="s">
        <v>26</v>
      </c>
      <c r="H3334" s="1">
        <f t="shared" si="52"/>
        <v>0.90163041681946743</v>
      </c>
    </row>
    <row r="3335" spans="1:8" x14ac:dyDescent="0.25">
      <c r="A3335" s="1" t="s">
        <v>16</v>
      </c>
      <c r="B3335" s="1" t="s">
        <v>17</v>
      </c>
      <c r="C3335" s="6">
        <v>300000</v>
      </c>
      <c r="D3335" s="6">
        <v>4037.38</v>
      </c>
      <c r="E3335" s="6">
        <v>2922.75</v>
      </c>
      <c r="F3335" s="6">
        <v>2922.75</v>
      </c>
      <c r="G3335" s="7" t="s">
        <v>26</v>
      </c>
      <c r="H3335" s="1">
        <f t="shared" si="52"/>
        <v>1.3457933333333333E-2</v>
      </c>
    </row>
    <row r="3336" spans="1:8" x14ac:dyDescent="0.25">
      <c r="A3336" s="1" t="s">
        <v>16</v>
      </c>
      <c r="B3336" s="1" t="s">
        <v>17</v>
      </c>
      <c r="C3336" s="6">
        <v>250</v>
      </c>
      <c r="D3336" s="6">
        <v>0</v>
      </c>
      <c r="E3336" s="6">
        <v>0</v>
      </c>
      <c r="F3336" s="6">
        <v>0</v>
      </c>
      <c r="G3336" s="7" t="s">
        <v>26</v>
      </c>
      <c r="H3336" s="1">
        <f t="shared" si="52"/>
        <v>0</v>
      </c>
    </row>
    <row r="3337" spans="1:8" x14ac:dyDescent="0.25">
      <c r="A3337" s="1" t="s">
        <v>16</v>
      </c>
      <c r="B3337" s="1" t="s">
        <v>17</v>
      </c>
      <c r="C3337" s="6">
        <v>22750</v>
      </c>
      <c r="D3337" s="6">
        <v>0</v>
      </c>
      <c r="E3337" s="6">
        <v>0</v>
      </c>
      <c r="F3337" s="6">
        <v>0</v>
      </c>
      <c r="G3337" s="7" t="s">
        <v>26</v>
      </c>
      <c r="H3337" s="1">
        <f t="shared" si="52"/>
        <v>0</v>
      </c>
    </row>
    <row r="3338" spans="1:8" x14ac:dyDescent="0.25">
      <c r="A3338" s="1" t="s">
        <v>16</v>
      </c>
      <c r="B3338" s="1" t="s">
        <v>17</v>
      </c>
      <c r="C3338" s="6">
        <v>6949527.25</v>
      </c>
      <c r="D3338" s="6">
        <v>6978399.2599999998</v>
      </c>
      <c r="E3338" s="6">
        <v>6852126.1799999997</v>
      </c>
      <c r="F3338" s="6">
        <v>6850476.6600000001</v>
      </c>
      <c r="G3338" s="7" t="s">
        <v>26</v>
      </c>
      <c r="H3338" s="1">
        <f t="shared" si="52"/>
        <v>1.0041545286407791</v>
      </c>
    </row>
    <row r="3339" spans="1:8" x14ac:dyDescent="0.25">
      <c r="A3339" s="1" t="s">
        <v>16</v>
      </c>
      <c r="B3339" s="1" t="s">
        <v>17</v>
      </c>
      <c r="C3339" s="6">
        <v>288886.5</v>
      </c>
      <c r="D3339" s="6">
        <v>215305.88</v>
      </c>
      <c r="E3339" s="6">
        <v>215305.88</v>
      </c>
      <c r="F3339" s="6">
        <v>215305.88</v>
      </c>
      <c r="G3339" s="7" t="s">
        <v>26</v>
      </c>
      <c r="H3339" s="1">
        <f t="shared" si="52"/>
        <v>0.74529574763791318</v>
      </c>
    </row>
    <row r="3340" spans="1:8" x14ac:dyDescent="0.25">
      <c r="A3340" s="1" t="s">
        <v>16</v>
      </c>
      <c r="B3340" s="1" t="s">
        <v>17</v>
      </c>
      <c r="C3340" s="6">
        <v>250</v>
      </c>
      <c r="D3340" s="6">
        <v>0</v>
      </c>
      <c r="E3340" s="6">
        <v>0</v>
      </c>
      <c r="F3340" s="6">
        <v>0</v>
      </c>
      <c r="G3340" s="7" t="s">
        <v>26</v>
      </c>
      <c r="H3340" s="1">
        <f t="shared" si="52"/>
        <v>0</v>
      </c>
    </row>
    <row r="3341" spans="1:8" x14ac:dyDescent="0.25">
      <c r="A3341" s="1" t="s">
        <v>16</v>
      </c>
      <c r="B3341" s="1" t="s">
        <v>17</v>
      </c>
      <c r="C3341" s="6">
        <v>166874.5</v>
      </c>
      <c r="D3341" s="6">
        <v>91819.64</v>
      </c>
      <c r="E3341" s="6">
        <v>67113.399999999994</v>
      </c>
      <c r="F3341" s="6">
        <v>65573.87</v>
      </c>
      <c r="G3341" s="7" t="s">
        <v>26</v>
      </c>
      <c r="H3341" s="1">
        <f t="shared" si="52"/>
        <v>0.55023170106876729</v>
      </c>
    </row>
    <row r="3342" spans="1:8" x14ac:dyDescent="0.25">
      <c r="A3342" s="1" t="s">
        <v>16</v>
      </c>
      <c r="B3342" s="1" t="s">
        <v>17</v>
      </c>
      <c r="C3342" s="6">
        <v>12000</v>
      </c>
      <c r="D3342" s="6">
        <v>0</v>
      </c>
      <c r="E3342" s="6">
        <v>0</v>
      </c>
      <c r="F3342" s="6">
        <v>0</v>
      </c>
      <c r="G3342" s="7" t="s">
        <v>26</v>
      </c>
      <c r="H3342" s="1">
        <f t="shared" si="52"/>
        <v>0</v>
      </c>
    </row>
    <row r="3343" spans="1:8" x14ac:dyDescent="0.25">
      <c r="A3343" s="1" t="s">
        <v>16</v>
      </c>
      <c r="B3343" s="1" t="s">
        <v>17</v>
      </c>
      <c r="C3343" s="6">
        <v>250</v>
      </c>
      <c r="D3343" s="6">
        <v>0</v>
      </c>
      <c r="E3343" s="6">
        <v>0</v>
      </c>
      <c r="F3343" s="6">
        <v>0</v>
      </c>
      <c r="G3343" s="7" t="s">
        <v>26</v>
      </c>
      <c r="H3343" s="1">
        <f t="shared" si="52"/>
        <v>0</v>
      </c>
    </row>
    <row r="3344" spans="1:8" x14ac:dyDescent="0.25">
      <c r="A3344" s="1" t="s">
        <v>16</v>
      </c>
      <c r="B3344" s="1" t="s">
        <v>17</v>
      </c>
      <c r="C3344" s="6">
        <v>500</v>
      </c>
      <c r="D3344" s="6">
        <v>0</v>
      </c>
      <c r="E3344" s="6">
        <v>0</v>
      </c>
      <c r="F3344" s="6">
        <v>0</v>
      </c>
      <c r="G3344" s="7" t="s">
        <v>26</v>
      </c>
      <c r="H3344" s="1">
        <f t="shared" si="52"/>
        <v>0</v>
      </c>
    </row>
    <row r="3345" spans="1:8" x14ac:dyDescent="0.25">
      <c r="A3345" s="1" t="s">
        <v>16</v>
      </c>
      <c r="B3345" s="1" t="s">
        <v>17</v>
      </c>
      <c r="C3345" s="6">
        <v>369656</v>
      </c>
      <c r="D3345" s="6">
        <v>263767.49</v>
      </c>
      <c r="E3345" s="6">
        <v>124549.02</v>
      </c>
      <c r="F3345" s="6">
        <v>124549.02</v>
      </c>
      <c r="G3345" s="7" t="s">
        <v>26</v>
      </c>
      <c r="H3345" s="1">
        <f t="shared" si="52"/>
        <v>0.71354851537645814</v>
      </c>
    </row>
    <row r="3346" spans="1:8" x14ac:dyDescent="0.25">
      <c r="A3346" s="1" t="s">
        <v>16</v>
      </c>
      <c r="B3346" s="1" t="s">
        <v>17</v>
      </c>
      <c r="C3346" s="6">
        <v>34924.75</v>
      </c>
      <c r="D3346" s="6">
        <v>63160.1</v>
      </c>
      <c r="E3346" s="6">
        <v>33251.129999999997</v>
      </c>
      <c r="F3346" s="6">
        <v>33251.129999999997</v>
      </c>
      <c r="G3346" s="7" t="s">
        <v>26</v>
      </c>
      <c r="H3346" s="1">
        <f t="shared" si="52"/>
        <v>1.8084624800463853</v>
      </c>
    </row>
    <row r="3347" spans="1:8" x14ac:dyDescent="0.25">
      <c r="A3347" s="1" t="s">
        <v>16</v>
      </c>
      <c r="B3347" s="1" t="s">
        <v>17</v>
      </c>
      <c r="C3347" s="6">
        <v>5656.25</v>
      </c>
      <c r="D3347" s="6">
        <v>3918.58</v>
      </c>
      <c r="E3347" s="6">
        <v>2131.08</v>
      </c>
      <c r="F3347" s="6">
        <v>2131.08</v>
      </c>
      <c r="G3347" s="7" t="s">
        <v>26</v>
      </c>
      <c r="H3347" s="1">
        <f t="shared" si="52"/>
        <v>0.69278762430939222</v>
      </c>
    </row>
    <row r="3348" spans="1:8" x14ac:dyDescent="0.25">
      <c r="A3348" s="1" t="s">
        <v>16</v>
      </c>
      <c r="B3348" s="1" t="s">
        <v>17</v>
      </c>
      <c r="C3348" s="6">
        <v>9151.25</v>
      </c>
      <c r="D3348" s="6">
        <v>12205.25</v>
      </c>
      <c r="E3348" s="6">
        <v>5648.96</v>
      </c>
      <c r="F3348" s="6">
        <v>5648.96</v>
      </c>
      <c r="G3348" s="7" t="s">
        <v>26</v>
      </c>
      <c r="H3348" s="1">
        <f t="shared" si="52"/>
        <v>1.3337249009698129</v>
      </c>
    </row>
    <row r="3349" spans="1:8" x14ac:dyDescent="0.25">
      <c r="A3349" s="1" t="s">
        <v>16</v>
      </c>
      <c r="B3349" s="1" t="s">
        <v>17</v>
      </c>
      <c r="C3349" s="6">
        <v>380608.5</v>
      </c>
      <c r="D3349" s="6">
        <v>192444.24</v>
      </c>
      <c r="E3349" s="6">
        <v>190749.12</v>
      </c>
      <c r="F3349" s="6">
        <v>190749.12</v>
      </c>
      <c r="G3349" s="7" t="s">
        <v>26</v>
      </c>
      <c r="H3349" s="1">
        <f t="shared" si="52"/>
        <v>0.50562254915484017</v>
      </c>
    </row>
    <row r="3350" spans="1:8" x14ac:dyDescent="0.25">
      <c r="A3350" s="1" t="s">
        <v>16</v>
      </c>
      <c r="B3350" s="1" t="s">
        <v>17</v>
      </c>
      <c r="C3350" s="6">
        <v>2500</v>
      </c>
      <c r="D3350" s="6">
        <v>0</v>
      </c>
      <c r="E3350" s="6">
        <v>0</v>
      </c>
      <c r="F3350" s="6">
        <v>0</v>
      </c>
      <c r="G3350" s="7" t="s">
        <v>26</v>
      </c>
      <c r="H3350" s="1">
        <f t="shared" si="52"/>
        <v>0</v>
      </c>
    </row>
    <row r="3351" spans="1:8" x14ac:dyDescent="0.25">
      <c r="A3351" s="1" t="s">
        <v>16</v>
      </c>
      <c r="B3351" s="1" t="s">
        <v>17</v>
      </c>
      <c r="C3351" s="6">
        <v>250</v>
      </c>
      <c r="D3351" s="6">
        <v>0</v>
      </c>
      <c r="E3351" s="6">
        <v>0</v>
      </c>
      <c r="F3351" s="6">
        <v>0</v>
      </c>
      <c r="G3351" s="7" t="s">
        <v>26</v>
      </c>
      <c r="H3351" s="1">
        <f t="shared" si="52"/>
        <v>0</v>
      </c>
    </row>
    <row r="3352" spans="1:8" x14ac:dyDescent="0.25">
      <c r="A3352" s="1" t="s">
        <v>16</v>
      </c>
      <c r="B3352" s="1" t="s">
        <v>17</v>
      </c>
      <c r="C3352" s="6">
        <v>1250</v>
      </c>
      <c r="D3352" s="6">
        <v>0</v>
      </c>
      <c r="E3352" s="6">
        <v>0</v>
      </c>
      <c r="F3352" s="6">
        <v>0</v>
      </c>
      <c r="G3352" s="7" t="s">
        <v>26</v>
      </c>
      <c r="H3352" s="1">
        <f t="shared" si="52"/>
        <v>0</v>
      </c>
    </row>
    <row r="3353" spans="1:8" x14ac:dyDescent="0.25">
      <c r="A3353" s="1" t="s">
        <v>16</v>
      </c>
      <c r="B3353" s="1" t="s">
        <v>17</v>
      </c>
      <c r="C3353" s="6">
        <v>472917.5</v>
      </c>
      <c r="D3353" s="6">
        <v>482804.98</v>
      </c>
      <c r="E3353" s="6">
        <v>397698.52</v>
      </c>
      <c r="F3353" s="6">
        <v>377954.85</v>
      </c>
      <c r="G3353" s="7" t="s">
        <v>26</v>
      </c>
      <c r="H3353" s="1">
        <f t="shared" si="52"/>
        <v>1.0209074098547843</v>
      </c>
    </row>
    <row r="3354" spans="1:8" x14ac:dyDescent="0.25">
      <c r="A3354" s="1" t="s">
        <v>16</v>
      </c>
      <c r="B3354" s="1" t="s">
        <v>17</v>
      </c>
      <c r="C3354" s="6">
        <v>5303750</v>
      </c>
      <c r="D3354" s="6">
        <v>4591270.74</v>
      </c>
      <c r="E3354" s="6">
        <v>3655531.13</v>
      </c>
      <c r="F3354" s="6">
        <v>3451362.03</v>
      </c>
      <c r="G3354" s="7" t="s">
        <v>26</v>
      </c>
      <c r="H3354" s="1">
        <f t="shared" ref="H3354:H3417" si="53">IF(OR(ISNA($D3354),ISNA($C3354),$C3354=0),0,$D3354/$C3354)</f>
        <v>0.86566499929295315</v>
      </c>
    </row>
    <row r="3355" spans="1:8" x14ac:dyDescent="0.25">
      <c r="A3355" s="1" t="s">
        <v>16</v>
      </c>
      <c r="B3355" s="1" t="s">
        <v>17</v>
      </c>
      <c r="C3355" s="6">
        <v>1683228</v>
      </c>
      <c r="D3355" s="6">
        <v>598608.79</v>
      </c>
      <c r="E3355" s="6">
        <v>597019.97</v>
      </c>
      <c r="F3355" s="6">
        <v>596078.18999999994</v>
      </c>
      <c r="G3355" s="7" t="s">
        <v>26</v>
      </c>
      <c r="H3355" s="1">
        <f t="shared" si="53"/>
        <v>0.35563143555121474</v>
      </c>
    </row>
    <row r="3356" spans="1:8" x14ac:dyDescent="0.25">
      <c r="A3356" s="1" t="s">
        <v>16</v>
      </c>
      <c r="B3356" s="1" t="s">
        <v>17</v>
      </c>
      <c r="C3356" s="6">
        <v>2000</v>
      </c>
      <c r="D3356" s="6">
        <v>0</v>
      </c>
      <c r="E3356" s="6">
        <v>0</v>
      </c>
      <c r="F3356" s="6">
        <v>0</v>
      </c>
      <c r="G3356" s="7" t="s">
        <v>26</v>
      </c>
      <c r="H3356" s="1">
        <f t="shared" si="53"/>
        <v>0</v>
      </c>
    </row>
    <row r="3357" spans="1:8" x14ac:dyDescent="0.25">
      <c r="A3357" s="1" t="s">
        <v>16</v>
      </c>
      <c r="B3357" s="1" t="s">
        <v>17</v>
      </c>
      <c r="C3357" s="6">
        <v>6460</v>
      </c>
      <c r="D3357" s="6">
        <v>3724.32</v>
      </c>
      <c r="E3357" s="6">
        <v>3619.63</v>
      </c>
      <c r="F3357" s="6">
        <v>3619.63</v>
      </c>
      <c r="G3357" s="7" t="s">
        <v>26</v>
      </c>
      <c r="H3357" s="1">
        <f t="shared" si="53"/>
        <v>0.5765201238390093</v>
      </c>
    </row>
    <row r="3358" spans="1:8" x14ac:dyDescent="0.25">
      <c r="A3358" s="1" t="s">
        <v>16</v>
      </c>
      <c r="B3358" s="1" t="s">
        <v>17</v>
      </c>
      <c r="C3358" s="6">
        <v>97131.5</v>
      </c>
      <c r="D3358" s="6">
        <v>59815.71</v>
      </c>
      <c r="E3358" s="6">
        <v>25753.66</v>
      </c>
      <c r="F3358" s="6">
        <v>25640.86</v>
      </c>
      <c r="G3358" s="7" t="s">
        <v>26</v>
      </c>
      <c r="H3358" s="1">
        <f t="shared" si="53"/>
        <v>0.6158219527135893</v>
      </c>
    </row>
    <row r="3359" spans="1:8" x14ac:dyDescent="0.25">
      <c r="A3359" s="1" t="s">
        <v>16</v>
      </c>
      <c r="B3359" s="1" t="s">
        <v>17</v>
      </c>
      <c r="C3359" s="6">
        <v>287552</v>
      </c>
      <c r="D3359" s="6">
        <v>172211.19</v>
      </c>
      <c r="E3359" s="6">
        <v>100357.78</v>
      </c>
      <c r="F3359" s="6">
        <v>99817.27</v>
      </c>
      <c r="G3359" s="7" t="s">
        <v>26</v>
      </c>
      <c r="H3359" s="1">
        <f t="shared" si="53"/>
        <v>0.59888712302470515</v>
      </c>
    </row>
    <row r="3360" spans="1:8" x14ac:dyDescent="0.25">
      <c r="A3360" s="1" t="s">
        <v>16</v>
      </c>
      <c r="B3360" s="1" t="s">
        <v>17</v>
      </c>
      <c r="C3360" s="6">
        <v>17180</v>
      </c>
      <c r="D3360" s="6">
        <v>140226.17000000001</v>
      </c>
      <c r="E3360" s="6">
        <v>121653.39</v>
      </c>
      <c r="F3360" s="6">
        <v>121202.69</v>
      </c>
      <c r="G3360" s="7" t="s">
        <v>26</v>
      </c>
      <c r="H3360" s="1">
        <f t="shared" si="53"/>
        <v>8.162175203725262</v>
      </c>
    </row>
    <row r="3361" spans="1:8" x14ac:dyDescent="0.25">
      <c r="A3361" s="1" t="s">
        <v>16</v>
      </c>
      <c r="B3361" s="1" t="s">
        <v>17</v>
      </c>
      <c r="C3361" s="6">
        <v>114823.5</v>
      </c>
      <c r="D3361" s="6">
        <v>62310.89</v>
      </c>
      <c r="E3361" s="6">
        <v>58895</v>
      </c>
      <c r="F3361" s="6">
        <v>58744.52</v>
      </c>
      <c r="G3361" s="7" t="s">
        <v>26</v>
      </c>
      <c r="H3361" s="1">
        <f t="shared" si="53"/>
        <v>0.54266670150274121</v>
      </c>
    </row>
    <row r="3362" spans="1:8" x14ac:dyDescent="0.25">
      <c r="A3362" s="1" t="s">
        <v>16</v>
      </c>
      <c r="B3362" s="1" t="s">
        <v>17</v>
      </c>
      <c r="C3362" s="6">
        <v>2652000</v>
      </c>
      <c r="D3362" s="6">
        <v>0</v>
      </c>
      <c r="E3362" s="6">
        <v>0</v>
      </c>
      <c r="F3362" s="6">
        <v>0</v>
      </c>
      <c r="G3362" s="7" t="s">
        <v>26</v>
      </c>
      <c r="H3362" s="1">
        <f t="shared" si="53"/>
        <v>0</v>
      </c>
    </row>
    <row r="3363" spans="1:8" x14ac:dyDescent="0.25">
      <c r="A3363" s="1" t="s">
        <v>16</v>
      </c>
      <c r="B3363" s="1" t="s">
        <v>17</v>
      </c>
      <c r="C3363" s="6">
        <v>970</v>
      </c>
      <c r="D3363" s="6">
        <v>0</v>
      </c>
      <c r="E3363" s="6">
        <v>0</v>
      </c>
      <c r="F3363" s="6">
        <v>0</v>
      </c>
      <c r="G3363" s="7" t="s">
        <v>26</v>
      </c>
      <c r="H3363" s="1">
        <f t="shared" si="53"/>
        <v>0</v>
      </c>
    </row>
    <row r="3364" spans="1:8" x14ac:dyDescent="0.25">
      <c r="A3364" s="1" t="s">
        <v>16</v>
      </c>
      <c r="B3364" s="1" t="s">
        <v>17</v>
      </c>
      <c r="C3364" s="6">
        <v>9500</v>
      </c>
      <c r="D3364" s="6">
        <v>3048.78</v>
      </c>
      <c r="E3364" s="6">
        <v>3042.75</v>
      </c>
      <c r="F3364" s="6">
        <v>2287.16</v>
      </c>
      <c r="G3364" s="7" t="s">
        <v>26</v>
      </c>
      <c r="H3364" s="1">
        <f t="shared" si="53"/>
        <v>0.32092421052631581</v>
      </c>
    </row>
    <row r="3365" spans="1:8" x14ac:dyDescent="0.25">
      <c r="A3365" s="1" t="s">
        <v>16</v>
      </c>
      <c r="B3365" s="1" t="s">
        <v>17</v>
      </c>
      <c r="C3365" s="6">
        <v>21967.5</v>
      </c>
      <c r="D3365" s="6">
        <v>54234.99</v>
      </c>
      <c r="E3365" s="6">
        <v>54234.99</v>
      </c>
      <c r="F3365" s="6">
        <v>54234.99</v>
      </c>
      <c r="G3365" s="7" t="s">
        <v>26</v>
      </c>
      <c r="H3365" s="1">
        <f t="shared" si="53"/>
        <v>2.4688740184363263</v>
      </c>
    </row>
    <row r="3366" spans="1:8" x14ac:dyDescent="0.25">
      <c r="A3366" s="1" t="s">
        <v>16</v>
      </c>
      <c r="B3366" s="1" t="s">
        <v>17</v>
      </c>
      <c r="C3366" s="6">
        <v>3909974.5</v>
      </c>
      <c r="D3366" s="6">
        <v>3279310.94</v>
      </c>
      <c r="E3366" s="6">
        <v>2771288.55</v>
      </c>
      <c r="F3366" s="6">
        <v>2602039.89</v>
      </c>
      <c r="G3366" s="7" t="s">
        <v>26</v>
      </c>
      <c r="H3366" s="1">
        <f t="shared" si="53"/>
        <v>0.83870391993605076</v>
      </c>
    </row>
    <row r="3367" spans="1:8" x14ac:dyDescent="0.25">
      <c r="A3367" s="1" t="s">
        <v>16</v>
      </c>
      <c r="B3367" s="1" t="s">
        <v>17</v>
      </c>
      <c r="C3367" s="6">
        <v>12509631.25</v>
      </c>
      <c r="D3367" s="6">
        <v>11319917.59</v>
      </c>
      <c r="E3367" s="6">
        <v>9590111.8699999992</v>
      </c>
      <c r="F3367" s="6">
        <v>8955107.0999999996</v>
      </c>
      <c r="G3367" s="7" t="s">
        <v>26</v>
      </c>
      <c r="H3367" s="1">
        <f t="shared" si="53"/>
        <v>0.90489618468969657</v>
      </c>
    </row>
    <row r="3368" spans="1:8" x14ac:dyDescent="0.25">
      <c r="A3368" s="1" t="s">
        <v>16</v>
      </c>
      <c r="B3368" s="1" t="s">
        <v>17</v>
      </c>
      <c r="C3368" s="6">
        <v>150387.75</v>
      </c>
      <c r="D3368" s="6">
        <v>1262.6300000000001</v>
      </c>
      <c r="E3368" s="6">
        <v>0</v>
      </c>
      <c r="F3368" s="6">
        <v>0</v>
      </c>
      <c r="G3368" s="7" t="s">
        <v>26</v>
      </c>
      <c r="H3368" s="1">
        <f t="shared" si="53"/>
        <v>8.3958301124925413E-3</v>
      </c>
    </row>
    <row r="3369" spans="1:8" x14ac:dyDescent="0.25">
      <c r="A3369" s="1" t="s">
        <v>16</v>
      </c>
      <c r="B3369" s="1" t="s">
        <v>17</v>
      </c>
      <c r="C3369" s="6">
        <v>495137</v>
      </c>
      <c r="D3369" s="6">
        <v>422601.72</v>
      </c>
      <c r="E3369" s="6">
        <v>347068.95</v>
      </c>
      <c r="F3369" s="6">
        <v>332554.75</v>
      </c>
      <c r="G3369" s="7" t="s">
        <v>26</v>
      </c>
      <c r="H3369" s="1">
        <f t="shared" si="53"/>
        <v>0.85350462599240207</v>
      </c>
    </row>
    <row r="3370" spans="1:8" x14ac:dyDescent="0.25">
      <c r="A3370" s="1" t="s">
        <v>16</v>
      </c>
      <c r="B3370" s="1" t="s">
        <v>19</v>
      </c>
      <c r="C3370" s="6">
        <v>6888629</v>
      </c>
      <c r="D3370" s="6">
        <v>1829872.43</v>
      </c>
      <c r="E3370" s="6">
        <v>1588954.6</v>
      </c>
      <c r="F3370" s="6">
        <v>1530561.68</v>
      </c>
      <c r="G3370" s="7" t="s">
        <v>26</v>
      </c>
      <c r="H3370" s="1">
        <f t="shared" si="53"/>
        <v>0.26563666442190453</v>
      </c>
    </row>
    <row r="3371" spans="1:8" x14ac:dyDescent="0.25">
      <c r="A3371" s="1" t="s">
        <v>16</v>
      </c>
      <c r="B3371" s="1" t="s">
        <v>19</v>
      </c>
      <c r="C3371" s="6">
        <v>10000</v>
      </c>
      <c r="D3371" s="6">
        <v>0</v>
      </c>
      <c r="E3371" s="6">
        <v>0</v>
      </c>
      <c r="F3371" s="6">
        <v>0</v>
      </c>
      <c r="G3371" s="7" t="s">
        <v>26</v>
      </c>
      <c r="H3371" s="1">
        <f t="shared" si="53"/>
        <v>0</v>
      </c>
    </row>
    <row r="3372" spans="1:8" x14ac:dyDescent="0.25">
      <c r="A3372" s="1" t="s">
        <v>16</v>
      </c>
      <c r="B3372" s="1" t="s">
        <v>19</v>
      </c>
      <c r="C3372" s="6">
        <v>430635</v>
      </c>
      <c r="D3372" s="6">
        <v>214766.83</v>
      </c>
      <c r="E3372" s="6">
        <v>173746.09</v>
      </c>
      <c r="F3372" s="6">
        <v>144146.09</v>
      </c>
      <c r="G3372" s="7" t="s">
        <v>26</v>
      </c>
      <c r="H3372" s="1">
        <f t="shared" si="53"/>
        <v>0.49872126046419818</v>
      </c>
    </row>
    <row r="3373" spans="1:8" x14ac:dyDescent="0.25">
      <c r="A3373" s="1" t="s">
        <v>16</v>
      </c>
      <c r="B3373" s="1" t="s">
        <v>19</v>
      </c>
      <c r="C3373" s="6">
        <v>4176.75</v>
      </c>
      <c r="D3373" s="6">
        <v>62928.21</v>
      </c>
      <c r="E3373" s="6">
        <v>38271.47</v>
      </c>
      <c r="F3373" s="6">
        <v>26692.400000000001</v>
      </c>
      <c r="G3373" s="7" t="s">
        <v>26</v>
      </c>
      <c r="H3373" s="1">
        <f t="shared" si="53"/>
        <v>15.066309929969474</v>
      </c>
    </row>
    <row r="3374" spans="1:8" x14ac:dyDescent="0.25">
      <c r="A3374" s="1" t="s">
        <v>16</v>
      </c>
      <c r="B3374" s="1" t="s">
        <v>19</v>
      </c>
      <c r="C3374" s="6">
        <v>494603.5</v>
      </c>
      <c r="D3374" s="6">
        <v>201276.77</v>
      </c>
      <c r="E3374" s="6">
        <v>197942.81</v>
      </c>
      <c r="F3374" s="6">
        <v>186694.82</v>
      </c>
      <c r="G3374" s="7" t="s">
        <v>26</v>
      </c>
      <c r="H3374" s="1">
        <f t="shared" si="53"/>
        <v>0.40694570499400023</v>
      </c>
    </row>
    <row r="3375" spans="1:8" x14ac:dyDescent="0.25">
      <c r="A3375" s="1" t="s">
        <v>16</v>
      </c>
      <c r="B3375" s="1" t="s">
        <v>19</v>
      </c>
      <c r="C3375" s="6">
        <v>67000</v>
      </c>
      <c r="D3375" s="6">
        <v>0</v>
      </c>
      <c r="E3375" s="6">
        <v>0</v>
      </c>
      <c r="F3375" s="6">
        <v>0</v>
      </c>
      <c r="G3375" s="7" t="s">
        <v>26</v>
      </c>
      <c r="H3375" s="1">
        <f t="shared" si="53"/>
        <v>0</v>
      </c>
    </row>
    <row r="3376" spans="1:8" x14ac:dyDescent="0.25">
      <c r="A3376" s="1" t="s">
        <v>16</v>
      </c>
      <c r="B3376" s="1" t="s">
        <v>19</v>
      </c>
      <c r="C3376" s="6">
        <v>2500</v>
      </c>
      <c r="D3376" s="6">
        <v>0</v>
      </c>
      <c r="E3376" s="6">
        <v>0</v>
      </c>
      <c r="F3376" s="6">
        <v>0</v>
      </c>
      <c r="G3376" s="7" t="s">
        <v>26</v>
      </c>
      <c r="H3376" s="1">
        <f t="shared" si="53"/>
        <v>0</v>
      </c>
    </row>
    <row r="3377" spans="1:8" x14ac:dyDescent="0.25">
      <c r="A3377" s="1" t="s">
        <v>16</v>
      </c>
      <c r="B3377" s="1" t="s">
        <v>19</v>
      </c>
      <c r="C3377" s="6">
        <v>84255</v>
      </c>
      <c r="D3377" s="6">
        <v>36950</v>
      </c>
      <c r="E3377" s="6">
        <v>19760</v>
      </c>
      <c r="F3377" s="6">
        <v>17810</v>
      </c>
      <c r="G3377" s="7" t="s">
        <v>26</v>
      </c>
      <c r="H3377" s="1">
        <f t="shared" si="53"/>
        <v>0.43854964097086224</v>
      </c>
    </row>
    <row r="3378" spans="1:8" x14ac:dyDescent="0.25">
      <c r="A3378" s="1" t="s">
        <v>16</v>
      </c>
      <c r="B3378" s="1" t="s">
        <v>19</v>
      </c>
      <c r="C3378" s="6">
        <v>6208.5</v>
      </c>
      <c r="D3378" s="6">
        <v>8688.23</v>
      </c>
      <c r="E3378" s="6">
        <v>2324.56</v>
      </c>
      <c r="F3378" s="6">
        <v>2265.1799999999998</v>
      </c>
      <c r="G3378" s="7" t="s">
        <v>26</v>
      </c>
      <c r="H3378" s="1">
        <f t="shared" si="53"/>
        <v>1.3994088749295319</v>
      </c>
    </row>
    <row r="3379" spans="1:8" x14ac:dyDescent="0.25">
      <c r="A3379" s="1" t="s">
        <v>16</v>
      </c>
      <c r="B3379" s="1" t="s">
        <v>19</v>
      </c>
      <c r="C3379" s="6">
        <v>236348.75</v>
      </c>
      <c r="D3379" s="6">
        <v>12250.68</v>
      </c>
      <c r="E3379" s="6">
        <v>8512.7999999999993</v>
      </c>
      <c r="F3379" s="6">
        <v>6281.25</v>
      </c>
      <c r="G3379" s="7" t="s">
        <v>26</v>
      </c>
      <c r="H3379" s="1">
        <f t="shared" si="53"/>
        <v>5.1833064486272937E-2</v>
      </c>
    </row>
    <row r="3380" spans="1:8" x14ac:dyDescent="0.25">
      <c r="A3380" s="1" t="s">
        <v>16</v>
      </c>
      <c r="B3380" s="1" t="s">
        <v>19</v>
      </c>
      <c r="C3380" s="6">
        <v>80000</v>
      </c>
      <c r="D3380" s="6">
        <v>10000</v>
      </c>
      <c r="E3380" s="6">
        <v>10000</v>
      </c>
      <c r="F3380" s="6">
        <v>10000</v>
      </c>
      <c r="G3380" s="7" t="s">
        <v>26</v>
      </c>
      <c r="H3380" s="1">
        <f t="shared" si="53"/>
        <v>0.125</v>
      </c>
    </row>
    <row r="3381" spans="1:8" x14ac:dyDescent="0.25">
      <c r="A3381" s="1" t="s">
        <v>16</v>
      </c>
      <c r="B3381" s="1" t="s">
        <v>19</v>
      </c>
      <c r="C3381" s="6">
        <v>7500</v>
      </c>
      <c r="D3381" s="6">
        <v>0</v>
      </c>
      <c r="E3381" s="6">
        <v>0</v>
      </c>
      <c r="F3381" s="6">
        <v>0</v>
      </c>
      <c r="G3381" s="7" t="s">
        <v>26</v>
      </c>
      <c r="H3381" s="1">
        <f t="shared" si="53"/>
        <v>0</v>
      </c>
    </row>
    <row r="3382" spans="1:8" x14ac:dyDescent="0.25">
      <c r="A3382" s="1" t="s">
        <v>16</v>
      </c>
      <c r="B3382" s="1" t="s">
        <v>19</v>
      </c>
      <c r="C3382" s="6">
        <v>11000</v>
      </c>
      <c r="D3382" s="6">
        <v>0</v>
      </c>
      <c r="E3382" s="6">
        <v>0</v>
      </c>
      <c r="F3382" s="6">
        <v>0</v>
      </c>
      <c r="G3382" s="7" t="s">
        <v>26</v>
      </c>
      <c r="H3382" s="1">
        <f t="shared" si="53"/>
        <v>0</v>
      </c>
    </row>
    <row r="3383" spans="1:8" x14ac:dyDescent="0.25">
      <c r="A3383" s="1" t="s">
        <v>16</v>
      </c>
      <c r="B3383" s="1" t="s">
        <v>19</v>
      </c>
      <c r="C3383" s="6">
        <v>546954.25</v>
      </c>
      <c r="D3383" s="6">
        <v>409590.94</v>
      </c>
      <c r="E3383" s="6">
        <v>383280.84</v>
      </c>
      <c r="F3383" s="6">
        <v>383280.84</v>
      </c>
      <c r="G3383" s="7" t="s">
        <v>26</v>
      </c>
      <c r="H3383" s="1">
        <f t="shared" si="53"/>
        <v>0.74885777009685917</v>
      </c>
    </row>
    <row r="3384" spans="1:8" x14ac:dyDescent="0.25">
      <c r="A3384" s="1" t="s">
        <v>16</v>
      </c>
      <c r="B3384" s="1" t="s">
        <v>19</v>
      </c>
      <c r="C3384" s="6">
        <v>180652.5</v>
      </c>
      <c r="D3384" s="6">
        <v>139713.4</v>
      </c>
      <c r="E3384" s="6">
        <v>139713.4</v>
      </c>
      <c r="F3384" s="6">
        <v>108748.83</v>
      </c>
      <c r="G3384" s="7" t="s">
        <v>26</v>
      </c>
      <c r="H3384" s="1">
        <f t="shared" si="53"/>
        <v>0.77338204564011015</v>
      </c>
    </row>
    <row r="3385" spans="1:8" x14ac:dyDescent="0.25">
      <c r="A3385" s="1" t="s">
        <v>16</v>
      </c>
      <c r="B3385" s="1" t="s">
        <v>19</v>
      </c>
      <c r="C3385" s="6">
        <v>483246</v>
      </c>
      <c r="D3385" s="6">
        <v>340479.92</v>
      </c>
      <c r="E3385" s="6">
        <v>334025.03000000003</v>
      </c>
      <c r="F3385" s="6">
        <v>334025.03000000003</v>
      </c>
      <c r="G3385" s="7" t="s">
        <v>26</v>
      </c>
      <c r="H3385" s="1">
        <f t="shared" si="53"/>
        <v>0.70456852203639553</v>
      </c>
    </row>
    <row r="3386" spans="1:8" x14ac:dyDescent="0.25">
      <c r="A3386" s="1" t="s">
        <v>16</v>
      </c>
      <c r="B3386" s="1" t="s">
        <v>19</v>
      </c>
      <c r="C3386" s="6">
        <v>2500</v>
      </c>
      <c r="D3386" s="6">
        <v>0</v>
      </c>
      <c r="E3386" s="6">
        <v>0</v>
      </c>
      <c r="F3386" s="6">
        <v>0</v>
      </c>
      <c r="G3386" s="7" t="s">
        <v>26</v>
      </c>
      <c r="H3386" s="1">
        <f t="shared" si="53"/>
        <v>0</v>
      </c>
    </row>
    <row r="3387" spans="1:8" x14ac:dyDescent="0.25">
      <c r="A3387" s="1" t="s">
        <v>16</v>
      </c>
      <c r="B3387" s="1" t="s">
        <v>19</v>
      </c>
      <c r="C3387" s="6">
        <v>2712747.75</v>
      </c>
      <c r="D3387" s="6">
        <v>76577.899999999994</v>
      </c>
      <c r="E3387" s="6">
        <v>76577.899999999994</v>
      </c>
      <c r="F3387" s="6">
        <v>76577.899999999994</v>
      </c>
      <c r="G3387" s="7" t="s">
        <v>26</v>
      </c>
      <c r="H3387" s="1">
        <f t="shared" si="53"/>
        <v>2.8228905544203289E-2</v>
      </c>
    </row>
    <row r="3388" spans="1:8" x14ac:dyDescent="0.25">
      <c r="A3388" s="1" t="s">
        <v>16</v>
      </c>
      <c r="B3388" s="1" t="s">
        <v>19</v>
      </c>
      <c r="C3388" s="6">
        <v>5763.75</v>
      </c>
      <c r="D3388" s="6">
        <v>4985.68</v>
      </c>
      <c r="E3388" s="6">
        <v>4664.17</v>
      </c>
      <c r="F3388" s="6">
        <v>4664.17</v>
      </c>
      <c r="G3388" s="7" t="s">
        <v>26</v>
      </c>
      <c r="H3388" s="1">
        <f t="shared" si="53"/>
        <v>0.86500628930817614</v>
      </c>
    </row>
    <row r="3389" spans="1:8" x14ac:dyDescent="0.25">
      <c r="A3389" s="1" t="s">
        <v>16</v>
      </c>
      <c r="B3389" s="1" t="s">
        <v>19</v>
      </c>
      <c r="C3389" s="6">
        <v>58050</v>
      </c>
      <c r="D3389" s="6">
        <v>75000</v>
      </c>
      <c r="E3389" s="6">
        <v>75000</v>
      </c>
      <c r="F3389" s="6">
        <v>75000</v>
      </c>
      <c r="G3389" s="7" t="s">
        <v>26</v>
      </c>
      <c r="H3389" s="1">
        <f t="shared" si="53"/>
        <v>1.2919896640826873</v>
      </c>
    </row>
    <row r="3390" spans="1:8" x14ac:dyDescent="0.25">
      <c r="A3390" s="1" t="s">
        <v>16</v>
      </c>
      <c r="B3390" s="1" t="s">
        <v>19</v>
      </c>
      <c r="C3390" s="6">
        <v>248630.25</v>
      </c>
      <c r="D3390" s="6">
        <v>237791.66</v>
      </c>
      <c r="E3390" s="6">
        <v>237791.66</v>
      </c>
      <c r="F3390" s="6">
        <v>237791.66</v>
      </c>
      <c r="G3390" s="7" t="s">
        <v>26</v>
      </c>
      <c r="H3390" s="1">
        <f t="shared" si="53"/>
        <v>0.95640679281784902</v>
      </c>
    </row>
    <row r="3391" spans="1:8" x14ac:dyDescent="0.25">
      <c r="A3391" s="1" t="s">
        <v>16</v>
      </c>
      <c r="B3391" s="1" t="s">
        <v>19</v>
      </c>
      <c r="C3391" s="6">
        <v>188640.25</v>
      </c>
      <c r="D3391" s="6">
        <v>152848.71</v>
      </c>
      <c r="E3391" s="6">
        <v>152848.71</v>
      </c>
      <c r="F3391" s="6">
        <v>152848.71</v>
      </c>
      <c r="G3391" s="7" t="s">
        <v>26</v>
      </c>
      <c r="H3391" s="1">
        <f t="shared" si="53"/>
        <v>0.81026562464797403</v>
      </c>
    </row>
    <row r="3392" spans="1:8" x14ac:dyDescent="0.25">
      <c r="A3392" s="1" t="s">
        <v>16</v>
      </c>
      <c r="B3392" s="1" t="s">
        <v>19</v>
      </c>
      <c r="C3392" s="6">
        <v>150000</v>
      </c>
      <c r="D3392" s="6">
        <v>104290.31</v>
      </c>
      <c r="E3392" s="6">
        <v>104290.31</v>
      </c>
      <c r="F3392" s="6">
        <v>104290.31</v>
      </c>
      <c r="G3392" s="7" t="s">
        <v>26</v>
      </c>
      <c r="H3392" s="1">
        <f t="shared" si="53"/>
        <v>0.69526873333333328</v>
      </c>
    </row>
    <row r="3393" spans="1:8" x14ac:dyDescent="0.25">
      <c r="A3393" s="1" t="s">
        <v>12</v>
      </c>
      <c r="B3393" s="1" t="s">
        <v>13</v>
      </c>
      <c r="C3393" s="6">
        <v>150000</v>
      </c>
      <c r="D3393" s="6">
        <v>0</v>
      </c>
      <c r="E3393" s="6">
        <v>0</v>
      </c>
      <c r="F3393" s="6">
        <v>0</v>
      </c>
      <c r="G3393" s="7" t="s">
        <v>26</v>
      </c>
      <c r="H3393" s="1">
        <f t="shared" si="53"/>
        <v>0</v>
      </c>
    </row>
    <row r="3394" spans="1:8" x14ac:dyDescent="0.25">
      <c r="A3394" s="1" t="s">
        <v>12</v>
      </c>
      <c r="B3394" s="1" t="s">
        <v>13</v>
      </c>
      <c r="C3394" s="6">
        <v>3535081.25</v>
      </c>
      <c r="D3394" s="6">
        <v>3681454.62</v>
      </c>
      <c r="E3394" s="6">
        <v>3405375.71</v>
      </c>
      <c r="F3394" s="6">
        <v>3405375.71</v>
      </c>
      <c r="G3394" s="7" t="s">
        <v>26</v>
      </c>
      <c r="H3394" s="1">
        <f t="shared" si="53"/>
        <v>1.0414059422255146</v>
      </c>
    </row>
    <row r="3395" spans="1:8" x14ac:dyDescent="0.25">
      <c r="A3395" s="1" t="s">
        <v>12</v>
      </c>
      <c r="B3395" s="1" t="s">
        <v>13</v>
      </c>
      <c r="C3395" s="6">
        <v>991012.75</v>
      </c>
      <c r="D3395" s="6">
        <v>6973985.8899999997</v>
      </c>
      <c r="E3395" s="6">
        <v>6589602.1399999997</v>
      </c>
      <c r="F3395" s="6">
        <v>6589602.1399999997</v>
      </c>
      <c r="G3395" s="7" t="s">
        <v>26</v>
      </c>
      <c r="H3395" s="1">
        <f t="shared" si="53"/>
        <v>7.0372312465202889</v>
      </c>
    </row>
    <row r="3396" spans="1:8" x14ac:dyDescent="0.25">
      <c r="A3396" s="1" t="s">
        <v>12</v>
      </c>
      <c r="B3396" s="1" t="s">
        <v>13</v>
      </c>
      <c r="C3396" s="6">
        <v>1168867.75</v>
      </c>
      <c r="D3396" s="6">
        <v>5600.74</v>
      </c>
      <c r="E3396" s="6">
        <v>5600.74</v>
      </c>
      <c r="F3396" s="6">
        <v>5600.74</v>
      </c>
      <c r="G3396" s="7" t="s">
        <v>26</v>
      </c>
      <c r="H3396" s="1">
        <f t="shared" si="53"/>
        <v>4.7915942586319107E-3</v>
      </c>
    </row>
    <row r="3397" spans="1:8" x14ac:dyDescent="0.25">
      <c r="A3397" s="1" t="s">
        <v>12</v>
      </c>
      <c r="B3397" s="1" t="s">
        <v>13</v>
      </c>
      <c r="C3397" s="6">
        <v>2687469</v>
      </c>
      <c r="D3397" s="6">
        <v>3615527.86</v>
      </c>
      <c r="E3397" s="6">
        <v>3464573.53</v>
      </c>
      <c r="F3397" s="6">
        <v>2951734.43</v>
      </c>
      <c r="G3397" s="7" t="s">
        <v>26</v>
      </c>
      <c r="H3397" s="1">
        <f t="shared" si="53"/>
        <v>1.3453282102974955</v>
      </c>
    </row>
    <row r="3398" spans="1:8" x14ac:dyDescent="0.25">
      <c r="A3398" s="1" t="s">
        <v>12</v>
      </c>
      <c r="B3398" s="1" t="s">
        <v>13</v>
      </c>
      <c r="C3398" s="6">
        <v>2530376.5</v>
      </c>
      <c r="D3398" s="6">
        <v>1021328.77</v>
      </c>
      <c r="E3398" s="6">
        <v>1021328.77</v>
      </c>
      <c r="F3398" s="6">
        <v>1021328.77</v>
      </c>
      <c r="G3398" s="7" t="s">
        <v>26</v>
      </c>
      <c r="H3398" s="1">
        <f t="shared" si="53"/>
        <v>0.40362719539957792</v>
      </c>
    </row>
    <row r="3399" spans="1:8" x14ac:dyDescent="0.25">
      <c r="A3399" s="1" t="s">
        <v>12</v>
      </c>
      <c r="B3399" s="1" t="s">
        <v>13</v>
      </c>
      <c r="C3399" s="6">
        <v>941819.25</v>
      </c>
      <c r="D3399" s="6">
        <v>992138.92</v>
      </c>
      <c r="E3399" s="6">
        <v>992138.92</v>
      </c>
      <c r="F3399" s="6">
        <v>992138.92</v>
      </c>
      <c r="G3399" s="7" t="s">
        <v>26</v>
      </c>
      <c r="H3399" s="1">
        <f t="shared" si="53"/>
        <v>1.0534281604458606</v>
      </c>
    </row>
    <row r="3400" spans="1:8" x14ac:dyDescent="0.25">
      <c r="A3400" s="1" t="s">
        <v>12</v>
      </c>
      <c r="B3400" s="1" t="s">
        <v>13</v>
      </c>
      <c r="C3400" s="6">
        <v>840488.5</v>
      </c>
      <c r="D3400" s="6">
        <v>514143.24</v>
      </c>
      <c r="E3400" s="6">
        <v>514143.24</v>
      </c>
      <c r="F3400" s="6">
        <v>514143.24</v>
      </c>
      <c r="G3400" s="7" t="s">
        <v>26</v>
      </c>
      <c r="H3400" s="1">
        <f t="shared" si="53"/>
        <v>0.61171954167130183</v>
      </c>
    </row>
    <row r="3401" spans="1:8" x14ac:dyDescent="0.25">
      <c r="A3401" s="1" t="s">
        <v>12</v>
      </c>
      <c r="B3401" s="1" t="s">
        <v>13</v>
      </c>
      <c r="C3401" s="6">
        <v>273918.5</v>
      </c>
      <c r="D3401" s="6">
        <v>153441.10999999999</v>
      </c>
      <c r="E3401" s="6">
        <v>142084.07</v>
      </c>
      <c r="F3401" s="6">
        <v>142084.07</v>
      </c>
      <c r="G3401" s="7" t="s">
        <v>26</v>
      </c>
      <c r="H3401" s="1">
        <f t="shared" si="53"/>
        <v>0.56017067120329578</v>
      </c>
    </row>
    <row r="3402" spans="1:8" x14ac:dyDescent="0.25">
      <c r="A3402" s="1" t="s">
        <v>12</v>
      </c>
      <c r="B3402" s="1" t="s">
        <v>13</v>
      </c>
      <c r="C3402" s="6">
        <v>36250</v>
      </c>
      <c r="D3402" s="6">
        <v>5514.94</v>
      </c>
      <c r="E3402" s="6">
        <v>5264.94</v>
      </c>
      <c r="F3402" s="6">
        <v>5264.94</v>
      </c>
      <c r="G3402" s="7" t="s">
        <v>26</v>
      </c>
      <c r="H3402" s="1">
        <f t="shared" si="53"/>
        <v>0.15213627586206896</v>
      </c>
    </row>
    <row r="3403" spans="1:8" x14ac:dyDescent="0.25">
      <c r="A3403" s="1" t="s">
        <v>12</v>
      </c>
      <c r="B3403" s="1" t="s">
        <v>13</v>
      </c>
      <c r="C3403" s="6">
        <v>76500</v>
      </c>
      <c r="D3403" s="6">
        <v>174000</v>
      </c>
      <c r="E3403" s="6">
        <v>171704.6</v>
      </c>
      <c r="F3403" s="6">
        <v>171704.6</v>
      </c>
      <c r="G3403" s="7" t="s">
        <v>26</v>
      </c>
      <c r="H3403" s="1">
        <f t="shared" si="53"/>
        <v>2.2745098039215685</v>
      </c>
    </row>
    <row r="3404" spans="1:8" x14ac:dyDescent="0.25">
      <c r="A3404" s="1" t="s">
        <v>12</v>
      </c>
      <c r="B3404" s="1" t="s">
        <v>13</v>
      </c>
      <c r="C3404" s="6">
        <v>3560365.5</v>
      </c>
      <c r="D3404" s="6">
        <v>1697482.77</v>
      </c>
      <c r="E3404" s="6">
        <v>1581900.87</v>
      </c>
      <c r="F3404" s="6">
        <v>1495768.74</v>
      </c>
      <c r="G3404" s="7" t="s">
        <v>26</v>
      </c>
      <c r="H3404" s="1">
        <f t="shared" si="53"/>
        <v>0.47677205331868316</v>
      </c>
    </row>
    <row r="3405" spans="1:8" x14ac:dyDescent="0.25">
      <c r="A3405" s="1" t="s">
        <v>12</v>
      </c>
      <c r="B3405" s="1" t="s">
        <v>13</v>
      </c>
      <c r="C3405" s="6">
        <v>3231074.5</v>
      </c>
      <c r="D3405" s="6">
        <v>1161229.47</v>
      </c>
      <c r="E3405" s="6">
        <v>949079.7</v>
      </c>
      <c r="F3405" s="6">
        <v>880446.22</v>
      </c>
      <c r="G3405" s="7" t="s">
        <v>26</v>
      </c>
      <c r="H3405" s="1">
        <f t="shared" si="53"/>
        <v>0.35939421081129513</v>
      </c>
    </row>
    <row r="3406" spans="1:8" x14ac:dyDescent="0.25">
      <c r="A3406" s="1" t="s">
        <v>12</v>
      </c>
      <c r="B3406" s="1" t="s">
        <v>13</v>
      </c>
      <c r="C3406" s="6">
        <v>40590.5</v>
      </c>
      <c r="D3406" s="6">
        <v>61250</v>
      </c>
      <c r="E3406" s="6">
        <v>46708.31</v>
      </c>
      <c r="F3406" s="6">
        <v>46708.31</v>
      </c>
      <c r="G3406" s="7" t="s">
        <v>26</v>
      </c>
      <c r="H3406" s="1">
        <f t="shared" si="53"/>
        <v>1.5089737746517042</v>
      </c>
    </row>
    <row r="3407" spans="1:8" x14ac:dyDescent="0.25">
      <c r="A3407" s="1" t="s">
        <v>12</v>
      </c>
      <c r="B3407" s="1" t="s">
        <v>13</v>
      </c>
      <c r="C3407" s="6">
        <v>3856232.5</v>
      </c>
      <c r="D3407" s="6">
        <v>3255742.52</v>
      </c>
      <c r="E3407" s="6">
        <v>3008186.89</v>
      </c>
      <c r="F3407" s="6">
        <v>3008186.89</v>
      </c>
      <c r="G3407" s="7" t="s">
        <v>26</v>
      </c>
      <c r="H3407" s="1">
        <f t="shared" si="53"/>
        <v>0.84428065994464807</v>
      </c>
    </row>
    <row r="3408" spans="1:8" x14ac:dyDescent="0.25">
      <c r="A3408" s="1" t="s">
        <v>12</v>
      </c>
      <c r="B3408" s="1" t="s">
        <v>13</v>
      </c>
      <c r="C3408" s="6">
        <v>3700675.25</v>
      </c>
      <c r="D3408" s="6">
        <v>3778593.47</v>
      </c>
      <c r="E3408" s="6">
        <v>3368924.83</v>
      </c>
      <c r="F3408" s="6">
        <v>3350266.91</v>
      </c>
      <c r="G3408" s="7" t="s">
        <v>26</v>
      </c>
      <c r="H3408" s="1">
        <f t="shared" si="53"/>
        <v>1.021055135816092</v>
      </c>
    </row>
    <row r="3409" spans="1:8" x14ac:dyDescent="0.25">
      <c r="A3409" s="1" t="s">
        <v>12</v>
      </c>
      <c r="B3409" s="1" t="s">
        <v>13</v>
      </c>
      <c r="C3409" s="6">
        <v>1352942.25</v>
      </c>
      <c r="D3409" s="6">
        <v>703037.54</v>
      </c>
      <c r="E3409" s="6">
        <v>573035.04</v>
      </c>
      <c r="F3409" s="6">
        <v>405237.05</v>
      </c>
      <c r="G3409" s="7" t="s">
        <v>26</v>
      </c>
      <c r="H3409" s="1">
        <f t="shared" si="53"/>
        <v>0.51963603028880212</v>
      </c>
    </row>
    <row r="3410" spans="1:8" x14ac:dyDescent="0.25">
      <c r="A3410" s="1" t="s">
        <v>12</v>
      </c>
      <c r="B3410" s="1" t="s">
        <v>13</v>
      </c>
      <c r="C3410" s="6">
        <v>2235887</v>
      </c>
      <c r="D3410" s="6">
        <v>1052884.21</v>
      </c>
      <c r="E3410" s="6">
        <v>1039545.56</v>
      </c>
      <c r="F3410" s="6">
        <v>1039545.56</v>
      </c>
      <c r="G3410" s="7" t="s">
        <v>26</v>
      </c>
      <c r="H3410" s="1">
        <f t="shared" si="53"/>
        <v>0.47090224595429014</v>
      </c>
    </row>
    <row r="3411" spans="1:8" x14ac:dyDescent="0.25">
      <c r="A3411" s="1" t="s">
        <v>12</v>
      </c>
      <c r="B3411" s="1" t="s">
        <v>13</v>
      </c>
      <c r="C3411" s="6">
        <v>973125</v>
      </c>
      <c r="D3411" s="6">
        <v>33842.5</v>
      </c>
      <c r="E3411" s="6">
        <v>25510.01</v>
      </c>
      <c r="F3411" s="6">
        <v>22995.65</v>
      </c>
      <c r="G3411" s="7" t="s">
        <v>26</v>
      </c>
      <c r="H3411" s="1">
        <f t="shared" si="53"/>
        <v>3.4777135517019907E-2</v>
      </c>
    </row>
    <row r="3412" spans="1:8" x14ac:dyDescent="0.25">
      <c r="A3412" s="1" t="s">
        <v>12</v>
      </c>
      <c r="B3412" s="1" t="s">
        <v>13</v>
      </c>
      <c r="C3412" s="6">
        <v>4399856.75</v>
      </c>
      <c r="D3412" s="6">
        <v>103250</v>
      </c>
      <c r="E3412" s="6">
        <v>319.27999999999997</v>
      </c>
      <c r="F3412" s="6">
        <v>319.27999999999997</v>
      </c>
      <c r="G3412" s="7" t="s">
        <v>26</v>
      </c>
      <c r="H3412" s="1">
        <f t="shared" si="53"/>
        <v>2.3466673091118252E-2</v>
      </c>
    </row>
    <row r="3413" spans="1:8" x14ac:dyDescent="0.25">
      <c r="A3413" s="1" t="s">
        <v>12</v>
      </c>
      <c r="B3413" s="1" t="s">
        <v>13</v>
      </c>
      <c r="C3413" s="6">
        <v>10385516.25</v>
      </c>
      <c r="D3413" s="6">
        <v>9565392.3900000006</v>
      </c>
      <c r="E3413" s="6">
        <v>8513636.0099999998</v>
      </c>
      <c r="F3413" s="6">
        <v>8488661.0899999999</v>
      </c>
      <c r="G3413" s="7" t="s">
        <v>26</v>
      </c>
      <c r="H3413" s="1">
        <f t="shared" si="53"/>
        <v>0.92103196025522571</v>
      </c>
    </row>
    <row r="3414" spans="1:8" x14ac:dyDescent="0.25">
      <c r="A3414" s="1" t="s">
        <v>12</v>
      </c>
      <c r="B3414" s="1" t="s">
        <v>13</v>
      </c>
      <c r="C3414" s="6">
        <v>152248</v>
      </c>
      <c r="D3414" s="6">
        <v>1626358</v>
      </c>
      <c r="E3414" s="6">
        <v>1518308.93</v>
      </c>
      <c r="F3414" s="6">
        <v>1518308.93</v>
      </c>
      <c r="G3414" s="7" t="s">
        <v>26</v>
      </c>
      <c r="H3414" s="1">
        <f t="shared" si="53"/>
        <v>10.682294677105775</v>
      </c>
    </row>
    <row r="3415" spans="1:8" x14ac:dyDescent="0.25">
      <c r="A3415" s="1" t="s">
        <v>12</v>
      </c>
      <c r="B3415" s="1" t="s">
        <v>13</v>
      </c>
      <c r="C3415" s="6">
        <v>2179015.5</v>
      </c>
      <c r="D3415" s="6">
        <v>278306.43</v>
      </c>
      <c r="E3415" s="6">
        <v>198782.07999999999</v>
      </c>
      <c r="F3415" s="6">
        <v>193379.62</v>
      </c>
      <c r="G3415" s="7" t="s">
        <v>26</v>
      </c>
      <c r="H3415" s="1">
        <f t="shared" si="53"/>
        <v>0.1277211795877542</v>
      </c>
    </row>
    <row r="3416" spans="1:8" x14ac:dyDescent="0.25">
      <c r="A3416" s="1" t="s">
        <v>12</v>
      </c>
      <c r="B3416" s="1" t="s">
        <v>13</v>
      </c>
      <c r="C3416" s="6">
        <v>398485.5</v>
      </c>
      <c r="D3416" s="6">
        <v>15000</v>
      </c>
      <c r="E3416" s="6">
        <v>0</v>
      </c>
      <c r="F3416" s="6">
        <v>0</v>
      </c>
      <c r="G3416" s="7" t="s">
        <v>26</v>
      </c>
      <c r="H3416" s="1">
        <f t="shared" si="53"/>
        <v>3.7642524006519684E-2</v>
      </c>
    </row>
    <row r="3417" spans="1:8" x14ac:dyDescent="0.25">
      <c r="A3417" s="1" t="s">
        <v>12</v>
      </c>
      <c r="B3417" s="1" t="s">
        <v>13</v>
      </c>
      <c r="C3417" s="6">
        <v>229750</v>
      </c>
      <c r="D3417" s="6">
        <v>0</v>
      </c>
      <c r="E3417" s="6">
        <v>0</v>
      </c>
      <c r="F3417" s="6">
        <v>0</v>
      </c>
      <c r="G3417" s="7" t="s">
        <v>26</v>
      </c>
      <c r="H3417" s="1">
        <f t="shared" si="53"/>
        <v>0</v>
      </c>
    </row>
    <row r="3418" spans="1:8" x14ac:dyDescent="0.25">
      <c r="A3418" s="1" t="s">
        <v>12</v>
      </c>
      <c r="B3418" s="1" t="s">
        <v>13</v>
      </c>
      <c r="C3418" s="6">
        <v>801250</v>
      </c>
      <c r="D3418" s="6">
        <v>17629.38</v>
      </c>
      <c r="E3418" s="6">
        <v>17629.38</v>
      </c>
      <c r="F3418" s="6">
        <v>8481.8799999999992</v>
      </c>
      <c r="G3418" s="7" t="s">
        <v>26</v>
      </c>
      <c r="H3418" s="1">
        <f t="shared" ref="H3418:H3481" si="54">IF(OR(ISNA($D3418),ISNA($C3418),$C3418=0),0,$D3418/$C3418)</f>
        <v>2.2002346333853354E-2</v>
      </c>
    </row>
    <row r="3419" spans="1:8" x14ac:dyDescent="0.25">
      <c r="A3419" s="1" t="s">
        <v>12</v>
      </c>
      <c r="B3419" s="1" t="s">
        <v>13</v>
      </c>
      <c r="C3419" s="6">
        <v>677385</v>
      </c>
      <c r="D3419" s="6">
        <v>147500</v>
      </c>
      <c r="E3419" s="6">
        <v>147500</v>
      </c>
      <c r="F3419" s="6">
        <v>147500</v>
      </c>
      <c r="G3419" s="7" t="s">
        <v>26</v>
      </c>
      <c r="H3419" s="1">
        <f t="shared" si="54"/>
        <v>0.21774913823010547</v>
      </c>
    </row>
    <row r="3420" spans="1:8" x14ac:dyDescent="0.25">
      <c r="A3420" s="1" t="s">
        <v>12</v>
      </c>
      <c r="B3420" s="1" t="s">
        <v>13</v>
      </c>
      <c r="C3420" s="6">
        <v>149455.75</v>
      </c>
      <c r="D3420" s="6">
        <v>23974.639999999999</v>
      </c>
      <c r="E3420" s="6">
        <v>23974.639999999999</v>
      </c>
      <c r="F3420" s="6">
        <v>23974.639999999999</v>
      </c>
      <c r="G3420" s="7" t="s">
        <v>26</v>
      </c>
      <c r="H3420" s="1">
        <f t="shared" si="54"/>
        <v>0.16041296504149222</v>
      </c>
    </row>
    <row r="3421" spans="1:8" x14ac:dyDescent="0.25">
      <c r="A3421" s="1" t="s">
        <v>12</v>
      </c>
      <c r="B3421" s="1" t="s">
        <v>13</v>
      </c>
      <c r="C3421" s="6">
        <v>1258396.25</v>
      </c>
      <c r="D3421" s="6">
        <v>277246.90000000002</v>
      </c>
      <c r="E3421" s="6">
        <v>277246.90000000002</v>
      </c>
      <c r="F3421" s="6">
        <v>277246.90000000002</v>
      </c>
      <c r="G3421" s="7" t="s">
        <v>26</v>
      </c>
      <c r="H3421" s="1">
        <f t="shared" si="54"/>
        <v>0.22031764636933718</v>
      </c>
    </row>
    <row r="3422" spans="1:8" x14ac:dyDescent="0.25">
      <c r="A3422" s="1" t="s">
        <v>12</v>
      </c>
      <c r="B3422" s="1" t="s">
        <v>13</v>
      </c>
      <c r="C3422" s="6">
        <v>216500</v>
      </c>
      <c r="D3422" s="6">
        <v>0</v>
      </c>
      <c r="E3422" s="6">
        <v>0</v>
      </c>
      <c r="F3422" s="6">
        <v>0</v>
      </c>
      <c r="G3422" s="7" t="s">
        <v>26</v>
      </c>
      <c r="H3422" s="1">
        <f t="shared" si="54"/>
        <v>0</v>
      </c>
    </row>
    <row r="3423" spans="1:8" x14ac:dyDescent="0.25">
      <c r="A3423" s="1" t="s">
        <v>12</v>
      </c>
      <c r="B3423" s="1" t="s">
        <v>13</v>
      </c>
      <c r="C3423" s="6">
        <v>15000</v>
      </c>
      <c r="D3423" s="6">
        <v>30000</v>
      </c>
      <c r="E3423" s="6">
        <v>22131.9</v>
      </c>
      <c r="F3423" s="6">
        <v>22131.9</v>
      </c>
      <c r="G3423" s="7" t="s">
        <v>26</v>
      </c>
      <c r="H3423" s="1">
        <f t="shared" si="54"/>
        <v>2</v>
      </c>
    </row>
    <row r="3424" spans="1:8" x14ac:dyDescent="0.25">
      <c r="A3424" s="1" t="s">
        <v>12</v>
      </c>
      <c r="B3424" s="1" t="s">
        <v>13</v>
      </c>
      <c r="C3424" s="6">
        <v>106059.5</v>
      </c>
      <c r="D3424" s="6">
        <v>54030.45</v>
      </c>
      <c r="E3424" s="6">
        <v>50280.45</v>
      </c>
      <c r="F3424" s="6">
        <v>50280.45</v>
      </c>
      <c r="G3424" s="7" t="s">
        <v>26</v>
      </c>
      <c r="H3424" s="1">
        <f t="shared" si="54"/>
        <v>0.50943526982495668</v>
      </c>
    </row>
    <row r="3425" spans="1:8" x14ac:dyDescent="0.25">
      <c r="A3425" s="1" t="s">
        <v>12</v>
      </c>
      <c r="B3425" s="1" t="s">
        <v>13</v>
      </c>
      <c r="C3425" s="6">
        <v>126835.5</v>
      </c>
      <c r="D3425" s="6">
        <v>27500</v>
      </c>
      <c r="E3425" s="6">
        <v>22230.74</v>
      </c>
      <c r="F3425" s="6">
        <v>22230.74</v>
      </c>
      <c r="G3425" s="7" t="s">
        <v>26</v>
      </c>
      <c r="H3425" s="1">
        <f t="shared" si="54"/>
        <v>0.21681626989289277</v>
      </c>
    </row>
    <row r="3426" spans="1:8" x14ac:dyDescent="0.25">
      <c r="A3426" s="1" t="s">
        <v>12</v>
      </c>
      <c r="B3426" s="1" t="s">
        <v>13</v>
      </c>
      <c r="C3426" s="6">
        <v>412500</v>
      </c>
      <c r="D3426" s="6">
        <v>97200</v>
      </c>
      <c r="E3426" s="6">
        <v>97200</v>
      </c>
      <c r="F3426" s="6">
        <v>97200</v>
      </c>
      <c r="G3426" s="7" t="s">
        <v>26</v>
      </c>
      <c r="H3426" s="1">
        <f t="shared" si="54"/>
        <v>0.23563636363636364</v>
      </c>
    </row>
    <row r="3427" spans="1:8" x14ac:dyDescent="0.25">
      <c r="A3427" s="1" t="s">
        <v>12</v>
      </c>
      <c r="B3427" s="1" t="s">
        <v>13</v>
      </c>
      <c r="C3427" s="6">
        <v>1220400</v>
      </c>
      <c r="D3427" s="6">
        <v>533625</v>
      </c>
      <c r="E3427" s="6">
        <v>474435.15</v>
      </c>
      <c r="F3427" s="6">
        <v>474435.15</v>
      </c>
      <c r="G3427" s="7" t="s">
        <v>26</v>
      </c>
      <c r="H3427" s="1">
        <f t="shared" si="54"/>
        <v>0.43725417895771879</v>
      </c>
    </row>
    <row r="3428" spans="1:8" x14ac:dyDescent="0.25">
      <c r="A3428" s="1" t="s">
        <v>12</v>
      </c>
      <c r="B3428" s="1" t="s">
        <v>13</v>
      </c>
      <c r="C3428" s="6">
        <v>550000</v>
      </c>
      <c r="D3428" s="6">
        <v>1155250</v>
      </c>
      <c r="E3428" s="6">
        <v>1055250</v>
      </c>
      <c r="F3428" s="6">
        <v>1055250</v>
      </c>
      <c r="G3428" s="7" t="s">
        <v>26</v>
      </c>
      <c r="H3428" s="1">
        <f t="shared" si="54"/>
        <v>2.1004545454545456</v>
      </c>
    </row>
    <row r="3429" spans="1:8" x14ac:dyDescent="0.25">
      <c r="A3429" s="1" t="s">
        <v>12</v>
      </c>
      <c r="B3429" s="1" t="s">
        <v>13</v>
      </c>
      <c r="C3429" s="6">
        <v>125000</v>
      </c>
      <c r="D3429" s="6">
        <v>257500</v>
      </c>
      <c r="E3429" s="6">
        <v>225000</v>
      </c>
      <c r="F3429" s="6">
        <v>225000</v>
      </c>
      <c r="G3429" s="7" t="s">
        <v>26</v>
      </c>
      <c r="H3429" s="1">
        <f t="shared" si="54"/>
        <v>2.06</v>
      </c>
    </row>
    <row r="3430" spans="1:8" x14ac:dyDescent="0.25">
      <c r="A3430" s="1" t="s">
        <v>12</v>
      </c>
      <c r="B3430" s="1" t="s">
        <v>13</v>
      </c>
      <c r="C3430" s="6">
        <v>230400</v>
      </c>
      <c r="D3430" s="6">
        <v>174375</v>
      </c>
      <c r="E3430" s="6">
        <v>156665.26</v>
      </c>
      <c r="F3430" s="6">
        <v>156665.26</v>
      </c>
      <c r="G3430" s="7" t="s">
        <v>26</v>
      </c>
      <c r="H3430" s="1">
        <f t="shared" si="54"/>
        <v>0.7568359375</v>
      </c>
    </row>
    <row r="3431" spans="1:8" x14ac:dyDescent="0.25">
      <c r="A3431" s="1" t="s">
        <v>12</v>
      </c>
      <c r="B3431" s="1" t="s">
        <v>13</v>
      </c>
      <c r="C3431" s="6">
        <v>181125</v>
      </c>
      <c r="D3431" s="6">
        <v>2625</v>
      </c>
      <c r="E3431" s="6">
        <v>0</v>
      </c>
      <c r="F3431" s="6">
        <v>0</v>
      </c>
      <c r="G3431" s="7" t="s">
        <v>26</v>
      </c>
      <c r="H3431" s="1">
        <f t="shared" si="54"/>
        <v>1.4492753623188406E-2</v>
      </c>
    </row>
    <row r="3432" spans="1:8" x14ac:dyDescent="0.25">
      <c r="A3432" s="1" t="s">
        <v>12</v>
      </c>
      <c r="B3432" s="1" t="s">
        <v>13</v>
      </c>
      <c r="C3432" s="6">
        <v>192767.75</v>
      </c>
      <c r="D3432" s="6">
        <v>72960.98</v>
      </c>
      <c r="E3432" s="6">
        <v>28414.16</v>
      </c>
      <c r="F3432" s="6">
        <v>28414.16</v>
      </c>
      <c r="G3432" s="7" t="s">
        <v>26</v>
      </c>
      <c r="H3432" s="1">
        <f t="shared" si="54"/>
        <v>0.37849163047242079</v>
      </c>
    </row>
    <row r="3433" spans="1:8" x14ac:dyDescent="0.25">
      <c r="A3433" s="1" t="s">
        <v>12</v>
      </c>
      <c r="B3433" s="1" t="s">
        <v>14</v>
      </c>
      <c r="C3433" s="6">
        <v>15224763.5</v>
      </c>
      <c r="D3433" s="6">
        <v>15224763.5</v>
      </c>
      <c r="E3433" s="6">
        <v>14393568.279999999</v>
      </c>
      <c r="F3433" s="6">
        <v>14393568.279999999</v>
      </c>
      <c r="G3433" s="7" t="s">
        <v>26</v>
      </c>
      <c r="H3433" s="1">
        <f t="shared" si="54"/>
        <v>1</v>
      </c>
    </row>
    <row r="3434" spans="1:8" x14ac:dyDescent="0.25">
      <c r="A3434" s="1" t="s">
        <v>12</v>
      </c>
      <c r="B3434" s="1" t="s">
        <v>14</v>
      </c>
      <c r="C3434" s="6">
        <v>32192618</v>
      </c>
      <c r="D3434" s="6">
        <v>35679596.5</v>
      </c>
      <c r="E3434" s="6">
        <v>33000449.129999999</v>
      </c>
      <c r="F3434" s="6">
        <v>33000449.129999999</v>
      </c>
      <c r="G3434" s="7" t="s">
        <v>26</v>
      </c>
      <c r="H3434" s="1">
        <f t="shared" si="54"/>
        <v>1.1083160897321243</v>
      </c>
    </row>
    <row r="3435" spans="1:8" x14ac:dyDescent="0.25">
      <c r="A3435" s="1" t="s">
        <v>12</v>
      </c>
      <c r="B3435" s="1" t="s">
        <v>14</v>
      </c>
      <c r="C3435" s="6">
        <v>1409535.25</v>
      </c>
      <c r="D3435" s="6">
        <v>1380910.48</v>
      </c>
      <c r="E3435" s="6">
        <v>1195192.01</v>
      </c>
      <c r="F3435" s="6">
        <v>1194583.7</v>
      </c>
      <c r="G3435" s="7" t="s">
        <v>26</v>
      </c>
      <c r="H3435" s="1">
        <f t="shared" si="54"/>
        <v>0.97969205097921463</v>
      </c>
    </row>
    <row r="3436" spans="1:8" x14ac:dyDescent="0.25">
      <c r="A3436" s="1" t="s">
        <v>12</v>
      </c>
      <c r="B3436" s="1" t="s">
        <v>14</v>
      </c>
      <c r="C3436" s="6">
        <v>15033570.25</v>
      </c>
      <c r="D3436" s="6">
        <v>10519327.800000001</v>
      </c>
      <c r="E3436" s="6">
        <v>9504926.0500000007</v>
      </c>
      <c r="F3436" s="6">
        <v>9504926.0500000007</v>
      </c>
      <c r="G3436" s="7" t="s">
        <v>26</v>
      </c>
      <c r="H3436" s="1">
        <f t="shared" si="54"/>
        <v>0.69972252931734569</v>
      </c>
    </row>
    <row r="3437" spans="1:8" x14ac:dyDescent="0.25">
      <c r="A3437" s="1" t="s">
        <v>12</v>
      </c>
      <c r="B3437" s="1" t="s">
        <v>14</v>
      </c>
      <c r="C3437" s="6">
        <v>1042181.25</v>
      </c>
      <c r="D3437" s="6">
        <v>0</v>
      </c>
      <c r="E3437" s="6">
        <v>0</v>
      </c>
      <c r="F3437" s="6">
        <v>0</v>
      </c>
      <c r="G3437" s="7" t="s">
        <v>26</v>
      </c>
      <c r="H3437" s="1">
        <f t="shared" si="54"/>
        <v>0</v>
      </c>
    </row>
    <row r="3438" spans="1:8" x14ac:dyDescent="0.25">
      <c r="A3438" s="1" t="s">
        <v>12</v>
      </c>
      <c r="B3438" s="1" t="s">
        <v>14</v>
      </c>
      <c r="C3438" s="6">
        <v>6370291.5</v>
      </c>
      <c r="D3438" s="6">
        <v>7924668.3899999997</v>
      </c>
      <c r="E3438" s="6">
        <v>5460966.7800000003</v>
      </c>
      <c r="F3438" s="6">
        <v>4519928.84</v>
      </c>
      <c r="G3438" s="7" t="s">
        <v>26</v>
      </c>
      <c r="H3438" s="1">
        <f t="shared" si="54"/>
        <v>1.2440040443989102</v>
      </c>
    </row>
    <row r="3439" spans="1:8" x14ac:dyDescent="0.25">
      <c r="A3439" s="1" t="s">
        <v>12</v>
      </c>
      <c r="B3439" s="1" t="s">
        <v>14</v>
      </c>
      <c r="C3439" s="6">
        <v>8859568.75</v>
      </c>
      <c r="D3439" s="6">
        <v>11557899.57</v>
      </c>
      <c r="E3439" s="6">
        <v>9446410.3200000003</v>
      </c>
      <c r="F3439" s="6">
        <v>9059025.7699999996</v>
      </c>
      <c r="G3439" s="7" t="s">
        <v>26</v>
      </c>
      <c r="H3439" s="1">
        <f t="shared" si="54"/>
        <v>1.3045668357164677</v>
      </c>
    </row>
    <row r="3440" spans="1:8" x14ac:dyDescent="0.25">
      <c r="A3440" s="1" t="s">
        <v>12</v>
      </c>
      <c r="B3440" s="1" t="s">
        <v>14</v>
      </c>
      <c r="C3440" s="6">
        <v>331700</v>
      </c>
      <c r="D3440" s="6">
        <v>0</v>
      </c>
      <c r="E3440" s="6">
        <v>0</v>
      </c>
      <c r="F3440" s="6">
        <v>0</v>
      </c>
      <c r="G3440" s="7" t="s">
        <v>26</v>
      </c>
      <c r="H3440" s="1">
        <f t="shared" si="54"/>
        <v>0</v>
      </c>
    </row>
    <row r="3441" spans="1:8" x14ac:dyDescent="0.25">
      <c r="A3441" s="1" t="s">
        <v>12</v>
      </c>
      <c r="B3441" s="1" t="s">
        <v>14</v>
      </c>
      <c r="C3441" s="6">
        <v>3054658.5</v>
      </c>
      <c r="D3441" s="6">
        <v>0</v>
      </c>
      <c r="E3441" s="6">
        <v>0</v>
      </c>
      <c r="F3441" s="6">
        <v>0</v>
      </c>
      <c r="G3441" s="7" t="s">
        <v>26</v>
      </c>
      <c r="H3441" s="1">
        <f t="shared" si="54"/>
        <v>0</v>
      </c>
    </row>
    <row r="3442" spans="1:8" x14ac:dyDescent="0.25">
      <c r="A3442" s="1" t="s">
        <v>12</v>
      </c>
      <c r="B3442" s="1" t="s">
        <v>14</v>
      </c>
      <c r="C3442" s="6">
        <v>55513319</v>
      </c>
      <c r="D3442" s="6">
        <v>57071499.020000003</v>
      </c>
      <c r="E3442" s="6">
        <v>56927788.770000003</v>
      </c>
      <c r="F3442" s="6">
        <v>56927788.770000003</v>
      </c>
      <c r="G3442" s="7" t="s">
        <v>26</v>
      </c>
      <c r="H3442" s="1">
        <f t="shared" si="54"/>
        <v>1.0280685797222826</v>
      </c>
    </row>
    <row r="3443" spans="1:8" x14ac:dyDescent="0.25">
      <c r="A3443" s="1" t="s">
        <v>12</v>
      </c>
      <c r="B3443" s="1" t="s">
        <v>14</v>
      </c>
      <c r="C3443" s="6">
        <v>90738</v>
      </c>
      <c r="D3443" s="6">
        <v>61400</v>
      </c>
      <c r="E3443" s="6">
        <v>19250</v>
      </c>
      <c r="F3443" s="6">
        <v>0</v>
      </c>
      <c r="G3443" s="7" t="s">
        <v>26</v>
      </c>
      <c r="H3443" s="1">
        <f t="shared" si="54"/>
        <v>0.67667349952610811</v>
      </c>
    </row>
    <row r="3444" spans="1:8" x14ac:dyDescent="0.25">
      <c r="A3444" s="1" t="s">
        <v>12</v>
      </c>
      <c r="B3444" s="1" t="s">
        <v>14</v>
      </c>
      <c r="C3444" s="6">
        <v>1479096</v>
      </c>
      <c r="D3444" s="6">
        <v>1374157.92</v>
      </c>
      <c r="E3444" s="6">
        <v>1059649.3700000001</v>
      </c>
      <c r="F3444" s="6">
        <v>1059649.3700000001</v>
      </c>
      <c r="G3444" s="7" t="s">
        <v>26</v>
      </c>
      <c r="H3444" s="1">
        <f t="shared" si="54"/>
        <v>0.92905255642635765</v>
      </c>
    </row>
    <row r="3445" spans="1:8" x14ac:dyDescent="0.25">
      <c r="A3445" s="1" t="s">
        <v>12</v>
      </c>
      <c r="B3445" s="1" t="s">
        <v>14</v>
      </c>
      <c r="C3445" s="6">
        <v>2500</v>
      </c>
      <c r="D3445" s="6">
        <v>0</v>
      </c>
      <c r="E3445" s="6">
        <v>0</v>
      </c>
      <c r="F3445" s="6">
        <v>0</v>
      </c>
      <c r="G3445" s="7" t="s">
        <v>26</v>
      </c>
      <c r="H3445" s="1">
        <f t="shared" si="54"/>
        <v>0</v>
      </c>
    </row>
    <row r="3446" spans="1:8" x14ac:dyDescent="0.25">
      <c r="A3446" s="1" t="s">
        <v>12</v>
      </c>
      <c r="B3446" s="1" t="s">
        <v>14</v>
      </c>
      <c r="C3446" s="6">
        <v>10000</v>
      </c>
      <c r="D3446" s="6">
        <v>0</v>
      </c>
      <c r="E3446" s="6">
        <v>0</v>
      </c>
      <c r="F3446" s="6">
        <v>0</v>
      </c>
      <c r="G3446" s="7" t="s">
        <v>26</v>
      </c>
      <c r="H3446" s="1">
        <f t="shared" si="54"/>
        <v>0</v>
      </c>
    </row>
    <row r="3447" spans="1:8" x14ac:dyDescent="0.25">
      <c r="A3447" s="1" t="s">
        <v>12</v>
      </c>
      <c r="B3447" s="1" t="s">
        <v>14</v>
      </c>
      <c r="C3447" s="6">
        <v>2505000</v>
      </c>
      <c r="D3447" s="6">
        <v>854224.68</v>
      </c>
      <c r="E3447" s="6">
        <v>522322.97</v>
      </c>
      <c r="F3447" s="6">
        <v>522322.97</v>
      </c>
      <c r="G3447" s="7" t="s">
        <v>26</v>
      </c>
      <c r="H3447" s="1">
        <f t="shared" si="54"/>
        <v>0.34100785628742519</v>
      </c>
    </row>
    <row r="3448" spans="1:8" x14ac:dyDescent="0.25">
      <c r="A3448" s="1" t="s">
        <v>12</v>
      </c>
      <c r="B3448" s="1" t="s">
        <v>15</v>
      </c>
      <c r="C3448" s="6">
        <v>13960707.75</v>
      </c>
      <c r="D3448" s="6">
        <v>13984144.199999999</v>
      </c>
      <c r="E3448" s="6">
        <v>12330006.6</v>
      </c>
      <c r="F3448" s="6">
        <v>12252597.4</v>
      </c>
      <c r="G3448" s="7" t="s">
        <v>26</v>
      </c>
      <c r="H3448" s="1">
        <f t="shared" si="54"/>
        <v>1.0016787436869021</v>
      </c>
    </row>
    <row r="3449" spans="1:8" x14ac:dyDescent="0.25">
      <c r="A3449" s="1" t="s">
        <v>12</v>
      </c>
      <c r="B3449" s="1" t="s">
        <v>15</v>
      </c>
      <c r="C3449" s="6">
        <v>79000</v>
      </c>
      <c r="D3449" s="6">
        <v>0</v>
      </c>
      <c r="E3449" s="6">
        <v>0</v>
      </c>
      <c r="F3449" s="6">
        <v>0</v>
      </c>
      <c r="G3449" s="7" t="s">
        <v>26</v>
      </c>
      <c r="H3449" s="1">
        <f t="shared" si="54"/>
        <v>0</v>
      </c>
    </row>
    <row r="3450" spans="1:8" x14ac:dyDescent="0.25">
      <c r="A3450" s="1" t="s">
        <v>12</v>
      </c>
      <c r="B3450" s="1" t="s">
        <v>15</v>
      </c>
      <c r="C3450" s="6">
        <v>1893132</v>
      </c>
      <c r="D3450" s="6">
        <v>313962.89</v>
      </c>
      <c r="E3450" s="6">
        <v>171851.54</v>
      </c>
      <c r="F3450" s="6">
        <v>170127.27</v>
      </c>
      <c r="G3450" s="7" t="s">
        <v>26</v>
      </c>
      <c r="H3450" s="1">
        <f t="shared" si="54"/>
        <v>0.16584310549924675</v>
      </c>
    </row>
    <row r="3451" spans="1:8" x14ac:dyDescent="0.25">
      <c r="A3451" s="1" t="s">
        <v>12</v>
      </c>
      <c r="B3451" s="1" t="s">
        <v>15</v>
      </c>
      <c r="C3451" s="6">
        <v>0</v>
      </c>
      <c r="D3451" s="6">
        <v>13875</v>
      </c>
      <c r="E3451" s="6">
        <v>13875</v>
      </c>
      <c r="F3451" s="6">
        <v>13875</v>
      </c>
      <c r="G3451" s="7" t="s">
        <v>26</v>
      </c>
      <c r="H3451" s="1">
        <f t="shared" si="54"/>
        <v>0</v>
      </c>
    </row>
    <row r="3452" spans="1:8" x14ac:dyDescent="0.25">
      <c r="A3452" s="1" t="s">
        <v>12</v>
      </c>
      <c r="B3452" s="1" t="s">
        <v>15</v>
      </c>
      <c r="C3452" s="6">
        <v>1569314.75</v>
      </c>
      <c r="D3452" s="6">
        <v>14263.75</v>
      </c>
      <c r="E3452" s="6">
        <v>0</v>
      </c>
      <c r="F3452" s="6">
        <v>0</v>
      </c>
      <c r="G3452" s="7" t="s">
        <v>26</v>
      </c>
      <c r="H3452" s="1">
        <f t="shared" si="54"/>
        <v>9.0891581819389639E-3</v>
      </c>
    </row>
    <row r="3453" spans="1:8" x14ac:dyDescent="0.25">
      <c r="A3453" s="1" t="s">
        <v>12</v>
      </c>
      <c r="B3453" s="1" t="s">
        <v>15</v>
      </c>
      <c r="C3453" s="6">
        <v>183194</v>
      </c>
      <c r="D3453" s="6">
        <v>117760.47</v>
      </c>
      <c r="E3453" s="6">
        <v>79888.08</v>
      </c>
      <c r="F3453" s="6">
        <v>51274.39</v>
      </c>
      <c r="G3453" s="7" t="s">
        <v>26</v>
      </c>
      <c r="H3453" s="1">
        <f t="shared" si="54"/>
        <v>0.64281837833116806</v>
      </c>
    </row>
    <row r="3454" spans="1:8" x14ac:dyDescent="0.25">
      <c r="A3454" s="1" t="s">
        <v>12</v>
      </c>
      <c r="B3454" s="1" t="s">
        <v>15</v>
      </c>
      <c r="C3454" s="6">
        <v>12733040.800000001</v>
      </c>
      <c r="D3454" s="6">
        <v>5229435.5599999996</v>
      </c>
      <c r="E3454" s="6">
        <v>3732307.03</v>
      </c>
      <c r="F3454" s="6">
        <v>3311091.82</v>
      </c>
      <c r="G3454" s="7" t="s">
        <v>26</v>
      </c>
      <c r="H3454" s="1">
        <f t="shared" si="54"/>
        <v>0.41069809184935613</v>
      </c>
    </row>
    <row r="3455" spans="1:8" x14ac:dyDescent="0.25">
      <c r="A3455" s="1" t="s">
        <v>12</v>
      </c>
      <c r="B3455" s="1" t="s">
        <v>15</v>
      </c>
      <c r="C3455" s="6">
        <v>30105.25</v>
      </c>
      <c r="D3455" s="6">
        <v>0</v>
      </c>
      <c r="E3455" s="6">
        <v>0</v>
      </c>
      <c r="F3455" s="6">
        <v>0</v>
      </c>
      <c r="G3455" s="7" t="s">
        <v>26</v>
      </c>
      <c r="H3455" s="1">
        <f t="shared" si="54"/>
        <v>0</v>
      </c>
    </row>
    <row r="3456" spans="1:8" x14ac:dyDescent="0.25">
      <c r="A3456" s="1" t="s">
        <v>12</v>
      </c>
      <c r="B3456" s="1" t="s">
        <v>15</v>
      </c>
      <c r="C3456" s="6">
        <v>103680</v>
      </c>
      <c r="D3456" s="6">
        <v>55000</v>
      </c>
      <c r="E3456" s="6">
        <v>22292.14</v>
      </c>
      <c r="F3456" s="6">
        <v>22292.14</v>
      </c>
      <c r="G3456" s="7" t="s">
        <v>26</v>
      </c>
      <c r="H3456" s="1">
        <f t="shared" si="54"/>
        <v>0.53047839506172845</v>
      </c>
    </row>
    <row r="3457" spans="1:8" x14ac:dyDescent="0.25">
      <c r="A3457" s="1" t="s">
        <v>12</v>
      </c>
      <c r="B3457" s="1" t="s">
        <v>15</v>
      </c>
      <c r="C3457" s="6">
        <v>1969552</v>
      </c>
      <c r="D3457" s="6">
        <v>390609.11</v>
      </c>
      <c r="E3457" s="6">
        <v>269462.65999999997</v>
      </c>
      <c r="F3457" s="6">
        <v>268156.40999999997</v>
      </c>
      <c r="G3457" s="7" t="s">
        <v>26</v>
      </c>
      <c r="H3457" s="1">
        <f t="shared" si="54"/>
        <v>0.19832383709594872</v>
      </c>
    </row>
    <row r="3458" spans="1:8" x14ac:dyDescent="0.25">
      <c r="A3458" s="1" t="s">
        <v>12</v>
      </c>
      <c r="B3458" s="1" t="s">
        <v>15</v>
      </c>
      <c r="C3458" s="6">
        <v>4840314.25</v>
      </c>
      <c r="D3458" s="6">
        <v>1633561.47</v>
      </c>
      <c r="E3458" s="6">
        <v>681914.69</v>
      </c>
      <c r="F3458" s="6">
        <v>679458.45</v>
      </c>
      <c r="G3458" s="7" t="s">
        <v>26</v>
      </c>
      <c r="H3458" s="1">
        <f t="shared" si="54"/>
        <v>0.33749078791733406</v>
      </c>
    </row>
    <row r="3459" spans="1:8" x14ac:dyDescent="0.25">
      <c r="A3459" s="1" t="s">
        <v>12</v>
      </c>
      <c r="B3459" s="1" t="s">
        <v>15</v>
      </c>
      <c r="C3459" s="6">
        <v>1250000</v>
      </c>
      <c r="D3459" s="6">
        <v>0</v>
      </c>
      <c r="E3459" s="6">
        <v>0</v>
      </c>
      <c r="F3459" s="6">
        <v>0</v>
      </c>
      <c r="G3459" s="7" t="s">
        <v>26</v>
      </c>
      <c r="H3459" s="1">
        <f t="shared" si="54"/>
        <v>0</v>
      </c>
    </row>
    <row r="3460" spans="1:8" x14ac:dyDescent="0.25">
      <c r="A3460" s="1" t="s">
        <v>12</v>
      </c>
      <c r="B3460" s="1" t="s">
        <v>15</v>
      </c>
      <c r="C3460" s="6">
        <v>199301.25</v>
      </c>
      <c r="D3460" s="6">
        <v>0</v>
      </c>
      <c r="E3460" s="6">
        <v>0</v>
      </c>
      <c r="F3460" s="6">
        <v>0</v>
      </c>
      <c r="G3460" s="7" t="s">
        <v>26</v>
      </c>
      <c r="H3460" s="1">
        <f t="shared" si="54"/>
        <v>0</v>
      </c>
    </row>
    <row r="3461" spans="1:8" x14ac:dyDescent="0.25">
      <c r="A3461" s="1" t="s">
        <v>12</v>
      </c>
      <c r="B3461" s="1" t="s">
        <v>15</v>
      </c>
      <c r="C3461" s="6">
        <v>712584.5</v>
      </c>
      <c r="D3461" s="6">
        <v>450122.02</v>
      </c>
      <c r="E3461" s="6">
        <v>188618.96</v>
      </c>
      <c r="F3461" s="6">
        <v>179189.57</v>
      </c>
      <c r="G3461" s="7" t="s">
        <v>26</v>
      </c>
      <c r="H3461" s="1">
        <f t="shared" si="54"/>
        <v>0.63167528903589687</v>
      </c>
    </row>
    <row r="3462" spans="1:8" x14ac:dyDescent="0.25">
      <c r="A3462" s="1" t="s">
        <v>12</v>
      </c>
      <c r="B3462" s="1" t="s">
        <v>15</v>
      </c>
      <c r="C3462" s="6">
        <v>4995</v>
      </c>
      <c r="D3462" s="6">
        <v>19677.97</v>
      </c>
      <c r="E3462" s="6">
        <v>19677.97</v>
      </c>
      <c r="F3462" s="6">
        <v>8961.2999999999993</v>
      </c>
      <c r="G3462" s="7" t="s">
        <v>26</v>
      </c>
      <c r="H3462" s="1">
        <f t="shared" si="54"/>
        <v>3.9395335335335337</v>
      </c>
    </row>
    <row r="3463" spans="1:8" x14ac:dyDescent="0.25">
      <c r="A3463" s="1" t="s">
        <v>12</v>
      </c>
      <c r="B3463" s="1" t="s">
        <v>15</v>
      </c>
      <c r="C3463" s="6">
        <v>459397</v>
      </c>
      <c r="D3463" s="6">
        <v>318879.78999999998</v>
      </c>
      <c r="E3463" s="6">
        <v>220700.74</v>
      </c>
      <c r="F3463" s="6">
        <v>213531.33</v>
      </c>
      <c r="G3463" s="7" t="s">
        <v>26</v>
      </c>
      <c r="H3463" s="1">
        <f t="shared" si="54"/>
        <v>0.69412684453751328</v>
      </c>
    </row>
    <row r="3464" spans="1:8" x14ac:dyDescent="0.25">
      <c r="A3464" s="1" t="s">
        <v>12</v>
      </c>
      <c r="B3464" s="1" t="s">
        <v>15</v>
      </c>
      <c r="C3464" s="6">
        <v>141702.5</v>
      </c>
      <c r="D3464" s="6">
        <v>22434.799999999999</v>
      </c>
      <c r="E3464" s="6">
        <v>22434.799999999999</v>
      </c>
      <c r="F3464" s="6">
        <v>22434.799999999999</v>
      </c>
      <c r="G3464" s="7" t="s">
        <v>26</v>
      </c>
      <c r="H3464" s="1">
        <f t="shared" si="54"/>
        <v>0.15832324764912403</v>
      </c>
    </row>
    <row r="3465" spans="1:8" x14ac:dyDescent="0.25">
      <c r="A3465" s="1" t="s">
        <v>12</v>
      </c>
      <c r="B3465" s="1" t="s">
        <v>15</v>
      </c>
      <c r="C3465" s="6">
        <v>29700</v>
      </c>
      <c r="D3465" s="6">
        <v>0</v>
      </c>
      <c r="E3465" s="6">
        <v>0</v>
      </c>
      <c r="F3465" s="6">
        <v>0</v>
      </c>
      <c r="G3465" s="7" t="s">
        <v>26</v>
      </c>
      <c r="H3465" s="1">
        <f t="shared" si="54"/>
        <v>0</v>
      </c>
    </row>
    <row r="3466" spans="1:8" x14ac:dyDescent="0.25">
      <c r="A3466" s="1" t="s">
        <v>12</v>
      </c>
      <c r="B3466" s="1" t="s">
        <v>15</v>
      </c>
      <c r="C3466" s="6">
        <v>250</v>
      </c>
      <c r="D3466" s="6">
        <v>0</v>
      </c>
      <c r="E3466" s="6">
        <v>0</v>
      </c>
      <c r="F3466" s="6">
        <v>0</v>
      </c>
      <c r="G3466" s="7" t="s">
        <v>26</v>
      </c>
      <c r="H3466" s="1">
        <f t="shared" si="54"/>
        <v>0</v>
      </c>
    </row>
    <row r="3467" spans="1:8" x14ac:dyDescent="0.25">
      <c r="A3467" s="1" t="s">
        <v>12</v>
      </c>
      <c r="B3467" s="1" t="s">
        <v>15</v>
      </c>
      <c r="C3467" s="6">
        <v>2088525</v>
      </c>
      <c r="D3467" s="6">
        <v>2078474.73</v>
      </c>
      <c r="E3467" s="6">
        <v>2066940.82</v>
      </c>
      <c r="F3467" s="6">
        <v>2064102.82</v>
      </c>
      <c r="G3467" s="7" t="s">
        <v>26</v>
      </c>
      <c r="H3467" s="1">
        <f t="shared" si="54"/>
        <v>0.99518786224727973</v>
      </c>
    </row>
    <row r="3468" spans="1:8" x14ac:dyDescent="0.25">
      <c r="A3468" s="1" t="s">
        <v>12</v>
      </c>
      <c r="B3468" s="1" t="s">
        <v>15</v>
      </c>
      <c r="C3468" s="6">
        <v>535549</v>
      </c>
      <c r="D3468" s="6">
        <v>207334.83</v>
      </c>
      <c r="E3468" s="6">
        <v>163050.73000000001</v>
      </c>
      <c r="F3468" s="6">
        <v>161815.78</v>
      </c>
      <c r="G3468" s="7" t="s">
        <v>26</v>
      </c>
      <c r="H3468" s="1">
        <f t="shared" si="54"/>
        <v>0.38714446297164218</v>
      </c>
    </row>
    <row r="3469" spans="1:8" x14ac:dyDescent="0.25">
      <c r="A3469" s="1" t="s">
        <v>12</v>
      </c>
      <c r="B3469" s="1" t="s">
        <v>15</v>
      </c>
      <c r="C3469" s="6">
        <v>15000</v>
      </c>
      <c r="D3469" s="6">
        <v>0</v>
      </c>
      <c r="E3469" s="6">
        <v>0</v>
      </c>
      <c r="F3469" s="6">
        <v>0</v>
      </c>
      <c r="G3469" s="7" t="s">
        <v>26</v>
      </c>
      <c r="H3469" s="1">
        <f t="shared" si="54"/>
        <v>0</v>
      </c>
    </row>
    <row r="3470" spans="1:8" x14ac:dyDescent="0.25">
      <c r="A3470" s="1" t="s">
        <v>12</v>
      </c>
      <c r="B3470" s="1" t="s">
        <v>15</v>
      </c>
      <c r="C3470" s="6">
        <v>420800.25</v>
      </c>
      <c r="D3470" s="6">
        <v>5177</v>
      </c>
      <c r="E3470" s="6">
        <v>5177</v>
      </c>
      <c r="F3470" s="6">
        <v>5177</v>
      </c>
      <c r="G3470" s="7" t="s">
        <v>26</v>
      </c>
      <c r="H3470" s="1">
        <f t="shared" si="54"/>
        <v>1.2302749344849486E-2</v>
      </c>
    </row>
    <row r="3471" spans="1:8" x14ac:dyDescent="0.25">
      <c r="A3471" s="1" t="s">
        <v>12</v>
      </c>
      <c r="B3471" s="1" t="s">
        <v>15</v>
      </c>
      <c r="C3471" s="6">
        <v>8788250</v>
      </c>
      <c r="D3471" s="6">
        <v>27714</v>
      </c>
      <c r="E3471" s="6">
        <v>27714</v>
      </c>
      <c r="F3471" s="6">
        <v>27714</v>
      </c>
      <c r="G3471" s="7" t="s">
        <v>26</v>
      </c>
      <c r="H3471" s="1">
        <f t="shared" si="54"/>
        <v>3.1535288595567947E-3</v>
      </c>
    </row>
    <row r="3472" spans="1:8" x14ac:dyDescent="0.25">
      <c r="A3472" s="1" t="s">
        <v>12</v>
      </c>
      <c r="B3472" s="1" t="s">
        <v>15</v>
      </c>
      <c r="C3472" s="6">
        <v>4652691.5</v>
      </c>
      <c r="D3472" s="6">
        <v>5141251.62</v>
      </c>
      <c r="E3472" s="6">
        <v>3451587.49</v>
      </c>
      <c r="F3472" s="6">
        <v>3451296.24</v>
      </c>
      <c r="G3472" s="7" t="s">
        <v>26</v>
      </c>
      <c r="H3472" s="1">
        <f t="shared" si="54"/>
        <v>1.1050059132439793</v>
      </c>
    </row>
    <row r="3473" spans="1:8" x14ac:dyDescent="0.25">
      <c r="A3473" s="1" t="s">
        <v>12</v>
      </c>
      <c r="B3473" s="1" t="s">
        <v>15</v>
      </c>
      <c r="C3473" s="6">
        <v>31515.5</v>
      </c>
      <c r="D3473" s="6">
        <v>119625</v>
      </c>
      <c r="E3473" s="6">
        <v>111375</v>
      </c>
      <c r="F3473" s="6">
        <v>111375</v>
      </c>
      <c r="G3473" s="7" t="s">
        <v>26</v>
      </c>
      <c r="H3473" s="1">
        <f t="shared" si="54"/>
        <v>3.7957512969808507</v>
      </c>
    </row>
    <row r="3474" spans="1:8" x14ac:dyDescent="0.25">
      <c r="A3474" s="1" t="s">
        <v>12</v>
      </c>
      <c r="B3474" s="1" t="s">
        <v>15</v>
      </c>
      <c r="C3474" s="6">
        <v>3580750</v>
      </c>
      <c r="D3474" s="6">
        <v>105692.75</v>
      </c>
      <c r="E3474" s="6">
        <v>0</v>
      </c>
      <c r="F3474" s="6">
        <v>0</v>
      </c>
      <c r="G3474" s="7" t="s">
        <v>26</v>
      </c>
      <c r="H3474" s="1">
        <f t="shared" si="54"/>
        <v>2.9516930810584374E-2</v>
      </c>
    </row>
    <row r="3475" spans="1:8" x14ac:dyDescent="0.25">
      <c r="A3475" s="1" t="s">
        <v>12</v>
      </c>
      <c r="B3475" s="1" t="s">
        <v>15</v>
      </c>
      <c r="C3475" s="6">
        <v>37918755</v>
      </c>
      <c r="D3475" s="6">
        <v>45184566.619999997</v>
      </c>
      <c r="E3475" s="6">
        <v>29364606.739999998</v>
      </c>
      <c r="F3475" s="6">
        <v>23487092.510000002</v>
      </c>
      <c r="G3475" s="7" t="s">
        <v>26</v>
      </c>
      <c r="H3475" s="1">
        <f t="shared" si="54"/>
        <v>1.1916152473887922</v>
      </c>
    </row>
    <row r="3476" spans="1:8" x14ac:dyDescent="0.25">
      <c r="A3476" s="1" t="s">
        <v>12</v>
      </c>
      <c r="B3476" s="1" t="s">
        <v>15</v>
      </c>
      <c r="C3476" s="6">
        <v>221321095</v>
      </c>
      <c r="D3476" s="6">
        <v>211764475.41999999</v>
      </c>
      <c r="E3476" s="6">
        <v>209210115.02000001</v>
      </c>
      <c r="F3476" s="6">
        <v>208701830.31999999</v>
      </c>
      <c r="G3476" s="7" t="s">
        <v>26</v>
      </c>
      <c r="H3476" s="1">
        <f t="shared" si="54"/>
        <v>0.95682011432303815</v>
      </c>
    </row>
    <row r="3477" spans="1:8" x14ac:dyDescent="0.25">
      <c r="A3477" s="1" t="s">
        <v>12</v>
      </c>
      <c r="B3477" s="1" t="s">
        <v>15</v>
      </c>
      <c r="C3477" s="6">
        <v>6915490.25</v>
      </c>
      <c r="D3477" s="6">
        <v>0</v>
      </c>
      <c r="E3477" s="6">
        <v>0</v>
      </c>
      <c r="F3477" s="6">
        <v>0</v>
      </c>
      <c r="G3477" s="7" t="s">
        <v>26</v>
      </c>
      <c r="H3477" s="1">
        <f t="shared" si="54"/>
        <v>0</v>
      </c>
    </row>
    <row r="3478" spans="1:8" x14ac:dyDescent="0.25">
      <c r="A3478" s="1" t="s">
        <v>12</v>
      </c>
      <c r="B3478" s="1" t="s">
        <v>15</v>
      </c>
      <c r="C3478" s="6">
        <v>27968865</v>
      </c>
      <c r="D3478" s="6">
        <v>28021365</v>
      </c>
      <c r="E3478" s="6">
        <v>26019870.73</v>
      </c>
      <c r="F3478" s="6">
        <v>26002002.719999999</v>
      </c>
      <c r="G3478" s="7" t="s">
        <v>26</v>
      </c>
      <c r="H3478" s="1">
        <f t="shared" si="54"/>
        <v>1.0018770872539875</v>
      </c>
    </row>
    <row r="3479" spans="1:8" x14ac:dyDescent="0.25">
      <c r="A3479" s="1" t="s">
        <v>12</v>
      </c>
      <c r="B3479" s="1" t="s">
        <v>15</v>
      </c>
      <c r="C3479" s="6">
        <v>4446175</v>
      </c>
      <c r="D3479" s="6">
        <v>0</v>
      </c>
      <c r="E3479" s="6">
        <v>0</v>
      </c>
      <c r="F3479" s="6">
        <v>0</v>
      </c>
      <c r="G3479" s="7" t="s">
        <v>26</v>
      </c>
      <c r="H3479" s="1">
        <f t="shared" si="54"/>
        <v>0</v>
      </c>
    </row>
    <row r="3480" spans="1:8" x14ac:dyDescent="0.25">
      <c r="A3480" s="1" t="s">
        <v>12</v>
      </c>
      <c r="B3480" s="1" t="s">
        <v>15</v>
      </c>
      <c r="C3480" s="6">
        <v>16877804.5</v>
      </c>
      <c r="D3480" s="6">
        <v>17025874.920000002</v>
      </c>
      <c r="E3480" s="6">
        <v>15153851.369999999</v>
      </c>
      <c r="F3480" s="6">
        <v>14919253.32</v>
      </c>
      <c r="G3480" s="7" t="s">
        <v>26</v>
      </c>
      <c r="H3480" s="1">
        <f t="shared" si="54"/>
        <v>1.0087730853856023</v>
      </c>
    </row>
    <row r="3481" spans="1:8" x14ac:dyDescent="0.25">
      <c r="A3481" s="1" t="s">
        <v>12</v>
      </c>
      <c r="B3481" s="1" t="s">
        <v>15</v>
      </c>
      <c r="C3481" s="6">
        <v>63335083.75</v>
      </c>
      <c r="D3481" s="6">
        <v>73710361.459999993</v>
      </c>
      <c r="E3481" s="6">
        <v>70884754.379999995</v>
      </c>
      <c r="F3481" s="6">
        <v>69902316.909999996</v>
      </c>
      <c r="G3481" s="7" t="s">
        <v>26</v>
      </c>
      <c r="H3481" s="1">
        <f t="shared" si="54"/>
        <v>1.1638156468057088</v>
      </c>
    </row>
    <row r="3482" spans="1:8" x14ac:dyDescent="0.25">
      <c r="A3482" s="1" t="s">
        <v>12</v>
      </c>
      <c r="B3482" s="1" t="s">
        <v>15</v>
      </c>
      <c r="C3482" s="6">
        <v>2007777.25</v>
      </c>
      <c r="D3482" s="6">
        <v>2049062.4</v>
      </c>
      <c r="E3482" s="6">
        <v>1617394.33</v>
      </c>
      <c r="F3482" s="6">
        <v>1562094.86</v>
      </c>
      <c r="G3482" s="7" t="s">
        <v>26</v>
      </c>
      <c r="H3482" s="1">
        <f t="shared" ref="H3482:H3545" si="55">IF(OR(ISNA($D3482),ISNA($C3482),$C3482=0),0,$D3482/$C3482)</f>
        <v>1.0205626147024027</v>
      </c>
    </row>
    <row r="3483" spans="1:8" x14ac:dyDescent="0.25">
      <c r="A3483" s="1" t="s">
        <v>12</v>
      </c>
      <c r="B3483" s="1" t="s">
        <v>15</v>
      </c>
      <c r="C3483" s="6">
        <v>2551433.75</v>
      </c>
      <c r="D3483" s="6">
        <v>687117.58</v>
      </c>
      <c r="E3483" s="6">
        <v>605792.46</v>
      </c>
      <c r="F3483" s="6">
        <v>591978.09</v>
      </c>
      <c r="G3483" s="7" t="s">
        <v>26</v>
      </c>
      <c r="H3483" s="1">
        <f t="shared" si="55"/>
        <v>0.26930645563499345</v>
      </c>
    </row>
    <row r="3484" spans="1:8" x14ac:dyDescent="0.25">
      <c r="A3484" s="1" t="s">
        <v>12</v>
      </c>
      <c r="B3484" s="1" t="s">
        <v>15</v>
      </c>
      <c r="C3484" s="6">
        <v>144906134.25</v>
      </c>
      <c r="D3484" s="6">
        <v>150053780.31</v>
      </c>
      <c r="E3484" s="6">
        <v>127017897.88</v>
      </c>
      <c r="F3484" s="6">
        <v>119146303.17</v>
      </c>
      <c r="G3484" s="7" t="s">
        <v>26</v>
      </c>
      <c r="H3484" s="1">
        <f t="shared" si="55"/>
        <v>1.035524003774188</v>
      </c>
    </row>
    <row r="3485" spans="1:8" x14ac:dyDescent="0.25">
      <c r="A3485" s="1" t="s">
        <v>12</v>
      </c>
      <c r="B3485" s="1" t="s">
        <v>15</v>
      </c>
      <c r="C3485" s="6">
        <v>1710000</v>
      </c>
      <c r="D3485" s="6">
        <v>1905020.63</v>
      </c>
      <c r="E3485" s="6">
        <v>1754933.32</v>
      </c>
      <c r="F3485" s="6">
        <v>1754933.32</v>
      </c>
      <c r="G3485" s="7" t="s">
        <v>26</v>
      </c>
      <c r="H3485" s="1">
        <f t="shared" si="55"/>
        <v>1.1140471520467836</v>
      </c>
    </row>
    <row r="3486" spans="1:8" x14ac:dyDescent="0.25">
      <c r="A3486" s="1" t="s">
        <v>12</v>
      </c>
      <c r="B3486" s="1" t="s">
        <v>15</v>
      </c>
      <c r="C3486" s="6">
        <v>41160318.25</v>
      </c>
      <c r="D3486" s="6">
        <v>38270137.880000003</v>
      </c>
      <c r="E3486" s="6">
        <v>38020137.880000003</v>
      </c>
      <c r="F3486" s="6">
        <v>37997202.649999999</v>
      </c>
      <c r="G3486" s="7" t="s">
        <v>26</v>
      </c>
      <c r="H3486" s="1">
        <f t="shared" si="55"/>
        <v>0.92978236095149736</v>
      </c>
    </row>
    <row r="3487" spans="1:8" x14ac:dyDescent="0.25">
      <c r="A3487" s="1" t="s">
        <v>12</v>
      </c>
      <c r="B3487" s="1" t="s">
        <v>15</v>
      </c>
      <c r="C3487" s="6">
        <v>10495525</v>
      </c>
      <c r="D3487" s="6">
        <v>7511843.7000000002</v>
      </c>
      <c r="E3487" s="6">
        <v>5776185.8399999999</v>
      </c>
      <c r="F3487" s="6">
        <v>4137818.5</v>
      </c>
      <c r="G3487" s="7" t="s">
        <v>26</v>
      </c>
      <c r="H3487" s="1">
        <f t="shared" si="55"/>
        <v>0.7157187182156205</v>
      </c>
    </row>
    <row r="3488" spans="1:8" x14ac:dyDescent="0.25">
      <c r="A3488" s="1" t="s">
        <v>12</v>
      </c>
      <c r="B3488" s="1" t="s">
        <v>15</v>
      </c>
      <c r="C3488" s="6">
        <v>50000</v>
      </c>
      <c r="D3488" s="6">
        <v>0</v>
      </c>
      <c r="E3488" s="6">
        <v>0</v>
      </c>
      <c r="F3488" s="6">
        <v>0</v>
      </c>
      <c r="G3488" s="7" t="s">
        <v>26</v>
      </c>
      <c r="H3488" s="1">
        <f t="shared" si="55"/>
        <v>0</v>
      </c>
    </row>
    <row r="3489" spans="1:8" x14ac:dyDescent="0.25">
      <c r="A3489" s="1" t="s">
        <v>12</v>
      </c>
      <c r="B3489" s="1" t="s">
        <v>15</v>
      </c>
      <c r="C3489" s="6">
        <v>870250</v>
      </c>
      <c r="D3489" s="6">
        <v>805021.08</v>
      </c>
      <c r="E3489" s="6">
        <v>642109.59</v>
      </c>
      <c r="F3489" s="6">
        <v>642109.59</v>
      </c>
      <c r="G3489" s="7" t="s">
        <v>26</v>
      </c>
      <c r="H3489" s="1">
        <f t="shared" si="55"/>
        <v>0.92504576845733977</v>
      </c>
    </row>
    <row r="3490" spans="1:8" x14ac:dyDescent="0.25">
      <c r="A3490" s="1" t="s">
        <v>12</v>
      </c>
      <c r="B3490" s="1" t="s">
        <v>15</v>
      </c>
      <c r="C3490" s="6">
        <v>25944673.25</v>
      </c>
      <c r="D3490" s="6">
        <v>45518895.719999999</v>
      </c>
      <c r="E3490" s="6">
        <v>15812367.5</v>
      </c>
      <c r="F3490" s="6">
        <v>13445309.75</v>
      </c>
      <c r="G3490" s="7" t="s">
        <v>26</v>
      </c>
      <c r="H3490" s="1">
        <f t="shared" si="55"/>
        <v>1.7544601653443448</v>
      </c>
    </row>
    <row r="3491" spans="1:8" x14ac:dyDescent="0.25">
      <c r="A3491" s="1" t="s">
        <v>12</v>
      </c>
      <c r="B3491" s="1" t="s">
        <v>15</v>
      </c>
      <c r="C3491" s="6">
        <v>2926801</v>
      </c>
      <c r="D3491" s="6">
        <v>3059965.11</v>
      </c>
      <c r="E3491" s="6">
        <v>2836690.31</v>
      </c>
      <c r="F3491" s="6">
        <v>2836690.31</v>
      </c>
      <c r="G3491" s="7" t="s">
        <v>26</v>
      </c>
      <c r="H3491" s="1">
        <f t="shared" si="55"/>
        <v>1.045498177019893</v>
      </c>
    </row>
    <row r="3492" spans="1:8" x14ac:dyDescent="0.25">
      <c r="A3492" s="1" t="s">
        <v>12</v>
      </c>
      <c r="B3492" s="1" t="s">
        <v>15</v>
      </c>
      <c r="C3492" s="6">
        <v>4970904.5</v>
      </c>
      <c r="D3492" s="6">
        <v>4696424.9400000004</v>
      </c>
      <c r="E3492" s="6">
        <v>3903837.59</v>
      </c>
      <c r="F3492" s="6">
        <v>3903837.59</v>
      </c>
      <c r="G3492" s="7" t="s">
        <v>26</v>
      </c>
      <c r="H3492" s="1">
        <f t="shared" si="55"/>
        <v>0.94478277343690675</v>
      </c>
    </row>
    <row r="3493" spans="1:8" x14ac:dyDescent="0.25">
      <c r="A3493" s="1" t="s">
        <v>12</v>
      </c>
      <c r="B3493" s="1" t="s">
        <v>15</v>
      </c>
      <c r="C3493" s="6">
        <v>84799521.25</v>
      </c>
      <c r="D3493" s="6">
        <v>84019571.859999999</v>
      </c>
      <c r="E3493" s="6">
        <v>83486718.780000001</v>
      </c>
      <c r="F3493" s="6">
        <v>83332679.760000005</v>
      </c>
      <c r="G3493" s="7" t="s">
        <v>26</v>
      </c>
      <c r="H3493" s="1">
        <f t="shared" si="55"/>
        <v>0.99080243168236048</v>
      </c>
    </row>
    <row r="3494" spans="1:8" x14ac:dyDescent="0.25">
      <c r="A3494" s="1" t="s">
        <v>12</v>
      </c>
      <c r="B3494" s="1" t="s">
        <v>15</v>
      </c>
      <c r="C3494" s="6">
        <v>2844519.25</v>
      </c>
      <c r="D3494" s="6">
        <v>0</v>
      </c>
      <c r="E3494" s="6">
        <v>0</v>
      </c>
      <c r="F3494" s="6">
        <v>0</v>
      </c>
      <c r="G3494" s="7" t="s">
        <v>26</v>
      </c>
      <c r="H3494" s="1">
        <f t="shared" si="55"/>
        <v>0</v>
      </c>
    </row>
    <row r="3495" spans="1:8" x14ac:dyDescent="0.25">
      <c r="A3495" s="1" t="s">
        <v>12</v>
      </c>
      <c r="B3495" s="1" t="s">
        <v>15</v>
      </c>
      <c r="C3495" s="6">
        <v>15138.5</v>
      </c>
      <c r="D3495" s="6">
        <v>75000</v>
      </c>
      <c r="E3495" s="6">
        <v>45000</v>
      </c>
      <c r="F3495" s="6">
        <v>45000</v>
      </c>
      <c r="G3495" s="7" t="s">
        <v>26</v>
      </c>
      <c r="H3495" s="1">
        <f t="shared" si="55"/>
        <v>4.9542557056511543</v>
      </c>
    </row>
    <row r="3496" spans="1:8" x14ac:dyDescent="0.25">
      <c r="A3496" s="1" t="s">
        <v>12</v>
      </c>
      <c r="B3496" s="1" t="s">
        <v>15</v>
      </c>
      <c r="C3496" s="6">
        <v>345903750</v>
      </c>
      <c r="D3496" s="6">
        <v>386971807.69999999</v>
      </c>
      <c r="E3496" s="6">
        <v>365478249.58999997</v>
      </c>
      <c r="F3496" s="6">
        <v>350252058.20999998</v>
      </c>
      <c r="G3496" s="7" t="s">
        <v>26</v>
      </c>
      <c r="H3496" s="1">
        <f t="shared" si="55"/>
        <v>1.1187268357165829</v>
      </c>
    </row>
    <row r="3497" spans="1:8" x14ac:dyDescent="0.25">
      <c r="A3497" s="1" t="s">
        <v>12</v>
      </c>
      <c r="B3497" s="1" t="s">
        <v>15</v>
      </c>
      <c r="C3497" s="6">
        <v>91827298</v>
      </c>
      <c r="D3497" s="6">
        <v>104163399.94</v>
      </c>
      <c r="E3497" s="6">
        <v>101702044.62</v>
      </c>
      <c r="F3497" s="6">
        <v>101702044.62</v>
      </c>
      <c r="G3497" s="7" t="s">
        <v>26</v>
      </c>
      <c r="H3497" s="1">
        <f t="shared" si="55"/>
        <v>1.1343402474937245</v>
      </c>
    </row>
    <row r="3498" spans="1:8" x14ac:dyDescent="0.25">
      <c r="A3498" s="1" t="s">
        <v>12</v>
      </c>
      <c r="B3498" s="1" t="s">
        <v>15</v>
      </c>
      <c r="C3498" s="6">
        <v>48519733.75</v>
      </c>
      <c r="D3498" s="6">
        <v>48654147.82</v>
      </c>
      <c r="E3498" s="6">
        <v>42842142.619999997</v>
      </c>
      <c r="F3498" s="6">
        <v>42842142.619999997</v>
      </c>
      <c r="G3498" s="7" t="s">
        <v>26</v>
      </c>
      <c r="H3498" s="1">
        <f t="shared" si="55"/>
        <v>1.0027702969412935</v>
      </c>
    </row>
    <row r="3499" spans="1:8" x14ac:dyDescent="0.25">
      <c r="A3499" s="1" t="s">
        <v>12</v>
      </c>
      <c r="B3499" s="1" t="s">
        <v>15</v>
      </c>
      <c r="C3499" s="6">
        <v>2725000</v>
      </c>
      <c r="D3499" s="6">
        <v>0</v>
      </c>
      <c r="E3499" s="6">
        <v>0</v>
      </c>
      <c r="F3499" s="6">
        <v>0</v>
      </c>
      <c r="G3499" s="7" t="s">
        <v>26</v>
      </c>
      <c r="H3499" s="1">
        <f t="shared" si="55"/>
        <v>0</v>
      </c>
    </row>
    <row r="3500" spans="1:8" x14ac:dyDescent="0.25">
      <c r="A3500" s="1" t="s">
        <v>12</v>
      </c>
      <c r="B3500" s="1" t="s">
        <v>15</v>
      </c>
      <c r="C3500" s="6">
        <v>33461358.5</v>
      </c>
      <c r="D3500" s="6">
        <v>32322871.350000001</v>
      </c>
      <c r="E3500" s="6">
        <v>29530066.02</v>
      </c>
      <c r="F3500" s="6">
        <v>29530066.02</v>
      </c>
      <c r="G3500" s="7" t="s">
        <v>26</v>
      </c>
      <c r="H3500" s="1">
        <f t="shared" si="55"/>
        <v>0.96597606310574635</v>
      </c>
    </row>
    <row r="3501" spans="1:8" x14ac:dyDescent="0.25">
      <c r="A3501" s="1" t="s">
        <v>12</v>
      </c>
      <c r="B3501" s="1" t="s">
        <v>15</v>
      </c>
      <c r="C3501" s="6">
        <v>2500</v>
      </c>
      <c r="D3501" s="6">
        <v>0</v>
      </c>
      <c r="E3501" s="6">
        <v>0</v>
      </c>
      <c r="F3501" s="6">
        <v>0</v>
      </c>
      <c r="G3501" s="7" t="s">
        <v>26</v>
      </c>
      <c r="H3501" s="1">
        <f t="shared" si="55"/>
        <v>0</v>
      </c>
    </row>
    <row r="3502" spans="1:8" x14ac:dyDescent="0.25">
      <c r="A3502" s="1" t="s">
        <v>12</v>
      </c>
      <c r="B3502" s="1" t="s">
        <v>15</v>
      </c>
      <c r="C3502" s="6">
        <v>8785319.25</v>
      </c>
      <c r="D3502" s="6">
        <v>9383734.6600000001</v>
      </c>
      <c r="E3502" s="6">
        <v>6817210.8200000003</v>
      </c>
      <c r="F3502" s="6">
        <v>5807910.21</v>
      </c>
      <c r="G3502" s="7" t="s">
        <v>26</v>
      </c>
      <c r="H3502" s="1">
        <f t="shared" si="55"/>
        <v>1.0681153857897652</v>
      </c>
    </row>
    <row r="3503" spans="1:8" x14ac:dyDescent="0.25">
      <c r="A3503" s="1" t="s">
        <v>12</v>
      </c>
      <c r="B3503" s="1" t="s">
        <v>15</v>
      </c>
      <c r="C3503" s="6">
        <v>112254.25</v>
      </c>
      <c r="D3503" s="6">
        <v>137580.79</v>
      </c>
      <c r="E3503" s="6">
        <v>93950.34</v>
      </c>
      <c r="F3503" s="6">
        <v>66653.67</v>
      </c>
      <c r="G3503" s="7" t="s">
        <v>26</v>
      </c>
      <c r="H3503" s="1">
        <f t="shared" si="55"/>
        <v>1.2256176492204083</v>
      </c>
    </row>
    <row r="3504" spans="1:8" x14ac:dyDescent="0.25">
      <c r="A3504" s="1" t="s">
        <v>12</v>
      </c>
      <c r="B3504" s="1" t="s">
        <v>15</v>
      </c>
      <c r="C3504" s="6">
        <v>1625660.75</v>
      </c>
      <c r="D3504" s="6">
        <v>4288575.6900000004</v>
      </c>
      <c r="E3504" s="6">
        <v>454627.79</v>
      </c>
      <c r="F3504" s="6">
        <v>386164.43</v>
      </c>
      <c r="G3504" s="7" t="s">
        <v>26</v>
      </c>
      <c r="H3504" s="1">
        <f t="shared" si="55"/>
        <v>2.6380508294857954</v>
      </c>
    </row>
    <row r="3505" spans="1:8" x14ac:dyDescent="0.25">
      <c r="A3505" s="1" t="s">
        <v>12</v>
      </c>
      <c r="B3505" s="1" t="s">
        <v>15</v>
      </c>
      <c r="C3505" s="6">
        <v>5073249.25</v>
      </c>
      <c r="D3505" s="6">
        <v>6036485.9500000002</v>
      </c>
      <c r="E3505" s="6">
        <v>4949217.2</v>
      </c>
      <c r="F3505" s="6">
        <v>3169149.19</v>
      </c>
      <c r="G3505" s="7" t="s">
        <v>26</v>
      </c>
      <c r="H3505" s="1">
        <f t="shared" si="55"/>
        <v>1.1898658340116051</v>
      </c>
    </row>
    <row r="3506" spans="1:8" x14ac:dyDescent="0.25">
      <c r="A3506" s="1" t="s">
        <v>12</v>
      </c>
      <c r="B3506" s="1" t="s">
        <v>15</v>
      </c>
      <c r="C3506" s="6">
        <v>29755481.5</v>
      </c>
      <c r="D3506" s="6">
        <v>28232839.870000001</v>
      </c>
      <c r="E3506" s="6">
        <v>28188787.390000001</v>
      </c>
      <c r="F3506" s="6">
        <v>26796705.399999999</v>
      </c>
      <c r="G3506" s="7" t="s">
        <v>26</v>
      </c>
      <c r="H3506" s="1">
        <f t="shared" si="55"/>
        <v>0.94882819725165601</v>
      </c>
    </row>
    <row r="3507" spans="1:8" x14ac:dyDescent="0.25">
      <c r="A3507" s="1" t="s">
        <v>12</v>
      </c>
      <c r="B3507" s="1" t="s">
        <v>15</v>
      </c>
      <c r="C3507" s="6">
        <v>5409615.25</v>
      </c>
      <c r="D3507" s="6">
        <v>2829090.28</v>
      </c>
      <c r="E3507" s="6">
        <v>2212578.89</v>
      </c>
      <c r="F3507" s="6">
        <v>2017427.62</v>
      </c>
      <c r="G3507" s="7" t="s">
        <v>26</v>
      </c>
      <c r="H3507" s="1">
        <f t="shared" si="55"/>
        <v>0.52297439822545599</v>
      </c>
    </row>
    <row r="3508" spans="1:8" x14ac:dyDescent="0.25">
      <c r="A3508" s="1" t="s">
        <v>12</v>
      </c>
      <c r="B3508" s="1" t="s">
        <v>15</v>
      </c>
      <c r="C3508" s="6">
        <v>787381.5</v>
      </c>
      <c r="D3508" s="6">
        <v>671005.16</v>
      </c>
      <c r="E3508" s="6">
        <v>585971.36</v>
      </c>
      <c r="F3508" s="6">
        <v>487002.36</v>
      </c>
      <c r="G3508" s="7" t="s">
        <v>26</v>
      </c>
      <c r="H3508" s="1">
        <f t="shared" si="55"/>
        <v>0.85219827999514852</v>
      </c>
    </row>
    <row r="3509" spans="1:8" x14ac:dyDescent="0.25">
      <c r="A3509" s="1" t="s">
        <v>12</v>
      </c>
      <c r="B3509" s="1" t="s">
        <v>15</v>
      </c>
      <c r="C3509" s="6">
        <v>152500</v>
      </c>
      <c r="D3509" s="6">
        <v>0</v>
      </c>
      <c r="E3509" s="6">
        <v>0</v>
      </c>
      <c r="F3509" s="6">
        <v>0</v>
      </c>
      <c r="G3509" s="7" t="s">
        <v>26</v>
      </c>
      <c r="H3509" s="1">
        <f t="shared" si="55"/>
        <v>0</v>
      </c>
    </row>
    <row r="3510" spans="1:8" x14ac:dyDescent="0.25">
      <c r="A3510" s="1" t="s">
        <v>12</v>
      </c>
      <c r="B3510" s="1" t="s">
        <v>15</v>
      </c>
      <c r="C3510" s="6">
        <v>75000</v>
      </c>
      <c r="D3510" s="6">
        <v>0</v>
      </c>
      <c r="E3510" s="6">
        <v>0</v>
      </c>
      <c r="F3510" s="6">
        <v>0</v>
      </c>
      <c r="G3510" s="7" t="s">
        <v>26</v>
      </c>
      <c r="H3510" s="1">
        <f t="shared" si="55"/>
        <v>0</v>
      </c>
    </row>
    <row r="3511" spans="1:8" x14ac:dyDescent="0.25">
      <c r="A3511" s="1" t="s">
        <v>12</v>
      </c>
      <c r="B3511" s="1" t="s">
        <v>15</v>
      </c>
      <c r="C3511" s="6">
        <v>190000</v>
      </c>
      <c r="D3511" s="6">
        <v>0</v>
      </c>
      <c r="E3511" s="6">
        <v>0</v>
      </c>
      <c r="F3511" s="6">
        <v>0</v>
      </c>
      <c r="G3511" s="7" t="s">
        <v>18</v>
      </c>
      <c r="H3511" s="1">
        <f t="shared" si="55"/>
        <v>0</v>
      </c>
    </row>
    <row r="3512" spans="1:8" x14ac:dyDescent="0.25">
      <c r="A3512" s="1" t="s">
        <v>12</v>
      </c>
      <c r="B3512" s="1" t="s">
        <v>15</v>
      </c>
      <c r="C3512" s="6">
        <v>75000</v>
      </c>
      <c r="D3512" s="6">
        <v>75000</v>
      </c>
      <c r="E3512" s="6">
        <v>0</v>
      </c>
      <c r="F3512" s="6">
        <v>0</v>
      </c>
      <c r="G3512" s="7" t="s">
        <v>18</v>
      </c>
      <c r="H3512" s="1">
        <f t="shared" si="55"/>
        <v>1</v>
      </c>
    </row>
    <row r="3513" spans="1:8" x14ac:dyDescent="0.25">
      <c r="A3513" s="1" t="s">
        <v>12</v>
      </c>
      <c r="B3513" s="1" t="s">
        <v>15</v>
      </c>
      <c r="C3513" s="6">
        <v>25000</v>
      </c>
      <c r="D3513" s="6">
        <v>0</v>
      </c>
      <c r="E3513" s="6">
        <v>0</v>
      </c>
      <c r="F3513" s="6">
        <v>0</v>
      </c>
      <c r="G3513" s="7" t="s">
        <v>18</v>
      </c>
      <c r="H3513" s="1">
        <f t="shared" si="55"/>
        <v>0</v>
      </c>
    </row>
    <row r="3514" spans="1:8" x14ac:dyDescent="0.25">
      <c r="A3514" s="1" t="s">
        <v>12</v>
      </c>
      <c r="B3514" s="1" t="s">
        <v>15</v>
      </c>
      <c r="C3514" s="6">
        <v>25000</v>
      </c>
      <c r="D3514" s="6">
        <v>25000</v>
      </c>
      <c r="E3514" s="6">
        <v>9383.5400000000009</v>
      </c>
      <c r="F3514" s="6">
        <v>313.63499999999999</v>
      </c>
      <c r="G3514" s="7" t="s">
        <v>18</v>
      </c>
      <c r="H3514" s="1">
        <f t="shared" si="55"/>
        <v>1</v>
      </c>
    </row>
    <row r="3515" spans="1:8" x14ac:dyDescent="0.25">
      <c r="A3515" s="1" t="s">
        <v>12</v>
      </c>
      <c r="B3515" s="1" t="s">
        <v>15</v>
      </c>
      <c r="C3515" s="6">
        <v>25000</v>
      </c>
      <c r="D3515" s="6">
        <v>25000</v>
      </c>
      <c r="E3515" s="6">
        <v>25000</v>
      </c>
      <c r="F3515" s="6">
        <v>25000</v>
      </c>
      <c r="G3515" s="7" t="s">
        <v>18</v>
      </c>
      <c r="H3515" s="1">
        <f t="shared" si="55"/>
        <v>1</v>
      </c>
    </row>
    <row r="3516" spans="1:8" x14ac:dyDescent="0.25">
      <c r="A3516" s="1" t="s">
        <v>12</v>
      </c>
      <c r="B3516" s="1" t="s">
        <v>15</v>
      </c>
      <c r="C3516" s="6">
        <v>25000</v>
      </c>
      <c r="D3516" s="6">
        <v>25000</v>
      </c>
      <c r="E3516" s="6">
        <v>0</v>
      </c>
      <c r="F3516" s="6">
        <v>0</v>
      </c>
      <c r="G3516" s="7" t="s">
        <v>18</v>
      </c>
      <c r="H3516" s="1">
        <f t="shared" si="55"/>
        <v>1</v>
      </c>
    </row>
    <row r="3517" spans="1:8" x14ac:dyDescent="0.25">
      <c r="A3517" s="1" t="s">
        <v>12</v>
      </c>
      <c r="B3517" s="1" t="s">
        <v>15</v>
      </c>
      <c r="C3517" s="6">
        <v>25000</v>
      </c>
      <c r="D3517" s="6">
        <v>25000</v>
      </c>
      <c r="E3517" s="6">
        <v>0</v>
      </c>
      <c r="F3517" s="6">
        <v>0</v>
      </c>
      <c r="G3517" s="7" t="s">
        <v>18</v>
      </c>
      <c r="H3517" s="1">
        <f t="shared" si="55"/>
        <v>1</v>
      </c>
    </row>
    <row r="3518" spans="1:8" x14ac:dyDescent="0.25">
      <c r="A3518" s="1" t="s">
        <v>12</v>
      </c>
      <c r="B3518" s="1" t="s">
        <v>15</v>
      </c>
      <c r="C3518" s="6">
        <v>50000</v>
      </c>
      <c r="D3518" s="6">
        <v>45505.427499999998</v>
      </c>
      <c r="E3518" s="6">
        <v>0</v>
      </c>
      <c r="F3518" s="6">
        <v>0</v>
      </c>
      <c r="G3518" s="7" t="s">
        <v>18</v>
      </c>
      <c r="H3518" s="1">
        <f t="shared" si="55"/>
        <v>0.91010854999999991</v>
      </c>
    </row>
    <row r="3519" spans="1:8" x14ac:dyDescent="0.25">
      <c r="A3519" s="1" t="s">
        <v>12</v>
      </c>
      <c r="B3519" s="1" t="s">
        <v>15</v>
      </c>
      <c r="C3519" s="6">
        <v>50000</v>
      </c>
      <c r="D3519" s="6">
        <v>50000</v>
      </c>
      <c r="E3519" s="6">
        <v>50000</v>
      </c>
      <c r="F3519" s="6">
        <v>50000</v>
      </c>
      <c r="G3519" s="7" t="s">
        <v>18</v>
      </c>
      <c r="H3519" s="1">
        <f t="shared" si="55"/>
        <v>1</v>
      </c>
    </row>
    <row r="3520" spans="1:8" x14ac:dyDescent="0.25">
      <c r="A3520" s="1" t="s">
        <v>12</v>
      </c>
      <c r="B3520" s="1" t="s">
        <v>15</v>
      </c>
      <c r="C3520" s="6">
        <v>37500</v>
      </c>
      <c r="D3520" s="6">
        <v>37500</v>
      </c>
      <c r="E3520" s="6">
        <v>37500</v>
      </c>
      <c r="F3520" s="6">
        <v>37500</v>
      </c>
      <c r="G3520" s="7" t="s">
        <v>18</v>
      </c>
      <c r="H3520" s="1">
        <f t="shared" si="55"/>
        <v>1</v>
      </c>
    </row>
    <row r="3521" spans="1:8" x14ac:dyDescent="0.25">
      <c r="A3521" s="1" t="s">
        <v>12</v>
      </c>
      <c r="B3521" s="1" t="s">
        <v>15</v>
      </c>
      <c r="C3521" s="6">
        <v>75000</v>
      </c>
      <c r="D3521" s="6">
        <v>0</v>
      </c>
      <c r="E3521" s="6">
        <v>0</v>
      </c>
      <c r="F3521" s="6">
        <v>0</v>
      </c>
      <c r="G3521" s="7" t="s">
        <v>18</v>
      </c>
      <c r="H3521" s="1">
        <f t="shared" si="55"/>
        <v>0</v>
      </c>
    </row>
    <row r="3522" spans="1:8" x14ac:dyDescent="0.25">
      <c r="A3522" s="1" t="s">
        <v>12</v>
      </c>
      <c r="B3522" s="1" t="s">
        <v>15</v>
      </c>
      <c r="C3522" s="6">
        <v>72305</v>
      </c>
      <c r="D3522" s="6">
        <v>54805</v>
      </c>
      <c r="E3522" s="6">
        <v>0</v>
      </c>
      <c r="F3522" s="6">
        <v>0</v>
      </c>
      <c r="G3522" s="7" t="s">
        <v>18</v>
      </c>
      <c r="H3522" s="1">
        <f t="shared" si="55"/>
        <v>0.75796971163819926</v>
      </c>
    </row>
    <row r="3523" spans="1:8" x14ac:dyDescent="0.25">
      <c r="A3523" s="1" t="s">
        <v>12</v>
      </c>
      <c r="B3523" s="1" t="s">
        <v>15</v>
      </c>
      <c r="C3523" s="6">
        <v>37500</v>
      </c>
      <c r="D3523" s="6">
        <v>37500</v>
      </c>
      <c r="E3523" s="6">
        <v>1584.7550000000001</v>
      </c>
      <c r="F3523" s="6">
        <v>1584.7550000000001</v>
      </c>
      <c r="G3523" s="7" t="s">
        <v>18</v>
      </c>
      <c r="H3523" s="1">
        <f t="shared" si="55"/>
        <v>1</v>
      </c>
    </row>
    <row r="3524" spans="1:8" x14ac:dyDescent="0.25">
      <c r="A3524" s="1" t="s">
        <v>12</v>
      </c>
      <c r="B3524" s="1" t="s">
        <v>15</v>
      </c>
      <c r="C3524" s="6">
        <v>100000</v>
      </c>
      <c r="D3524" s="6">
        <v>100000</v>
      </c>
      <c r="E3524" s="6">
        <v>0</v>
      </c>
      <c r="F3524" s="6">
        <v>0</v>
      </c>
      <c r="G3524" s="7" t="s">
        <v>18</v>
      </c>
      <c r="H3524" s="1">
        <f t="shared" si="55"/>
        <v>1</v>
      </c>
    </row>
    <row r="3525" spans="1:8" x14ac:dyDescent="0.25">
      <c r="A3525" s="1" t="s">
        <v>12</v>
      </c>
      <c r="B3525" s="1" t="s">
        <v>15</v>
      </c>
      <c r="C3525" s="6">
        <v>16250</v>
      </c>
      <c r="D3525" s="6">
        <v>14969.5</v>
      </c>
      <c r="E3525" s="6">
        <v>5335.7650000000003</v>
      </c>
      <c r="F3525" s="6">
        <v>5335.7650000000003</v>
      </c>
      <c r="G3525" s="7" t="s">
        <v>18</v>
      </c>
      <c r="H3525" s="1">
        <f t="shared" si="55"/>
        <v>0.92120000000000002</v>
      </c>
    </row>
    <row r="3526" spans="1:8" x14ac:dyDescent="0.25">
      <c r="A3526" s="1" t="s">
        <v>12</v>
      </c>
      <c r="B3526" s="1" t="s">
        <v>15</v>
      </c>
      <c r="C3526" s="6">
        <v>62500</v>
      </c>
      <c r="D3526" s="6">
        <v>0</v>
      </c>
      <c r="E3526" s="6">
        <v>0</v>
      </c>
      <c r="F3526" s="6">
        <v>0</v>
      </c>
      <c r="G3526" s="7" t="s">
        <v>18</v>
      </c>
      <c r="H3526" s="1">
        <f t="shared" si="55"/>
        <v>0</v>
      </c>
    </row>
    <row r="3527" spans="1:8" x14ac:dyDescent="0.25">
      <c r="A3527" s="1" t="s">
        <v>12</v>
      </c>
      <c r="B3527" s="1" t="s">
        <v>15</v>
      </c>
      <c r="C3527" s="6">
        <v>87500</v>
      </c>
      <c r="D3527" s="6">
        <v>0</v>
      </c>
      <c r="E3527" s="6">
        <v>0</v>
      </c>
      <c r="F3527" s="6">
        <v>0</v>
      </c>
      <c r="G3527" s="7" t="s">
        <v>18</v>
      </c>
      <c r="H3527" s="1">
        <f t="shared" si="55"/>
        <v>0</v>
      </c>
    </row>
    <row r="3528" spans="1:8" x14ac:dyDescent="0.25">
      <c r="A3528" s="1" t="s">
        <v>12</v>
      </c>
      <c r="B3528" s="1" t="s">
        <v>15</v>
      </c>
      <c r="C3528" s="6">
        <v>50000</v>
      </c>
      <c r="D3528" s="6">
        <v>0</v>
      </c>
      <c r="E3528" s="6">
        <v>0</v>
      </c>
      <c r="F3528" s="6">
        <v>0</v>
      </c>
      <c r="G3528" s="7" t="s">
        <v>18</v>
      </c>
      <c r="H3528" s="1">
        <f t="shared" si="55"/>
        <v>0</v>
      </c>
    </row>
    <row r="3529" spans="1:8" x14ac:dyDescent="0.25">
      <c r="A3529" s="1" t="s">
        <v>12</v>
      </c>
      <c r="B3529" s="1" t="s">
        <v>15</v>
      </c>
      <c r="C3529" s="6">
        <v>37500</v>
      </c>
      <c r="D3529" s="6">
        <v>0</v>
      </c>
      <c r="E3529" s="6">
        <v>0</v>
      </c>
      <c r="F3529" s="6">
        <v>0</v>
      </c>
      <c r="G3529" s="7" t="s">
        <v>18</v>
      </c>
      <c r="H3529" s="1">
        <f t="shared" si="55"/>
        <v>0</v>
      </c>
    </row>
    <row r="3530" spans="1:8" x14ac:dyDescent="0.25">
      <c r="A3530" s="1" t="s">
        <v>12</v>
      </c>
      <c r="B3530" s="1" t="s">
        <v>15</v>
      </c>
      <c r="C3530" s="6">
        <v>322305</v>
      </c>
      <c r="D3530" s="6">
        <v>0</v>
      </c>
      <c r="E3530" s="6">
        <v>0</v>
      </c>
      <c r="F3530" s="6">
        <v>0</v>
      </c>
      <c r="G3530" s="7" t="s">
        <v>18</v>
      </c>
      <c r="H3530" s="1">
        <f t="shared" si="55"/>
        <v>0</v>
      </c>
    </row>
    <row r="3531" spans="1:8" x14ac:dyDescent="0.25">
      <c r="A3531" s="1" t="s">
        <v>12</v>
      </c>
      <c r="B3531" s="1" t="s">
        <v>15</v>
      </c>
      <c r="C3531" s="6">
        <v>62500</v>
      </c>
      <c r="D3531" s="6">
        <v>62500</v>
      </c>
      <c r="E3531" s="6">
        <v>0</v>
      </c>
      <c r="F3531" s="6">
        <v>0</v>
      </c>
      <c r="G3531" s="7" t="s">
        <v>18</v>
      </c>
      <c r="H3531" s="1">
        <f t="shared" si="55"/>
        <v>1</v>
      </c>
    </row>
    <row r="3532" spans="1:8" x14ac:dyDescent="0.25">
      <c r="A3532" s="1" t="s">
        <v>12</v>
      </c>
      <c r="B3532" s="1" t="s">
        <v>15</v>
      </c>
      <c r="C3532" s="6">
        <v>25000</v>
      </c>
      <c r="D3532" s="6">
        <v>0</v>
      </c>
      <c r="E3532" s="6">
        <v>0</v>
      </c>
      <c r="F3532" s="6">
        <v>0</v>
      </c>
      <c r="G3532" s="7" t="s">
        <v>18</v>
      </c>
      <c r="H3532" s="1">
        <f t="shared" si="55"/>
        <v>0</v>
      </c>
    </row>
    <row r="3533" spans="1:8" x14ac:dyDescent="0.25">
      <c r="A3533" s="1" t="s">
        <v>12</v>
      </c>
      <c r="B3533" s="1" t="s">
        <v>15</v>
      </c>
      <c r="C3533" s="6">
        <v>25000</v>
      </c>
      <c r="D3533" s="6">
        <v>25000</v>
      </c>
      <c r="E3533" s="6">
        <v>0</v>
      </c>
      <c r="F3533" s="6">
        <v>0</v>
      </c>
      <c r="G3533" s="7" t="s">
        <v>18</v>
      </c>
      <c r="H3533" s="1">
        <f t="shared" si="55"/>
        <v>1</v>
      </c>
    </row>
    <row r="3534" spans="1:8" x14ac:dyDescent="0.25">
      <c r="A3534" s="1" t="s">
        <v>12</v>
      </c>
      <c r="B3534" s="1" t="s">
        <v>15</v>
      </c>
      <c r="C3534" s="6">
        <v>150000</v>
      </c>
      <c r="D3534" s="6">
        <v>150000</v>
      </c>
      <c r="E3534" s="6">
        <v>0</v>
      </c>
      <c r="F3534" s="6">
        <v>0</v>
      </c>
      <c r="G3534" s="7" t="s">
        <v>18</v>
      </c>
      <c r="H3534" s="1">
        <f t="shared" si="55"/>
        <v>1</v>
      </c>
    </row>
    <row r="3535" spans="1:8" x14ac:dyDescent="0.25">
      <c r="A3535" s="1" t="s">
        <v>12</v>
      </c>
      <c r="B3535" s="1" t="s">
        <v>15</v>
      </c>
      <c r="C3535" s="6">
        <v>75000</v>
      </c>
      <c r="D3535" s="6">
        <v>0</v>
      </c>
      <c r="E3535" s="6">
        <v>0</v>
      </c>
      <c r="F3535" s="6">
        <v>0</v>
      </c>
      <c r="G3535" s="7" t="s">
        <v>18</v>
      </c>
      <c r="H3535" s="1">
        <f t="shared" si="55"/>
        <v>0</v>
      </c>
    </row>
    <row r="3536" spans="1:8" x14ac:dyDescent="0.25">
      <c r="A3536" s="1" t="s">
        <v>12</v>
      </c>
      <c r="B3536" s="1" t="s">
        <v>15</v>
      </c>
      <c r="C3536" s="6">
        <v>62500</v>
      </c>
      <c r="D3536" s="6">
        <v>62500</v>
      </c>
      <c r="E3536" s="6">
        <v>57267.504999999997</v>
      </c>
      <c r="F3536" s="6">
        <v>57267.504999999997</v>
      </c>
      <c r="G3536" s="7" t="s">
        <v>18</v>
      </c>
      <c r="H3536" s="1">
        <f t="shared" si="55"/>
        <v>1</v>
      </c>
    </row>
    <row r="3537" spans="1:8" x14ac:dyDescent="0.25">
      <c r="A3537" s="1" t="s">
        <v>12</v>
      </c>
      <c r="B3537" s="1" t="s">
        <v>15</v>
      </c>
      <c r="C3537" s="6">
        <v>62500</v>
      </c>
      <c r="D3537" s="6">
        <v>21171.6175</v>
      </c>
      <c r="E3537" s="6">
        <v>16356.535</v>
      </c>
      <c r="F3537" s="6">
        <v>16356.535</v>
      </c>
      <c r="G3537" s="7" t="s">
        <v>18</v>
      </c>
      <c r="H3537" s="1">
        <f t="shared" si="55"/>
        <v>0.33874588</v>
      </c>
    </row>
    <row r="3538" spans="1:8" x14ac:dyDescent="0.25">
      <c r="A3538" s="1" t="s">
        <v>12</v>
      </c>
      <c r="B3538" s="1" t="s">
        <v>15</v>
      </c>
      <c r="C3538" s="6">
        <v>75000</v>
      </c>
      <c r="D3538" s="6">
        <v>0</v>
      </c>
      <c r="E3538" s="6">
        <v>0</v>
      </c>
      <c r="F3538" s="6">
        <v>0</v>
      </c>
      <c r="G3538" s="7" t="s">
        <v>18</v>
      </c>
      <c r="H3538" s="1">
        <f t="shared" si="55"/>
        <v>0</v>
      </c>
    </row>
    <row r="3539" spans="1:8" x14ac:dyDescent="0.25">
      <c r="A3539" s="1" t="s">
        <v>12</v>
      </c>
      <c r="B3539" s="1" t="s">
        <v>15</v>
      </c>
      <c r="C3539" s="6">
        <v>50152.5</v>
      </c>
      <c r="D3539" s="6">
        <v>0</v>
      </c>
      <c r="E3539" s="6">
        <v>0</v>
      </c>
      <c r="F3539" s="6">
        <v>0</v>
      </c>
      <c r="G3539" s="7" t="s">
        <v>18</v>
      </c>
      <c r="H3539" s="1">
        <f t="shared" si="55"/>
        <v>0</v>
      </c>
    </row>
    <row r="3540" spans="1:8" x14ac:dyDescent="0.25">
      <c r="A3540" s="1" t="s">
        <v>12</v>
      </c>
      <c r="B3540" s="1" t="s">
        <v>15</v>
      </c>
      <c r="C3540" s="6">
        <v>36750</v>
      </c>
      <c r="D3540" s="6">
        <v>0</v>
      </c>
      <c r="E3540" s="6">
        <v>0</v>
      </c>
      <c r="F3540" s="6">
        <v>0</v>
      </c>
      <c r="G3540" s="7" t="s">
        <v>18</v>
      </c>
      <c r="H3540" s="1">
        <f t="shared" si="55"/>
        <v>0</v>
      </c>
    </row>
    <row r="3541" spans="1:8" x14ac:dyDescent="0.25">
      <c r="A3541" s="1" t="s">
        <v>12</v>
      </c>
      <c r="B3541" s="1" t="s">
        <v>15</v>
      </c>
      <c r="C3541" s="6">
        <v>36750</v>
      </c>
      <c r="D3541" s="6">
        <v>0</v>
      </c>
      <c r="E3541" s="6">
        <v>0</v>
      </c>
      <c r="F3541" s="6">
        <v>0</v>
      </c>
      <c r="G3541" s="7" t="s">
        <v>18</v>
      </c>
      <c r="H3541" s="1">
        <f t="shared" si="55"/>
        <v>0</v>
      </c>
    </row>
    <row r="3542" spans="1:8" x14ac:dyDescent="0.25">
      <c r="A3542" s="1" t="s">
        <v>12</v>
      </c>
      <c r="B3542" s="1" t="s">
        <v>15</v>
      </c>
      <c r="C3542" s="6">
        <v>95812.25</v>
      </c>
      <c r="D3542" s="6">
        <v>24815.88</v>
      </c>
      <c r="E3542" s="6">
        <v>11641.02</v>
      </c>
      <c r="F3542" s="6">
        <v>11641.02</v>
      </c>
      <c r="G3542" s="7" t="s">
        <v>18</v>
      </c>
      <c r="H3542" s="1">
        <f t="shared" si="55"/>
        <v>0.25900529420820406</v>
      </c>
    </row>
    <row r="3543" spans="1:8" x14ac:dyDescent="0.25">
      <c r="A3543" s="1" t="s">
        <v>12</v>
      </c>
      <c r="B3543" s="1" t="s">
        <v>15</v>
      </c>
      <c r="C3543" s="6">
        <v>163000</v>
      </c>
      <c r="D3543" s="6">
        <v>299461.30499999999</v>
      </c>
      <c r="E3543" s="6">
        <v>142900.9325</v>
      </c>
      <c r="F3543" s="6">
        <v>112616.83</v>
      </c>
      <c r="G3543" s="7" t="s">
        <v>18</v>
      </c>
      <c r="H3543" s="1">
        <f t="shared" si="55"/>
        <v>1.8371859202453988</v>
      </c>
    </row>
    <row r="3544" spans="1:8" x14ac:dyDescent="0.25">
      <c r="A3544" s="1" t="s">
        <v>12</v>
      </c>
      <c r="B3544" s="1" t="s">
        <v>15</v>
      </c>
      <c r="C3544" s="6">
        <v>12395449.699999999</v>
      </c>
      <c r="D3544" s="6">
        <v>2988173.1214999999</v>
      </c>
      <c r="E3544" s="6">
        <v>835639.5135</v>
      </c>
      <c r="F3544" s="6">
        <v>286149.33799999999</v>
      </c>
      <c r="G3544" s="7" t="s">
        <v>18</v>
      </c>
      <c r="H3544" s="1">
        <f t="shared" si="55"/>
        <v>0.24107016637726342</v>
      </c>
    </row>
    <row r="3545" spans="1:8" x14ac:dyDescent="0.25">
      <c r="A3545" s="1" t="s">
        <v>12</v>
      </c>
      <c r="B3545" s="1" t="s">
        <v>15</v>
      </c>
      <c r="C3545" s="6">
        <v>29886</v>
      </c>
      <c r="D3545" s="6">
        <v>4595.3999999999996</v>
      </c>
      <c r="E3545" s="6">
        <v>2243.4</v>
      </c>
      <c r="F3545" s="6">
        <v>2243.4</v>
      </c>
      <c r="G3545" s="7" t="s">
        <v>18</v>
      </c>
      <c r="H3545" s="1">
        <f t="shared" si="55"/>
        <v>0.15376430435655489</v>
      </c>
    </row>
    <row r="3546" spans="1:8" x14ac:dyDescent="0.25">
      <c r="A3546" s="1" t="s">
        <v>12</v>
      </c>
      <c r="B3546" s="1" t="s">
        <v>15</v>
      </c>
      <c r="C3546" s="6">
        <v>108714.75</v>
      </c>
      <c r="D3546" s="6">
        <v>25125</v>
      </c>
      <c r="E3546" s="6">
        <v>4032.6125000000002</v>
      </c>
      <c r="F3546" s="6">
        <v>4032.6125000000002</v>
      </c>
      <c r="G3546" s="7" t="s">
        <v>18</v>
      </c>
      <c r="H3546" s="1">
        <f t="shared" ref="H3546:H3609" si="56">IF(OR(ISNA($D3546),ISNA($C3546),$C3546=0),0,$D3546/$C3546)</f>
        <v>0.23110939407946024</v>
      </c>
    </row>
    <row r="3547" spans="1:8" x14ac:dyDescent="0.25">
      <c r="A3547" s="1" t="s">
        <v>12</v>
      </c>
      <c r="B3547" s="1" t="s">
        <v>15</v>
      </c>
      <c r="C3547" s="6">
        <v>3107558.75</v>
      </c>
      <c r="D3547" s="6">
        <v>681898.35</v>
      </c>
      <c r="E3547" s="6">
        <v>669047.13500000001</v>
      </c>
      <c r="F3547" s="6">
        <v>661627.13500000001</v>
      </c>
      <c r="G3547" s="7" t="s">
        <v>18</v>
      </c>
      <c r="H3547" s="1">
        <f t="shared" si="56"/>
        <v>0.21943216680939659</v>
      </c>
    </row>
    <row r="3548" spans="1:8" x14ac:dyDescent="0.25">
      <c r="A3548" s="1" t="s">
        <v>12</v>
      </c>
      <c r="B3548" s="1" t="s">
        <v>15</v>
      </c>
      <c r="C3548" s="6">
        <v>4998012.75</v>
      </c>
      <c r="D3548" s="6">
        <v>2116667.2999999998</v>
      </c>
      <c r="E3548" s="6">
        <v>1617301.6225000001</v>
      </c>
      <c r="F3548" s="6">
        <v>1587835.4524999999</v>
      </c>
      <c r="G3548" s="7" t="s">
        <v>18</v>
      </c>
      <c r="H3548" s="1">
        <f t="shared" si="56"/>
        <v>0.42350178078277206</v>
      </c>
    </row>
    <row r="3549" spans="1:8" x14ac:dyDescent="0.25">
      <c r="A3549" s="1" t="s">
        <v>12</v>
      </c>
      <c r="B3549" s="1" t="s">
        <v>15</v>
      </c>
      <c r="C3549" s="6">
        <v>0</v>
      </c>
      <c r="D3549" s="6">
        <v>509074.1225</v>
      </c>
      <c r="E3549" s="6">
        <v>425267.1225</v>
      </c>
      <c r="F3549" s="6">
        <v>425267.1225</v>
      </c>
      <c r="G3549" s="7" t="s">
        <v>18</v>
      </c>
      <c r="H3549" s="1">
        <f t="shared" si="56"/>
        <v>0</v>
      </c>
    </row>
    <row r="3550" spans="1:8" x14ac:dyDescent="0.25">
      <c r="A3550" s="1" t="s">
        <v>12</v>
      </c>
      <c r="B3550" s="1" t="s">
        <v>15</v>
      </c>
      <c r="C3550" s="6">
        <v>1245702.25</v>
      </c>
      <c r="D3550" s="6">
        <v>0</v>
      </c>
      <c r="E3550" s="6">
        <v>0</v>
      </c>
      <c r="F3550" s="6">
        <v>0</v>
      </c>
      <c r="G3550" s="7" t="s">
        <v>18</v>
      </c>
      <c r="H3550" s="1">
        <f t="shared" si="56"/>
        <v>0</v>
      </c>
    </row>
    <row r="3551" spans="1:8" x14ac:dyDescent="0.25">
      <c r="A3551" s="1" t="s">
        <v>12</v>
      </c>
      <c r="B3551" s="1" t="s">
        <v>15</v>
      </c>
      <c r="C3551" s="6">
        <v>8000</v>
      </c>
      <c r="D3551" s="6">
        <v>0</v>
      </c>
      <c r="E3551" s="6">
        <v>0</v>
      </c>
      <c r="F3551" s="6">
        <v>0</v>
      </c>
      <c r="G3551" s="7" t="s">
        <v>18</v>
      </c>
      <c r="H3551" s="1">
        <f t="shared" si="56"/>
        <v>0</v>
      </c>
    </row>
    <row r="3552" spans="1:8" x14ac:dyDescent="0.25">
      <c r="A3552" s="1" t="s">
        <v>12</v>
      </c>
      <c r="B3552" s="1" t="s">
        <v>15</v>
      </c>
      <c r="C3552" s="6">
        <v>425617</v>
      </c>
      <c r="D3552" s="6">
        <v>332745.15749999997</v>
      </c>
      <c r="E3552" s="6">
        <v>210660.7525</v>
      </c>
      <c r="F3552" s="6">
        <v>206914.92499999999</v>
      </c>
      <c r="G3552" s="7" t="s">
        <v>18</v>
      </c>
      <c r="H3552" s="1">
        <f t="shared" si="56"/>
        <v>0.78179480025468906</v>
      </c>
    </row>
    <row r="3553" spans="1:8" x14ac:dyDescent="0.25">
      <c r="A3553" s="1" t="s">
        <v>12</v>
      </c>
      <c r="B3553" s="1" t="s">
        <v>15</v>
      </c>
      <c r="C3553" s="6">
        <v>131206.25</v>
      </c>
      <c r="D3553" s="6">
        <v>6672.25</v>
      </c>
      <c r="E3553" s="6">
        <v>6672.25</v>
      </c>
      <c r="F3553" s="6">
        <v>6672.25</v>
      </c>
      <c r="G3553" s="7" t="s">
        <v>18</v>
      </c>
      <c r="H3553" s="1">
        <f t="shared" si="56"/>
        <v>5.0853141523364932E-2</v>
      </c>
    </row>
    <row r="3554" spans="1:8" x14ac:dyDescent="0.25">
      <c r="A3554" s="1" t="s">
        <v>12</v>
      </c>
      <c r="B3554" s="1" t="s">
        <v>15</v>
      </c>
      <c r="C3554" s="6">
        <v>27500</v>
      </c>
      <c r="D3554" s="6">
        <v>0</v>
      </c>
      <c r="E3554" s="6">
        <v>0</v>
      </c>
      <c r="F3554" s="6">
        <v>0</v>
      </c>
      <c r="G3554" s="7" t="s">
        <v>18</v>
      </c>
      <c r="H3554" s="1">
        <f t="shared" si="56"/>
        <v>0</v>
      </c>
    </row>
    <row r="3555" spans="1:8" x14ac:dyDescent="0.25">
      <c r="A3555" s="1" t="s">
        <v>12</v>
      </c>
      <c r="B3555" s="1" t="s">
        <v>15</v>
      </c>
      <c r="C3555" s="6">
        <v>15000</v>
      </c>
      <c r="D3555" s="6">
        <v>0</v>
      </c>
      <c r="E3555" s="6">
        <v>0</v>
      </c>
      <c r="F3555" s="6">
        <v>0</v>
      </c>
      <c r="G3555" s="7" t="s">
        <v>18</v>
      </c>
      <c r="H3555" s="1">
        <f t="shared" si="56"/>
        <v>0</v>
      </c>
    </row>
    <row r="3556" spans="1:8" x14ac:dyDescent="0.25">
      <c r="A3556" s="1" t="s">
        <v>12</v>
      </c>
      <c r="B3556" s="1" t="s">
        <v>15</v>
      </c>
      <c r="C3556" s="6">
        <v>3750</v>
      </c>
      <c r="D3556" s="6">
        <v>0</v>
      </c>
      <c r="E3556" s="6">
        <v>0</v>
      </c>
      <c r="F3556" s="6">
        <v>0</v>
      </c>
      <c r="G3556" s="7" t="s">
        <v>18</v>
      </c>
      <c r="H3556" s="1">
        <f t="shared" si="56"/>
        <v>0</v>
      </c>
    </row>
    <row r="3557" spans="1:8" x14ac:dyDescent="0.25">
      <c r="A3557" s="1" t="s">
        <v>12</v>
      </c>
      <c r="B3557" s="1" t="s">
        <v>15</v>
      </c>
      <c r="C3557" s="6">
        <v>1700500</v>
      </c>
      <c r="D3557" s="6">
        <v>1915249.5024999999</v>
      </c>
      <c r="E3557" s="6">
        <v>1767200.7649999999</v>
      </c>
      <c r="F3557" s="6">
        <v>1760486.1825000001</v>
      </c>
      <c r="G3557" s="7" t="s">
        <v>18</v>
      </c>
      <c r="H3557" s="1">
        <f t="shared" si="56"/>
        <v>1.1262860937959422</v>
      </c>
    </row>
    <row r="3558" spans="1:8" x14ac:dyDescent="0.25">
      <c r="A3558" s="1" t="s">
        <v>12</v>
      </c>
      <c r="B3558" s="1" t="s">
        <v>15</v>
      </c>
      <c r="C3558" s="6">
        <v>690500.25</v>
      </c>
      <c r="D3558" s="6">
        <v>546915.27749999997</v>
      </c>
      <c r="E3558" s="6">
        <v>491251.79749999999</v>
      </c>
      <c r="F3558" s="6">
        <v>489948.17749999999</v>
      </c>
      <c r="G3558" s="7" t="s">
        <v>18</v>
      </c>
      <c r="H3558" s="1">
        <f t="shared" si="56"/>
        <v>0.79205659592447641</v>
      </c>
    </row>
    <row r="3559" spans="1:8" x14ac:dyDescent="0.25">
      <c r="A3559" s="1" t="s">
        <v>12</v>
      </c>
      <c r="B3559" s="1" t="s">
        <v>15</v>
      </c>
      <c r="C3559" s="6">
        <v>31364260.75</v>
      </c>
      <c r="D3559" s="6">
        <v>33920223.960000001</v>
      </c>
      <c r="E3559" s="6">
        <v>33749470.127499998</v>
      </c>
      <c r="F3559" s="6">
        <v>33747862.377499998</v>
      </c>
      <c r="G3559" s="7" t="s">
        <v>18</v>
      </c>
      <c r="H3559" s="1">
        <f t="shared" si="56"/>
        <v>1.0814928568019893</v>
      </c>
    </row>
    <row r="3560" spans="1:8" x14ac:dyDescent="0.25">
      <c r="A3560" s="1" t="s">
        <v>12</v>
      </c>
      <c r="B3560" s="1" t="s">
        <v>15</v>
      </c>
      <c r="C3560" s="6">
        <v>322305</v>
      </c>
      <c r="D3560" s="6">
        <v>0</v>
      </c>
      <c r="E3560" s="6">
        <v>0</v>
      </c>
      <c r="F3560" s="6">
        <v>0</v>
      </c>
      <c r="G3560" s="7" t="s">
        <v>18</v>
      </c>
      <c r="H3560" s="1">
        <f t="shared" si="56"/>
        <v>0</v>
      </c>
    </row>
    <row r="3561" spans="1:8" x14ac:dyDescent="0.25">
      <c r="A3561" s="1" t="s">
        <v>12</v>
      </c>
      <c r="B3561" s="1" t="s">
        <v>15</v>
      </c>
      <c r="C3561" s="6">
        <v>75852.5</v>
      </c>
      <c r="D3561" s="6">
        <v>0</v>
      </c>
      <c r="E3561" s="6">
        <v>0</v>
      </c>
      <c r="F3561" s="6">
        <v>0</v>
      </c>
      <c r="G3561" s="7" t="s">
        <v>18</v>
      </c>
      <c r="H3561" s="1">
        <f t="shared" si="56"/>
        <v>0</v>
      </c>
    </row>
    <row r="3562" spans="1:8" x14ac:dyDescent="0.25">
      <c r="A3562" s="1" t="s">
        <v>12</v>
      </c>
      <c r="B3562" s="1" t="s">
        <v>15</v>
      </c>
      <c r="C3562" s="6">
        <v>300000</v>
      </c>
      <c r="D3562" s="6">
        <v>0</v>
      </c>
      <c r="E3562" s="6">
        <v>0</v>
      </c>
      <c r="F3562" s="6">
        <v>0</v>
      </c>
      <c r="G3562" s="7" t="s">
        <v>18</v>
      </c>
      <c r="H3562" s="1">
        <f t="shared" si="56"/>
        <v>0</v>
      </c>
    </row>
    <row r="3563" spans="1:8" x14ac:dyDescent="0.25">
      <c r="A3563" s="1" t="s">
        <v>12</v>
      </c>
      <c r="B3563" s="1" t="s">
        <v>15</v>
      </c>
      <c r="C3563" s="6">
        <v>50000</v>
      </c>
      <c r="D3563" s="6">
        <v>0</v>
      </c>
      <c r="E3563" s="6">
        <v>0</v>
      </c>
      <c r="F3563" s="6">
        <v>0</v>
      </c>
      <c r="G3563" s="7" t="s">
        <v>18</v>
      </c>
      <c r="H3563" s="1">
        <f t="shared" si="56"/>
        <v>0</v>
      </c>
    </row>
    <row r="3564" spans="1:8" x14ac:dyDescent="0.25">
      <c r="A3564" s="1" t="s">
        <v>12</v>
      </c>
      <c r="B3564" s="1" t="s">
        <v>15</v>
      </c>
      <c r="C3564" s="6">
        <v>26647.5</v>
      </c>
      <c r="D3564" s="6">
        <v>0</v>
      </c>
      <c r="E3564" s="6">
        <v>0</v>
      </c>
      <c r="F3564" s="6">
        <v>0</v>
      </c>
      <c r="G3564" s="7" t="s">
        <v>18</v>
      </c>
      <c r="H3564" s="1">
        <f t="shared" si="56"/>
        <v>0</v>
      </c>
    </row>
    <row r="3565" spans="1:8" x14ac:dyDescent="0.25">
      <c r="A3565" s="1" t="s">
        <v>12</v>
      </c>
      <c r="B3565" s="1" t="s">
        <v>15</v>
      </c>
      <c r="C3565" s="6">
        <v>30805</v>
      </c>
      <c r="D3565" s="6">
        <v>0</v>
      </c>
      <c r="E3565" s="6">
        <v>0</v>
      </c>
      <c r="F3565" s="6">
        <v>0</v>
      </c>
      <c r="G3565" s="7" t="s">
        <v>18</v>
      </c>
      <c r="H3565" s="1">
        <f t="shared" si="56"/>
        <v>0</v>
      </c>
    </row>
    <row r="3566" spans="1:8" x14ac:dyDescent="0.25">
      <c r="A3566" s="1" t="s">
        <v>12</v>
      </c>
      <c r="B3566" s="1" t="s">
        <v>15</v>
      </c>
      <c r="C3566" s="6">
        <v>37500</v>
      </c>
      <c r="D3566" s="6">
        <v>0</v>
      </c>
      <c r="E3566" s="6">
        <v>0</v>
      </c>
      <c r="F3566" s="6">
        <v>0</v>
      </c>
      <c r="G3566" s="7" t="s">
        <v>18</v>
      </c>
      <c r="H3566" s="1">
        <f t="shared" si="56"/>
        <v>0</v>
      </c>
    </row>
    <row r="3567" spans="1:8" x14ac:dyDescent="0.25">
      <c r="A3567" s="1" t="s">
        <v>12</v>
      </c>
      <c r="B3567" s="1" t="s">
        <v>15</v>
      </c>
      <c r="C3567" s="6">
        <v>6000</v>
      </c>
      <c r="D3567" s="6">
        <v>0</v>
      </c>
      <c r="E3567" s="6">
        <v>0</v>
      </c>
      <c r="F3567" s="6">
        <v>0</v>
      </c>
      <c r="G3567" s="7" t="s">
        <v>18</v>
      </c>
      <c r="H3567" s="1">
        <f t="shared" si="56"/>
        <v>0</v>
      </c>
    </row>
    <row r="3568" spans="1:8" x14ac:dyDescent="0.25">
      <c r="A3568" s="1" t="s">
        <v>12</v>
      </c>
      <c r="B3568" s="1" t="s">
        <v>15</v>
      </c>
      <c r="C3568" s="6">
        <v>25000</v>
      </c>
      <c r="D3568" s="6">
        <v>0</v>
      </c>
      <c r="E3568" s="6">
        <v>0</v>
      </c>
      <c r="F3568" s="6">
        <v>0</v>
      </c>
      <c r="G3568" s="7" t="s">
        <v>18</v>
      </c>
      <c r="H3568" s="1">
        <f t="shared" si="56"/>
        <v>0</v>
      </c>
    </row>
    <row r="3569" spans="1:8" x14ac:dyDescent="0.25">
      <c r="A3569" s="1" t="s">
        <v>12</v>
      </c>
      <c r="B3569" s="1" t="s">
        <v>15</v>
      </c>
      <c r="C3569" s="6">
        <v>59038</v>
      </c>
      <c r="D3569" s="6">
        <v>0</v>
      </c>
      <c r="E3569" s="6">
        <v>0</v>
      </c>
      <c r="F3569" s="6">
        <v>0</v>
      </c>
      <c r="G3569" s="7" t="s">
        <v>18</v>
      </c>
      <c r="H3569" s="1">
        <f t="shared" si="56"/>
        <v>0</v>
      </c>
    </row>
    <row r="3570" spans="1:8" x14ac:dyDescent="0.25">
      <c r="A3570" s="1" t="s">
        <v>12</v>
      </c>
      <c r="B3570" s="1" t="s">
        <v>15</v>
      </c>
      <c r="C3570" s="6">
        <v>59038</v>
      </c>
      <c r="D3570" s="6">
        <v>0</v>
      </c>
      <c r="E3570" s="6">
        <v>0</v>
      </c>
      <c r="F3570" s="6">
        <v>0</v>
      </c>
      <c r="G3570" s="7" t="s">
        <v>18</v>
      </c>
      <c r="H3570" s="1">
        <f t="shared" si="56"/>
        <v>0</v>
      </c>
    </row>
    <row r="3571" spans="1:8" x14ac:dyDescent="0.25">
      <c r="A3571" s="1" t="s">
        <v>12</v>
      </c>
      <c r="B3571" s="1" t="s">
        <v>15</v>
      </c>
      <c r="C3571" s="6">
        <v>59038</v>
      </c>
      <c r="D3571" s="6">
        <v>0</v>
      </c>
      <c r="E3571" s="6">
        <v>0</v>
      </c>
      <c r="F3571" s="6">
        <v>0</v>
      </c>
      <c r="G3571" s="7" t="s">
        <v>18</v>
      </c>
      <c r="H3571" s="1">
        <f t="shared" si="56"/>
        <v>0</v>
      </c>
    </row>
    <row r="3572" spans="1:8" x14ac:dyDescent="0.25">
      <c r="A3572" s="1" t="s">
        <v>12</v>
      </c>
      <c r="B3572" s="1" t="s">
        <v>15</v>
      </c>
      <c r="C3572" s="6">
        <v>59038</v>
      </c>
      <c r="D3572" s="6">
        <v>0</v>
      </c>
      <c r="E3572" s="6">
        <v>0</v>
      </c>
      <c r="F3572" s="6">
        <v>0</v>
      </c>
      <c r="G3572" s="7" t="s">
        <v>18</v>
      </c>
      <c r="H3572" s="1">
        <f t="shared" si="56"/>
        <v>0</v>
      </c>
    </row>
    <row r="3573" spans="1:8" x14ac:dyDescent="0.25">
      <c r="A3573" s="1" t="s">
        <v>12</v>
      </c>
      <c r="B3573" s="1" t="s">
        <v>15</v>
      </c>
      <c r="C3573" s="6">
        <v>62500</v>
      </c>
      <c r="D3573" s="6">
        <v>0</v>
      </c>
      <c r="E3573" s="6">
        <v>0</v>
      </c>
      <c r="F3573" s="6">
        <v>0</v>
      </c>
      <c r="G3573" s="7" t="s">
        <v>18</v>
      </c>
      <c r="H3573" s="1">
        <f t="shared" si="56"/>
        <v>0</v>
      </c>
    </row>
    <row r="3574" spans="1:8" x14ac:dyDescent="0.25">
      <c r="A3574" s="1" t="s">
        <v>12</v>
      </c>
      <c r="B3574" s="1" t="s">
        <v>15</v>
      </c>
      <c r="C3574" s="6">
        <v>67500</v>
      </c>
      <c r="D3574" s="6">
        <v>0</v>
      </c>
      <c r="E3574" s="6">
        <v>0</v>
      </c>
      <c r="F3574" s="6">
        <v>0</v>
      </c>
      <c r="G3574" s="7" t="s">
        <v>18</v>
      </c>
      <c r="H3574" s="1">
        <f t="shared" si="56"/>
        <v>0</v>
      </c>
    </row>
    <row r="3575" spans="1:8" x14ac:dyDescent="0.25">
      <c r="A3575" s="1" t="s">
        <v>12</v>
      </c>
      <c r="B3575" s="1" t="s">
        <v>15</v>
      </c>
      <c r="C3575" s="6">
        <v>75000</v>
      </c>
      <c r="D3575" s="6">
        <v>0</v>
      </c>
      <c r="E3575" s="6">
        <v>0</v>
      </c>
      <c r="F3575" s="6">
        <v>0</v>
      </c>
      <c r="G3575" s="7" t="s">
        <v>18</v>
      </c>
      <c r="H3575" s="1">
        <f t="shared" si="56"/>
        <v>0</v>
      </c>
    </row>
    <row r="3576" spans="1:8" x14ac:dyDescent="0.25">
      <c r="A3576" s="1" t="s">
        <v>12</v>
      </c>
      <c r="B3576" s="1" t="s">
        <v>15</v>
      </c>
      <c r="C3576" s="6">
        <v>82250</v>
      </c>
      <c r="D3576" s="6">
        <v>0</v>
      </c>
      <c r="E3576" s="6">
        <v>0</v>
      </c>
      <c r="F3576" s="6">
        <v>0</v>
      </c>
      <c r="G3576" s="7" t="s">
        <v>18</v>
      </c>
      <c r="H3576" s="1">
        <f t="shared" si="56"/>
        <v>0</v>
      </c>
    </row>
    <row r="3577" spans="1:8" x14ac:dyDescent="0.25">
      <c r="A3577" s="1" t="s">
        <v>12</v>
      </c>
      <c r="B3577" s="1" t="s">
        <v>15</v>
      </c>
      <c r="C3577" s="6">
        <v>59096839.75</v>
      </c>
      <c r="D3577" s="6">
        <v>32969389.440000001</v>
      </c>
      <c r="E3577" s="6">
        <v>26897318.727499999</v>
      </c>
      <c r="F3577" s="6">
        <v>21746477.795000002</v>
      </c>
      <c r="G3577" s="7" t="s">
        <v>18</v>
      </c>
      <c r="H3577" s="1">
        <f t="shared" si="56"/>
        <v>0.55788752121893292</v>
      </c>
    </row>
    <row r="3578" spans="1:8" x14ac:dyDescent="0.25">
      <c r="A3578" s="1" t="s">
        <v>12</v>
      </c>
      <c r="B3578" s="1" t="s">
        <v>15</v>
      </c>
      <c r="C3578" s="6">
        <v>196534000</v>
      </c>
      <c r="D3578" s="6">
        <v>193296431.23750001</v>
      </c>
      <c r="E3578" s="6">
        <v>192667852.60249999</v>
      </c>
      <c r="F3578" s="6">
        <v>192666412.64750001</v>
      </c>
      <c r="G3578" s="7" t="s">
        <v>18</v>
      </c>
      <c r="H3578" s="1">
        <f t="shared" si="56"/>
        <v>0.98352667343818378</v>
      </c>
    </row>
    <row r="3579" spans="1:8" x14ac:dyDescent="0.25">
      <c r="A3579" s="1" t="s">
        <v>12</v>
      </c>
      <c r="B3579" s="1" t="s">
        <v>15</v>
      </c>
      <c r="C3579" s="6">
        <v>7029908.75</v>
      </c>
      <c r="D3579" s="6">
        <v>2767069.7075</v>
      </c>
      <c r="E3579" s="6">
        <v>2643323.1</v>
      </c>
      <c r="F3579" s="6">
        <v>2637330.15</v>
      </c>
      <c r="G3579" s="7" t="s">
        <v>18</v>
      </c>
      <c r="H3579" s="1">
        <f t="shared" si="56"/>
        <v>0.39361388688011062</v>
      </c>
    </row>
    <row r="3580" spans="1:8" x14ac:dyDescent="0.25">
      <c r="A3580" s="1" t="s">
        <v>12</v>
      </c>
      <c r="B3580" s="1" t="s">
        <v>15</v>
      </c>
      <c r="C3580" s="6">
        <v>2500</v>
      </c>
      <c r="D3580" s="6">
        <v>0</v>
      </c>
      <c r="E3580" s="6">
        <v>0</v>
      </c>
      <c r="F3580" s="6">
        <v>0</v>
      </c>
      <c r="G3580" s="7" t="s">
        <v>18</v>
      </c>
      <c r="H3580" s="1">
        <f t="shared" si="56"/>
        <v>0</v>
      </c>
    </row>
    <row r="3581" spans="1:8" x14ac:dyDescent="0.25">
      <c r="A3581" s="1" t="s">
        <v>12</v>
      </c>
      <c r="B3581" s="1" t="s">
        <v>15</v>
      </c>
      <c r="C3581" s="6">
        <v>107400</v>
      </c>
      <c r="D3581" s="6">
        <v>0</v>
      </c>
      <c r="E3581" s="6">
        <v>0</v>
      </c>
      <c r="F3581" s="6">
        <v>0</v>
      </c>
      <c r="G3581" s="7" t="s">
        <v>18</v>
      </c>
      <c r="H3581" s="1">
        <f t="shared" si="56"/>
        <v>0</v>
      </c>
    </row>
    <row r="3582" spans="1:8" x14ac:dyDescent="0.25">
      <c r="A3582" s="1" t="s">
        <v>12</v>
      </c>
      <c r="B3582" s="1" t="s">
        <v>15</v>
      </c>
      <c r="C3582" s="6">
        <v>17500</v>
      </c>
      <c r="D3582" s="6">
        <v>0</v>
      </c>
      <c r="E3582" s="6">
        <v>0</v>
      </c>
      <c r="F3582" s="6">
        <v>0</v>
      </c>
      <c r="G3582" s="7" t="s">
        <v>18</v>
      </c>
      <c r="H3582" s="1">
        <f t="shared" si="56"/>
        <v>0</v>
      </c>
    </row>
    <row r="3583" spans="1:8" x14ac:dyDescent="0.25">
      <c r="A3583" s="1" t="s">
        <v>12</v>
      </c>
      <c r="B3583" s="1" t="s">
        <v>15</v>
      </c>
      <c r="C3583" s="6">
        <v>11750</v>
      </c>
      <c r="D3583" s="6">
        <v>0</v>
      </c>
      <c r="E3583" s="6">
        <v>0</v>
      </c>
      <c r="F3583" s="6">
        <v>0</v>
      </c>
      <c r="G3583" s="7" t="s">
        <v>18</v>
      </c>
      <c r="H3583" s="1">
        <f t="shared" si="56"/>
        <v>0</v>
      </c>
    </row>
    <row r="3584" spans="1:8" x14ac:dyDescent="0.25">
      <c r="A3584" s="1" t="s">
        <v>12</v>
      </c>
      <c r="B3584" s="1" t="s">
        <v>15</v>
      </c>
      <c r="C3584" s="6">
        <v>25000</v>
      </c>
      <c r="D3584" s="6">
        <v>22462.43</v>
      </c>
      <c r="E3584" s="6">
        <v>4500.3</v>
      </c>
      <c r="F3584" s="6">
        <v>727.8</v>
      </c>
      <c r="G3584" s="7" t="s">
        <v>18</v>
      </c>
      <c r="H3584" s="1">
        <f t="shared" si="56"/>
        <v>0.8984972</v>
      </c>
    </row>
    <row r="3585" spans="1:8" x14ac:dyDescent="0.25">
      <c r="A3585" s="1" t="s">
        <v>12</v>
      </c>
      <c r="B3585" s="1" t="s">
        <v>15</v>
      </c>
      <c r="C3585" s="6">
        <v>12500</v>
      </c>
      <c r="D3585" s="6">
        <v>7529.125</v>
      </c>
      <c r="E3585" s="6">
        <v>199.5</v>
      </c>
      <c r="F3585" s="6">
        <v>199.5</v>
      </c>
      <c r="G3585" s="7" t="s">
        <v>18</v>
      </c>
      <c r="H3585" s="1">
        <f t="shared" si="56"/>
        <v>0.60233000000000003</v>
      </c>
    </row>
    <row r="3586" spans="1:8" x14ac:dyDescent="0.25">
      <c r="A3586" s="1" t="s">
        <v>12</v>
      </c>
      <c r="B3586" s="1" t="s">
        <v>15</v>
      </c>
      <c r="C3586" s="6">
        <v>12500</v>
      </c>
      <c r="D3586" s="6">
        <v>6387.3</v>
      </c>
      <c r="E3586" s="6">
        <v>1017.8</v>
      </c>
      <c r="F3586" s="6">
        <v>1017.8</v>
      </c>
      <c r="G3586" s="7" t="s">
        <v>18</v>
      </c>
      <c r="H3586" s="1">
        <f t="shared" si="56"/>
        <v>0.51098399999999999</v>
      </c>
    </row>
    <row r="3587" spans="1:8" x14ac:dyDescent="0.25">
      <c r="A3587" s="1" t="s">
        <v>12</v>
      </c>
      <c r="B3587" s="1" t="s">
        <v>15</v>
      </c>
      <c r="C3587" s="6">
        <v>84805</v>
      </c>
      <c r="D3587" s="6">
        <v>84779.792499999996</v>
      </c>
      <c r="E3587" s="6">
        <v>84028.18</v>
      </c>
      <c r="F3587" s="6">
        <v>0</v>
      </c>
      <c r="G3587" s="7" t="s">
        <v>18</v>
      </c>
      <c r="H3587" s="1">
        <f t="shared" si="56"/>
        <v>0.99970275927126928</v>
      </c>
    </row>
    <row r="3588" spans="1:8" x14ac:dyDescent="0.25">
      <c r="A3588" s="1" t="s">
        <v>12</v>
      </c>
      <c r="B3588" s="1" t="s">
        <v>15</v>
      </c>
      <c r="C3588" s="6">
        <v>12500</v>
      </c>
      <c r="D3588" s="6">
        <v>7873.875</v>
      </c>
      <c r="E3588" s="6">
        <v>487.25</v>
      </c>
      <c r="F3588" s="6">
        <v>487.25</v>
      </c>
      <c r="G3588" s="7" t="s">
        <v>18</v>
      </c>
      <c r="H3588" s="1">
        <f t="shared" si="56"/>
        <v>0.62990999999999997</v>
      </c>
    </row>
    <row r="3589" spans="1:8" x14ac:dyDescent="0.25">
      <c r="A3589" s="1" t="s">
        <v>12</v>
      </c>
      <c r="B3589" s="1" t="s">
        <v>15</v>
      </c>
      <c r="C3589" s="6">
        <v>12500</v>
      </c>
      <c r="D3589" s="6">
        <v>7873.875</v>
      </c>
      <c r="E3589" s="6">
        <v>2062.25</v>
      </c>
      <c r="F3589" s="6">
        <v>487.25</v>
      </c>
      <c r="G3589" s="7" t="s">
        <v>18</v>
      </c>
      <c r="H3589" s="1">
        <f t="shared" si="56"/>
        <v>0.62990999999999997</v>
      </c>
    </row>
    <row r="3590" spans="1:8" x14ac:dyDescent="0.25">
      <c r="A3590" s="1" t="s">
        <v>12</v>
      </c>
      <c r="B3590" s="1" t="s">
        <v>15</v>
      </c>
      <c r="C3590" s="6">
        <v>12500</v>
      </c>
      <c r="D3590" s="6">
        <v>10395.9</v>
      </c>
      <c r="E3590" s="6">
        <v>3256.9</v>
      </c>
      <c r="F3590" s="6">
        <v>1681.9</v>
      </c>
      <c r="G3590" s="7" t="s">
        <v>18</v>
      </c>
      <c r="H3590" s="1">
        <f t="shared" si="56"/>
        <v>0.83167199999999997</v>
      </c>
    </row>
    <row r="3591" spans="1:8" x14ac:dyDescent="0.25">
      <c r="A3591" s="1" t="s">
        <v>12</v>
      </c>
      <c r="B3591" s="1" t="s">
        <v>15</v>
      </c>
      <c r="C3591" s="6">
        <v>12500</v>
      </c>
      <c r="D3591" s="6">
        <v>6769.5</v>
      </c>
      <c r="E3591" s="6">
        <v>487.25</v>
      </c>
      <c r="F3591" s="6">
        <v>0</v>
      </c>
      <c r="G3591" s="7" t="s">
        <v>18</v>
      </c>
      <c r="H3591" s="1">
        <f t="shared" si="56"/>
        <v>0.54156000000000004</v>
      </c>
    </row>
    <row r="3592" spans="1:8" x14ac:dyDescent="0.25">
      <c r="A3592" s="1" t="s">
        <v>12</v>
      </c>
      <c r="B3592" s="1" t="s">
        <v>15</v>
      </c>
      <c r="C3592" s="6">
        <v>17500</v>
      </c>
      <c r="D3592" s="6">
        <v>0</v>
      </c>
      <c r="E3592" s="6">
        <v>0</v>
      </c>
      <c r="F3592" s="6">
        <v>0</v>
      </c>
      <c r="G3592" s="7" t="s">
        <v>18</v>
      </c>
      <c r="H3592" s="1">
        <f t="shared" si="56"/>
        <v>0</v>
      </c>
    </row>
    <row r="3593" spans="1:8" x14ac:dyDescent="0.25">
      <c r="A3593" s="1" t="s">
        <v>12</v>
      </c>
      <c r="B3593" s="1" t="s">
        <v>15</v>
      </c>
      <c r="C3593" s="6">
        <v>17500</v>
      </c>
      <c r="D3593" s="6">
        <v>17493.28</v>
      </c>
      <c r="E3593" s="6">
        <v>4038.42</v>
      </c>
      <c r="F3593" s="6">
        <v>909.57</v>
      </c>
      <c r="G3593" s="7" t="s">
        <v>18</v>
      </c>
      <c r="H3593" s="1">
        <f t="shared" si="56"/>
        <v>0.99961599999999995</v>
      </c>
    </row>
    <row r="3594" spans="1:8" x14ac:dyDescent="0.25">
      <c r="A3594" s="1" t="s">
        <v>12</v>
      </c>
      <c r="B3594" s="1" t="s">
        <v>15</v>
      </c>
      <c r="C3594" s="6">
        <v>17500</v>
      </c>
      <c r="D3594" s="6">
        <v>17471.740000000002</v>
      </c>
      <c r="E3594" s="6">
        <v>3593.07</v>
      </c>
      <c r="F3594" s="6">
        <v>797.07</v>
      </c>
      <c r="G3594" s="7" t="s">
        <v>18</v>
      </c>
      <c r="H3594" s="1">
        <f t="shared" si="56"/>
        <v>0.99838514285714297</v>
      </c>
    </row>
    <row r="3595" spans="1:8" x14ac:dyDescent="0.25">
      <c r="A3595" s="1" t="s">
        <v>12</v>
      </c>
      <c r="B3595" s="1" t="s">
        <v>15</v>
      </c>
      <c r="C3595" s="6">
        <v>17500</v>
      </c>
      <c r="D3595" s="6">
        <v>13404.05</v>
      </c>
      <c r="E3595" s="6">
        <v>2614.29</v>
      </c>
      <c r="F3595" s="6">
        <v>752.07</v>
      </c>
      <c r="G3595" s="7" t="s">
        <v>18</v>
      </c>
      <c r="H3595" s="1">
        <f t="shared" si="56"/>
        <v>0.76594571428571423</v>
      </c>
    </row>
    <row r="3596" spans="1:8" x14ac:dyDescent="0.25">
      <c r="A3596" s="1" t="s">
        <v>12</v>
      </c>
      <c r="B3596" s="1" t="s">
        <v>15</v>
      </c>
      <c r="C3596" s="6">
        <v>17500</v>
      </c>
      <c r="D3596" s="6">
        <v>17486.28</v>
      </c>
      <c r="E3596" s="6">
        <v>3328.17</v>
      </c>
      <c r="F3596" s="6">
        <v>789.57</v>
      </c>
      <c r="G3596" s="7" t="s">
        <v>18</v>
      </c>
      <c r="H3596" s="1">
        <f t="shared" si="56"/>
        <v>0.99921599999999988</v>
      </c>
    </row>
    <row r="3597" spans="1:8" x14ac:dyDescent="0.25">
      <c r="A3597" s="1" t="s">
        <v>12</v>
      </c>
      <c r="B3597" s="1" t="s">
        <v>15</v>
      </c>
      <c r="C3597" s="6">
        <v>17500</v>
      </c>
      <c r="D3597" s="6">
        <v>17450.97</v>
      </c>
      <c r="E3597" s="6">
        <v>8145.47</v>
      </c>
      <c r="F3597" s="6">
        <v>1710.17</v>
      </c>
      <c r="G3597" s="7" t="s">
        <v>18</v>
      </c>
      <c r="H3597" s="1">
        <f t="shared" si="56"/>
        <v>0.99719828571428581</v>
      </c>
    </row>
    <row r="3598" spans="1:8" x14ac:dyDescent="0.25">
      <c r="A3598" s="1" t="s">
        <v>12</v>
      </c>
      <c r="B3598" s="1" t="s">
        <v>15</v>
      </c>
      <c r="C3598" s="6">
        <v>17500</v>
      </c>
      <c r="D3598" s="6">
        <v>0</v>
      </c>
      <c r="E3598" s="6">
        <v>0</v>
      </c>
      <c r="F3598" s="6">
        <v>0</v>
      </c>
      <c r="G3598" s="7" t="s">
        <v>18</v>
      </c>
      <c r="H3598" s="1">
        <f t="shared" si="56"/>
        <v>0</v>
      </c>
    </row>
    <row r="3599" spans="1:8" x14ac:dyDescent="0.25">
      <c r="A3599" s="1" t="s">
        <v>12</v>
      </c>
      <c r="B3599" s="1" t="s">
        <v>15</v>
      </c>
      <c r="C3599" s="6">
        <v>17500</v>
      </c>
      <c r="D3599" s="6">
        <v>17493.75</v>
      </c>
      <c r="E3599" s="6">
        <v>5985.63</v>
      </c>
      <c r="F3599" s="6">
        <v>1428.57</v>
      </c>
      <c r="G3599" s="7" t="s">
        <v>18</v>
      </c>
      <c r="H3599" s="1">
        <f t="shared" si="56"/>
        <v>0.99964285714285717</v>
      </c>
    </row>
    <row r="3600" spans="1:8" x14ac:dyDescent="0.25">
      <c r="A3600" s="1" t="s">
        <v>12</v>
      </c>
      <c r="B3600" s="1" t="s">
        <v>15</v>
      </c>
      <c r="C3600" s="6">
        <v>17500</v>
      </c>
      <c r="D3600" s="6">
        <v>17473.32</v>
      </c>
      <c r="E3600" s="6">
        <v>4174</v>
      </c>
      <c r="F3600" s="6">
        <v>576.49</v>
      </c>
      <c r="G3600" s="7" t="s">
        <v>18</v>
      </c>
      <c r="H3600" s="1">
        <f t="shared" si="56"/>
        <v>0.99847542857142857</v>
      </c>
    </row>
    <row r="3601" spans="1:8" x14ac:dyDescent="0.25">
      <c r="A3601" s="1" t="s">
        <v>12</v>
      </c>
      <c r="B3601" s="1" t="s">
        <v>15</v>
      </c>
      <c r="C3601" s="6">
        <v>37500</v>
      </c>
      <c r="D3601" s="6">
        <v>37466.4375</v>
      </c>
      <c r="E3601" s="6">
        <v>3818.1</v>
      </c>
      <c r="F3601" s="6">
        <v>3818.1</v>
      </c>
      <c r="G3601" s="7" t="s">
        <v>18</v>
      </c>
      <c r="H3601" s="1">
        <f t="shared" si="56"/>
        <v>0.99910500000000002</v>
      </c>
    </row>
    <row r="3602" spans="1:8" x14ac:dyDescent="0.25">
      <c r="A3602" s="1" t="s">
        <v>12</v>
      </c>
      <c r="B3602" s="1" t="s">
        <v>15</v>
      </c>
      <c r="C3602" s="6">
        <v>17500</v>
      </c>
      <c r="D3602" s="6">
        <v>0</v>
      </c>
      <c r="E3602" s="6">
        <v>0</v>
      </c>
      <c r="F3602" s="6">
        <v>0</v>
      </c>
      <c r="G3602" s="7" t="s">
        <v>18</v>
      </c>
      <c r="H3602" s="1">
        <f t="shared" si="56"/>
        <v>0</v>
      </c>
    </row>
    <row r="3603" spans="1:8" x14ac:dyDescent="0.25">
      <c r="A3603" s="1" t="s">
        <v>12</v>
      </c>
      <c r="B3603" s="1" t="s">
        <v>15</v>
      </c>
      <c r="C3603" s="6">
        <v>17500</v>
      </c>
      <c r="D3603" s="6">
        <v>17474.349999999999</v>
      </c>
      <c r="E3603" s="6">
        <v>1573.9</v>
      </c>
      <c r="F3603" s="6">
        <v>773.32</v>
      </c>
      <c r="G3603" s="7" t="s">
        <v>18</v>
      </c>
      <c r="H3603" s="1">
        <f t="shared" si="56"/>
        <v>0.9985342857142856</v>
      </c>
    </row>
    <row r="3604" spans="1:8" x14ac:dyDescent="0.25">
      <c r="A3604" s="1" t="s">
        <v>12</v>
      </c>
      <c r="B3604" s="1" t="s">
        <v>15</v>
      </c>
      <c r="C3604" s="6">
        <v>17500</v>
      </c>
      <c r="D3604" s="6">
        <v>17499.97</v>
      </c>
      <c r="E3604" s="6">
        <v>2257.67</v>
      </c>
      <c r="F3604" s="6">
        <v>802.07</v>
      </c>
      <c r="G3604" s="7" t="s">
        <v>18</v>
      </c>
      <c r="H3604" s="1">
        <f t="shared" si="56"/>
        <v>0.99999828571428573</v>
      </c>
    </row>
    <row r="3605" spans="1:8" x14ac:dyDescent="0.25">
      <c r="A3605" s="1" t="s">
        <v>12</v>
      </c>
      <c r="B3605" s="1" t="s">
        <v>15</v>
      </c>
      <c r="C3605" s="6">
        <v>1250</v>
      </c>
      <c r="D3605" s="6">
        <v>0</v>
      </c>
      <c r="E3605" s="6">
        <v>0</v>
      </c>
      <c r="F3605" s="6">
        <v>0</v>
      </c>
      <c r="G3605" s="7" t="s">
        <v>18</v>
      </c>
      <c r="H3605" s="1">
        <f t="shared" si="56"/>
        <v>0</v>
      </c>
    </row>
    <row r="3606" spans="1:8" x14ac:dyDescent="0.25">
      <c r="A3606" s="1" t="s">
        <v>12</v>
      </c>
      <c r="B3606" s="1" t="s">
        <v>15</v>
      </c>
      <c r="C3606" s="6">
        <v>1250</v>
      </c>
      <c r="D3606" s="6">
        <v>0</v>
      </c>
      <c r="E3606" s="6">
        <v>0</v>
      </c>
      <c r="F3606" s="6">
        <v>0</v>
      </c>
      <c r="G3606" s="7" t="s">
        <v>18</v>
      </c>
      <c r="H3606" s="1">
        <f t="shared" si="56"/>
        <v>0</v>
      </c>
    </row>
    <row r="3607" spans="1:8" x14ac:dyDescent="0.25">
      <c r="A3607" s="1" t="s">
        <v>12</v>
      </c>
      <c r="B3607" s="1" t="s">
        <v>15</v>
      </c>
      <c r="C3607" s="6">
        <v>1250</v>
      </c>
      <c r="D3607" s="6">
        <v>0</v>
      </c>
      <c r="E3607" s="6">
        <v>0</v>
      </c>
      <c r="F3607" s="6">
        <v>0</v>
      </c>
      <c r="G3607" s="7" t="s">
        <v>18</v>
      </c>
      <c r="H3607" s="1">
        <f t="shared" si="56"/>
        <v>0</v>
      </c>
    </row>
    <row r="3608" spans="1:8" x14ac:dyDescent="0.25">
      <c r="A3608" s="1" t="s">
        <v>12</v>
      </c>
      <c r="B3608" s="1" t="s">
        <v>15</v>
      </c>
      <c r="C3608" s="6">
        <v>1250</v>
      </c>
      <c r="D3608" s="6">
        <v>0</v>
      </c>
      <c r="E3608" s="6">
        <v>0</v>
      </c>
      <c r="F3608" s="6">
        <v>0</v>
      </c>
      <c r="G3608" s="7" t="s">
        <v>18</v>
      </c>
      <c r="H3608" s="1">
        <f t="shared" si="56"/>
        <v>0</v>
      </c>
    </row>
    <row r="3609" spans="1:8" x14ac:dyDescent="0.25">
      <c r="A3609" s="1" t="s">
        <v>12</v>
      </c>
      <c r="B3609" s="1" t="s">
        <v>15</v>
      </c>
      <c r="C3609" s="6">
        <v>1250</v>
      </c>
      <c r="D3609" s="6">
        <v>0</v>
      </c>
      <c r="E3609" s="6">
        <v>0</v>
      </c>
      <c r="F3609" s="6">
        <v>0</v>
      </c>
      <c r="G3609" s="7" t="s">
        <v>18</v>
      </c>
      <c r="H3609" s="1">
        <f t="shared" si="56"/>
        <v>0</v>
      </c>
    </row>
    <row r="3610" spans="1:8" x14ac:dyDescent="0.25">
      <c r="A3610" s="1" t="s">
        <v>12</v>
      </c>
      <c r="B3610" s="1" t="s">
        <v>15</v>
      </c>
      <c r="C3610" s="6">
        <v>107400</v>
      </c>
      <c r="D3610" s="6">
        <v>6122.4849999999997</v>
      </c>
      <c r="E3610" s="6">
        <v>984.98500000000001</v>
      </c>
      <c r="F3610" s="6">
        <v>420.5625</v>
      </c>
      <c r="G3610" s="7" t="s">
        <v>18</v>
      </c>
      <c r="H3610" s="1">
        <f t="shared" ref="H3610:H3673" si="57">IF(OR(ISNA($D3610),ISNA($C3610),$C3610=0),0,$D3610/$C3610)</f>
        <v>5.700637802607076E-2</v>
      </c>
    </row>
    <row r="3611" spans="1:8" x14ac:dyDescent="0.25">
      <c r="A3611" s="1" t="s">
        <v>12</v>
      </c>
      <c r="B3611" s="1" t="s">
        <v>15</v>
      </c>
      <c r="C3611" s="6">
        <v>37500</v>
      </c>
      <c r="D3611" s="6">
        <v>0</v>
      </c>
      <c r="E3611" s="6">
        <v>0</v>
      </c>
      <c r="F3611" s="6">
        <v>0</v>
      </c>
      <c r="G3611" s="7" t="s">
        <v>18</v>
      </c>
      <c r="H3611" s="1">
        <f t="shared" si="57"/>
        <v>0</v>
      </c>
    </row>
    <row r="3612" spans="1:8" x14ac:dyDescent="0.25">
      <c r="A3612" s="1" t="s">
        <v>12</v>
      </c>
      <c r="B3612" s="1" t="s">
        <v>15</v>
      </c>
      <c r="C3612" s="6">
        <v>10000</v>
      </c>
      <c r="D3612" s="6">
        <v>5263.4250000000002</v>
      </c>
      <c r="E3612" s="6">
        <v>1663.425</v>
      </c>
      <c r="F3612" s="6">
        <v>88.424999999999997</v>
      </c>
      <c r="G3612" s="7" t="s">
        <v>18</v>
      </c>
      <c r="H3612" s="1">
        <f t="shared" si="57"/>
        <v>0.52634250000000005</v>
      </c>
    </row>
    <row r="3613" spans="1:8" x14ac:dyDescent="0.25">
      <c r="A3613" s="1" t="s">
        <v>12</v>
      </c>
      <c r="B3613" s="1" t="s">
        <v>15</v>
      </c>
      <c r="C3613" s="6">
        <v>12500</v>
      </c>
      <c r="D3613" s="6">
        <v>0</v>
      </c>
      <c r="E3613" s="6">
        <v>0</v>
      </c>
      <c r="F3613" s="6">
        <v>0</v>
      </c>
      <c r="G3613" s="7" t="s">
        <v>18</v>
      </c>
      <c r="H3613" s="1">
        <f t="shared" si="57"/>
        <v>0</v>
      </c>
    </row>
    <row r="3614" spans="1:8" x14ac:dyDescent="0.25">
      <c r="A3614" s="1" t="s">
        <v>12</v>
      </c>
      <c r="B3614" s="1" t="s">
        <v>15</v>
      </c>
      <c r="C3614" s="6">
        <v>12500</v>
      </c>
      <c r="D3614" s="6">
        <v>0</v>
      </c>
      <c r="E3614" s="6">
        <v>0</v>
      </c>
      <c r="F3614" s="6">
        <v>0</v>
      </c>
      <c r="G3614" s="7" t="s">
        <v>18</v>
      </c>
      <c r="H3614" s="1">
        <f t="shared" si="57"/>
        <v>0</v>
      </c>
    </row>
    <row r="3615" spans="1:8" x14ac:dyDescent="0.25">
      <c r="A3615" s="1" t="s">
        <v>12</v>
      </c>
      <c r="B3615" s="1" t="s">
        <v>15</v>
      </c>
      <c r="C3615" s="6">
        <v>12500</v>
      </c>
      <c r="D3615" s="6">
        <v>0</v>
      </c>
      <c r="E3615" s="6">
        <v>0</v>
      </c>
      <c r="F3615" s="6">
        <v>0</v>
      </c>
      <c r="G3615" s="7" t="s">
        <v>18</v>
      </c>
      <c r="H3615" s="1">
        <f t="shared" si="57"/>
        <v>0</v>
      </c>
    </row>
    <row r="3616" spans="1:8" x14ac:dyDescent="0.25">
      <c r="A3616" s="1" t="s">
        <v>12</v>
      </c>
      <c r="B3616" s="1" t="s">
        <v>15</v>
      </c>
      <c r="C3616" s="6">
        <v>12500</v>
      </c>
      <c r="D3616" s="6">
        <v>0</v>
      </c>
      <c r="E3616" s="6">
        <v>0</v>
      </c>
      <c r="F3616" s="6">
        <v>0</v>
      </c>
      <c r="G3616" s="7" t="s">
        <v>18</v>
      </c>
      <c r="H3616" s="1">
        <f t="shared" si="57"/>
        <v>0</v>
      </c>
    </row>
    <row r="3617" spans="1:8" x14ac:dyDescent="0.25">
      <c r="A3617" s="1" t="s">
        <v>12</v>
      </c>
      <c r="B3617" s="1" t="s">
        <v>15</v>
      </c>
      <c r="C3617" s="6">
        <v>25000</v>
      </c>
      <c r="D3617" s="6">
        <v>24996.837500000001</v>
      </c>
      <c r="E3617" s="6">
        <v>21857.75</v>
      </c>
      <c r="F3617" s="6">
        <v>9257.75</v>
      </c>
      <c r="G3617" s="7" t="s">
        <v>18</v>
      </c>
      <c r="H3617" s="1">
        <f t="shared" si="57"/>
        <v>0.99987350000000008</v>
      </c>
    </row>
    <row r="3618" spans="1:8" x14ac:dyDescent="0.25">
      <c r="A3618" s="1" t="s">
        <v>12</v>
      </c>
      <c r="B3618" s="1" t="s">
        <v>15</v>
      </c>
      <c r="C3618" s="6">
        <v>25000</v>
      </c>
      <c r="D3618" s="6">
        <v>24970.587500000001</v>
      </c>
      <c r="E3618" s="6">
        <v>14209.25</v>
      </c>
      <c r="F3618" s="6">
        <v>6334.25</v>
      </c>
      <c r="G3618" s="7" t="s">
        <v>18</v>
      </c>
      <c r="H3618" s="1">
        <f t="shared" si="57"/>
        <v>0.99882350000000009</v>
      </c>
    </row>
    <row r="3619" spans="1:8" x14ac:dyDescent="0.25">
      <c r="A3619" s="1" t="s">
        <v>12</v>
      </c>
      <c r="B3619" s="1" t="s">
        <v>15</v>
      </c>
      <c r="C3619" s="6">
        <v>25000</v>
      </c>
      <c r="D3619" s="6">
        <v>24979.3125</v>
      </c>
      <c r="E3619" s="6">
        <v>17733.25</v>
      </c>
      <c r="F3619" s="6">
        <v>8283.25</v>
      </c>
      <c r="G3619" s="7" t="s">
        <v>18</v>
      </c>
      <c r="H3619" s="1">
        <f t="shared" si="57"/>
        <v>0.99917250000000002</v>
      </c>
    </row>
    <row r="3620" spans="1:8" x14ac:dyDescent="0.25">
      <c r="A3620" s="1" t="s">
        <v>12</v>
      </c>
      <c r="B3620" s="1" t="s">
        <v>15</v>
      </c>
      <c r="C3620" s="6">
        <v>12500</v>
      </c>
      <c r="D3620" s="6">
        <v>0</v>
      </c>
      <c r="E3620" s="6">
        <v>0</v>
      </c>
      <c r="F3620" s="6">
        <v>0</v>
      </c>
      <c r="G3620" s="7" t="s">
        <v>18</v>
      </c>
      <c r="H3620" s="1">
        <f t="shared" si="57"/>
        <v>0</v>
      </c>
    </row>
    <row r="3621" spans="1:8" x14ac:dyDescent="0.25">
      <c r="A3621" s="1" t="s">
        <v>12</v>
      </c>
      <c r="B3621" s="1" t="s">
        <v>15</v>
      </c>
      <c r="C3621" s="6">
        <v>12500</v>
      </c>
      <c r="D3621" s="6">
        <v>0</v>
      </c>
      <c r="E3621" s="6">
        <v>0</v>
      </c>
      <c r="F3621" s="6">
        <v>0</v>
      </c>
      <c r="G3621" s="7" t="s">
        <v>18</v>
      </c>
      <c r="H3621" s="1">
        <f t="shared" si="57"/>
        <v>0</v>
      </c>
    </row>
    <row r="3622" spans="1:8" x14ac:dyDescent="0.25">
      <c r="A3622" s="1" t="s">
        <v>12</v>
      </c>
      <c r="B3622" s="1" t="s">
        <v>15</v>
      </c>
      <c r="C3622" s="6">
        <v>25000</v>
      </c>
      <c r="D3622" s="6">
        <v>24661.875</v>
      </c>
      <c r="E3622" s="6">
        <v>7048</v>
      </c>
      <c r="F3622" s="6">
        <v>3898</v>
      </c>
      <c r="G3622" s="7" t="s">
        <v>18</v>
      </c>
      <c r="H3622" s="1">
        <f t="shared" si="57"/>
        <v>0.98647499999999999</v>
      </c>
    </row>
    <row r="3623" spans="1:8" x14ac:dyDescent="0.25">
      <c r="A3623" s="1" t="s">
        <v>12</v>
      </c>
      <c r="B3623" s="1" t="s">
        <v>15</v>
      </c>
      <c r="C3623" s="6">
        <v>12500</v>
      </c>
      <c r="D3623" s="6">
        <v>0</v>
      </c>
      <c r="E3623" s="6">
        <v>0</v>
      </c>
      <c r="F3623" s="6">
        <v>0</v>
      </c>
      <c r="G3623" s="7" t="s">
        <v>18</v>
      </c>
      <c r="H3623" s="1">
        <f t="shared" si="57"/>
        <v>0</v>
      </c>
    </row>
    <row r="3624" spans="1:8" x14ac:dyDescent="0.25">
      <c r="A3624" s="1" t="s">
        <v>12</v>
      </c>
      <c r="B3624" s="1" t="s">
        <v>15</v>
      </c>
      <c r="C3624" s="6">
        <v>12500</v>
      </c>
      <c r="D3624" s="6">
        <v>0</v>
      </c>
      <c r="E3624" s="6">
        <v>0</v>
      </c>
      <c r="F3624" s="6">
        <v>0</v>
      </c>
      <c r="G3624" s="7" t="s">
        <v>18</v>
      </c>
      <c r="H3624" s="1">
        <f t="shared" si="57"/>
        <v>0</v>
      </c>
    </row>
    <row r="3625" spans="1:8" x14ac:dyDescent="0.25">
      <c r="A3625" s="1" t="s">
        <v>12</v>
      </c>
      <c r="B3625" s="1" t="s">
        <v>15</v>
      </c>
      <c r="C3625" s="6">
        <v>12500</v>
      </c>
      <c r="D3625" s="6">
        <v>0</v>
      </c>
      <c r="E3625" s="6">
        <v>0</v>
      </c>
      <c r="F3625" s="6">
        <v>0</v>
      </c>
      <c r="G3625" s="7" t="s">
        <v>18</v>
      </c>
      <c r="H3625" s="1">
        <f t="shared" si="57"/>
        <v>0</v>
      </c>
    </row>
    <row r="3626" spans="1:8" x14ac:dyDescent="0.25">
      <c r="A3626" s="1" t="s">
        <v>12</v>
      </c>
      <c r="B3626" s="1" t="s">
        <v>15</v>
      </c>
      <c r="C3626" s="6">
        <v>107400</v>
      </c>
      <c r="D3626" s="6">
        <v>12069.2125</v>
      </c>
      <c r="E3626" s="6">
        <v>0</v>
      </c>
      <c r="F3626" s="6">
        <v>0</v>
      </c>
      <c r="G3626" s="7" t="s">
        <v>18</v>
      </c>
      <c r="H3626" s="1">
        <f t="shared" si="57"/>
        <v>0.11237628026070763</v>
      </c>
    </row>
    <row r="3627" spans="1:8" x14ac:dyDescent="0.25">
      <c r="A3627" s="1" t="s">
        <v>12</v>
      </c>
      <c r="B3627" s="1" t="s">
        <v>15</v>
      </c>
      <c r="C3627" s="6">
        <v>12500</v>
      </c>
      <c r="D3627" s="6">
        <v>0</v>
      </c>
      <c r="E3627" s="6">
        <v>0</v>
      </c>
      <c r="F3627" s="6">
        <v>0</v>
      </c>
      <c r="G3627" s="7" t="s">
        <v>18</v>
      </c>
      <c r="H3627" s="1">
        <f t="shared" si="57"/>
        <v>0</v>
      </c>
    </row>
    <row r="3628" spans="1:8" x14ac:dyDescent="0.25">
      <c r="A3628" s="1" t="s">
        <v>12</v>
      </c>
      <c r="B3628" s="1" t="s">
        <v>15</v>
      </c>
      <c r="C3628" s="6">
        <v>12500</v>
      </c>
      <c r="D3628" s="6">
        <v>0</v>
      </c>
      <c r="E3628" s="6">
        <v>0</v>
      </c>
      <c r="F3628" s="6">
        <v>0</v>
      </c>
      <c r="G3628" s="7" t="s">
        <v>18</v>
      </c>
      <c r="H3628" s="1">
        <f t="shared" si="57"/>
        <v>0</v>
      </c>
    </row>
    <row r="3629" spans="1:8" x14ac:dyDescent="0.25">
      <c r="A3629" s="1" t="s">
        <v>12</v>
      </c>
      <c r="B3629" s="1" t="s">
        <v>15</v>
      </c>
      <c r="C3629" s="6">
        <v>12500</v>
      </c>
      <c r="D3629" s="6">
        <v>0</v>
      </c>
      <c r="E3629" s="6">
        <v>0</v>
      </c>
      <c r="F3629" s="6">
        <v>0</v>
      </c>
      <c r="G3629" s="7" t="s">
        <v>18</v>
      </c>
      <c r="H3629" s="1">
        <f t="shared" si="57"/>
        <v>0</v>
      </c>
    </row>
    <row r="3630" spans="1:8" x14ac:dyDescent="0.25">
      <c r="A3630" s="1" t="s">
        <v>12</v>
      </c>
      <c r="B3630" s="1" t="s">
        <v>15</v>
      </c>
      <c r="C3630" s="6">
        <v>11152.5</v>
      </c>
      <c r="D3630" s="6">
        <v>0</v>
      </c>
      <c r="E3630" s="6">
        <v>0</v>
      </c>
      <c r="F3630" s="6">
        <v>0</v>
      </c>
      <c r="G3630" s="7" t="s">
        <v>18</v>
      </c>
      <c r="H3630" s="1">
        <f t="shared" si="57"/>
        <v>0</v>
      </c>
    </row>
    <row r="3631" spans="1:8" x14ac:dyDescent="0.25">
      <c r="A3631" s="1" t="s">
        <v>12</v>
      </c>
      <c r="B3631" s="1" t="s">
        <v>15</v>
      </c>
      <c r="C3631" s="6">
        <v>25000</v>
      </c>
      <c r="D3631" s="6">
        <v>0</v>
      </c>
      <c r="E3631" s="6">
        <v>0</v>
      </c>
      <c r="F3631" s="6">
        <v>0</v>
      </c>
      <c r="G3631" s="7" t="s">
        <v>18</v>
      </c>
      <c r="H3631" s="1">
        <f t="shared" si="57"/>
        <v>0</v>
      </c>
    </row>
    <row r="3632" spans="1:8" x14ac:dyDescent="0.25">
      <c r="A3632" s="1" t="s">
        <v>12</v>
      </c>
      <c r="B3632" s="1" t="s">
        <v>15</v>
      </c>
      <c r="C3632" s="6">
        <v>37500</v>
      </c>
      <c r="D3632" s="6">
        <v>0</v>
      </c>
      <c r="E3632" s="6">
        <v>0</v>
      </c>
      <c r="F3632" s="6">
        <v>0</v>
      </c>
      <c r="G3632" s="7" t="s">
        <v>18</v>
      </c>
      <c r="H3632" s="1">
        <f t="shared" si="57"/>
        <v>0</v>
      </c>
    </row>
    <row r="3633" spans="1:8" x14ac:dyDescent="0.25">
      <c r="A3633" s="1" t="s">
        <v>12</v>
      </c>
      <c r="B3633" s="1" t="s">
        <v>15</v>
      </c>
      <c r="C3633" s="6">
        <v>37500</v>
      </c>
      <c r="D3633" s="6">
        <v>0</v>
      </c>
      <c r="E3633" s="6">
        <v>0</v>
      </c>
      <c r="F3633" s="6">
        <v>0</v>
      </c>
      <c r="G3633" s="7" t="s">
        <v>18</v>
      </c>
      <c r="H3633" s="1">
        <f t="shared" si="57"/>
        <v>0</v>
      </c>
    </row>
    <row r="3634" spans="1:8" x14ac:dyDescent="0.25">
      <c r="A3634" s="1" t="s">
        <v>12</v>
      </c>
      <c r="B3634" s="1" t="s">
        <v>15</v>
      </c>
      <c r="C3634" s="6">
        <v>1250</v>
      </c>
      <c r="D3634" s="6">
        <v>0</v>
      </c>
      <c r="E3634" s="6">
        <v>0</v>
      </c>
      <c r="F3634" s="6">
        <v>0</v>
      </c>
      <c r="G3634" s="7" t="s">
        <v>18</v>
      </c>
      <c r="H3634" s="1">
        <f t="shared" si="57"/>
        <v>0</v>
      </c>
    </row>
    <row r="3635" spans="1:8" x14ac:dyDescent="0.25">
      <c r="A3635" s="1" t="s">
        <v>12</v>
      </c>
      <c r="B3635" s="1" t="s">
        <v>15</v>
      </c>
      <c r="C3635" s="6">
        <v>25000</v>
      </c>
      <c r="D3635" s="6">
        <v>0</v>
      </c>
      <c r="E3635" s="6">
        <v>0</v>
      </c>
      <c r="F3635" s="6">
        <v>0</v>
      </c>
      <c r="G3635" s="7" t="s">
        <v>18</v>
      </c>
      <c r="H3635" s="1">
        <f t="shared" si="57"/>
        <v>0</v>
      </c>
    </row>
    <row r="3636" spans="1:8" x14ac:dyDescent="0.25">
      <c r="A3636" s="1" t="s">
        <v>12</v>
      </c>
      <c r="B3636" s="1" t="s">
        <v>15</v>
      </c>
      <c r="C3636" s="6">
        <v>2500</v>
      </c>
      <c r="D3636" s="6">
        <v>1712.5</v>
      </c>
      <c r="E3636" s="6">
        <v>0</v>
      </c>
      <c r="F3636" s="6">
        <v>0</v>
      </c>
      <c r="G3636" s="7" t="s">
        <v>18</v>
      </c>
      <c r="H3636" s="1">
        <f t="shared" si="57"/>
        <v>0.68500000000000005</v>
      </c>
    </row>
    <row r="3637" spans="1:8" x14ac:dyDescent="0.25">
      <c r="A3637" s="1" t="s">
        <v>12</v>
      </c>
      <c r="B3637" s="1" t="s">
        <v>15</v>
      </c>
      <c r="C3637" s="6">
        <v>20000</v>
      </c>
      <c r="D3637" s="6">
        <v>9586.375</v>
      </c>
      <c r="E3637" s="6">
        <v>929.375</v>
      </c>
      <c r="F3637" s="6">
        <v>929.375</v>
      </c>
      <c r="G3637" s="7" t="s">
        <v>18</v>
      </c>
      <c r="H3637" s="1">
        <f t="shared" si="57"/>
        <v>0.47931875000000002</v>
      </c>
    </row>
    <row r="3638" spans="1:8" x14ac:dyDescent="0.25">
      <c r="A3638" s="1" t="s">
        <v>12</v>
      </c>
      <c r="B3638" s="1" t="s">
        <v>15</v>
      </c>
      <c r="C3638" s="6">
        <v>80000</v>
      </c>
      <c r="D3638" s="6">
        <v>22940.3</v>
      </c>
      <c r="E3638" s="6">
        <v>0</v>
      </c>
      <c r="F3638" s="6">
        <v>0</v>
      </c>
      <c r="G3638" s="7" t="s">
        <v>18</v>
      </c>
      <c r="H3638" s="1">
        <f t="shared" si="57"/>
        <v>0.28675374999999997</v>
      </c>
    </row>
    <row r="3639" spans="1:8" x14ac:dyDescent="0.25">
      <c r="A3639" s="1" t="s">
        <v>12</v>
      </c>
      <c r="B3639" s="1" t="s">
        <v>15</v>
      </c>
      <c r="C3639" s="6">
        <v>20000</v>
      </c>
      <c r="D3639" s="6">
        <v>9409.5249999999996</v>
      </c>
      <c r="E3639" s="6">
        <v>2384.5250000000001</v>
      </c>
      <c r="F3639" s="6">
        <v>752.52499999999998</v>
      </c>
      <c r="G3639" s="7" t="s">
        <v>18</v>
      </c>
      <c r="H3639" s="1">
        <f t="shared" si="57"/>
        <v>0.47047624999999998</v>
      </c>
    </row>
    <row r="3640" spans="1:8" x14ac:dyDescent="0.25">
      <c r="A3640" s="1" t="s">
        <v>12</v>
      </c>
      <c r="B3640" s="1" t="s">
        <v>15</v>
      </c>
      <c r="C3640" s="6">
        <v>37500</v>
      </c>
      <c r="D3640" s="6">
        <v>11498.375</v>
      </c>
      <c r="E3640" s="6">
        <v>2703.875</v>
      </c>
      <c r="F3640" s="6">
        <v>1128.875</v>
      </c>
      <c r="G3640" s="7" t="s">
        <v>18</v>
      </c>
      <c r="H3640" s="1">
        <f t="shared" si="57"/>
        <v>0.30662333333333336</v>
      </c>
    </row>
    <row r="3641" spans="1:8" x14ac:dyDescent="0.25">
      <c r="A3641" s="1" t="s">
        <v>12</v>
      </c>
      <c r="B3641" s="1" t="s">
        <v>15</v>
      </c>
      <c r="C3641" s="6">
        <v>20000</v>
      </c>
      <c r="D3641" s="6">
        <v>7962.3</v>
      </c>
      <c r="E3641" s="6">
        <v>2592.8000000000002</v>
      </c>
      <c r="F3641" s="6">
        <v>1017.8</v>
      </c>
      <c r="G3641" s="7" t="s">
        <v>18</v>
      </c>
      <c r="H3641" s="1">
        <f t="shared" si="57"/>
        <v>0.398115</v>
      </c>
    </row>
    <row r="3642" spans="1:8" x14ac:dyDescent="0.25">
      <c r="A3642" s="1" t="s">
        <v>12</v>
      </c>
      <c r="B3642" s="1" t="s">
        <v>15</v>
      </c>
      <c r="C3642" s="6">
        <v>25000</v>
      </c>
      <c r="D3642" s="6">
        <v>8320.8624999999993</v>
      </c>
      <c r="E3642" s="6">
        <v>487.25</v>
      </c>
      <c r="F3642" s="6">
        <v>487.25</v>
      </c>
      <c r="G3642" s="7" t="s">
        <v>18</v>
      </c>
      <c r="H3642" s="1">
        <f t="shared" si="57"/>
        <v>0.33283449999999998</v>
      </c>
    </row>
    <row r="3643" spans="1:8" x14ac:dyDescent="0.25">
      <c r="A3643" s="1" t="s">
        <v>12</v>
      </c>
      <c r="B3643" s="1" t="s">
        <v>15</v>
      </c>
      <c r="C3643" s="6">
        <v>25000</v>
      </c>
      <c r="D3643" s="6">
        <v>18406.224999999999</v>
      </c>
      <c r="E3643" s="6">
        <v>1106.2249999999999</v>
      </c>
      <c r="F3643" s="6">
        <v>1106.2249999999999</v>
      </c>
      <c r="G3643" s="7" t="s">
        <v>18</v>
      </c>
      <c r="H3643" s="1">
        <f t="shared" si="57"/>
        <v>0.73624899999999993</v>
      </c>
    </row>
    <row r="3644" spans="1:8" x14ac:dyDescent="0.25">
      <c r="A3644" s="1" t="s">
        <v>12</v>
      </c>
      <c r="B3644" s="1" t="s">
        <v>15</v>
      </c>
      <c r="C3644" s="6">
        <v>37500</v>
      </c>
      <c r="D3644" s="6">
        <v>0</v>
      </c>
      <c r="E3644" s="6">
        <v>0</v>
      </c>
      <c r="F3644" s="6">
        <v>0</v>
      </c>
      <c r="G3644" s="7" t="s">
        <v>18</v>
      </c>
      <c r="H3644" s="1">
        <f t="shared" si="57"/>
        <v>0</v>
      </c>
    </row>
    <row r="3645" spans="1:8" x14ac:dyDescent="0.25">
      <c r="A3645" s="1" t="s">
        <v>12</v>
      </c>
      <c r="B3645" s="1" t="s">
        <v>15</v>
      </c>
      <c r="C3645" s="6">
        <v>33617</v>
      </c>
      <c r="D3645" s="6">
        <v>0</v>
      </c>
      <c r="E3645" s="6">
        <v>0</v>
      </c>
      <c r="F3645" s="6">
        <v>0</v>
      </c>
      <c r="G3645" s="7" t="s">
        <v>18</v>
      </c>
      <c r="H3645" s="1">
        <f t="shared" si="57"/>
        <v>0</v>
      </c>
    </row>
    <row r="3646" spans="1:8" x14ac:dyDescent="0.25">
      <c r="A3646" s="1" t="s">
        <v>12</v>
      </c>
      <c r="B3646" s="1" t="s">
        <v>15</v>
      </c>
      <c r="C3646" s="6">
        <v>45333.25</v>
      </c>
      <c r="D3646" s="6">
        <v>7017.6724999999997</v>
      </c>
      <c r="E3646" s="6">
        <v>1591.1724999999999</v>
      </c>
      <c r="F3646" s="6">
        <v>1083.75</v>
      </c>
      <c r="G3646" s="7" t="s">
        <v>18</v>
      </c>
      <c r="H3646" s="1">
        <f t="shared" si="57"/>
        <v>0.15480188382699231</v>
      </c>
    </row>
    <row r="3647" spans="1:8" x14ac:dyDescent="0.25">
      <c r="A3647" s="1" t="s">
        <v>12</v>
      </c>
      <c r="B3647" s="1" t="s">
        <v>15</v>
      </c>
      <c r="C3647" s="6">
        <v>45333.25</v>
      </c>
      <c r="D3647" s="6">
        <v>7877.3474999999999</v>
      </c>
      <c r="E3647" s="6">
        <v>795.34749999999997</v>
      </c>
      <c r="F3647" s="6">
        <v>287.92500000000001</v>
      </c>
      <c r="G3647" s="7" t="s">
        <v>18</v>
      </c>
      <c r="H3647" s="1">
        <f t="shared" si="57"/>
        <v>0.17376533780392978</v>
      </c>
    </row>
    <row r="3648" spans="1:8" x14ac:dyDescent="0.25">
      <c r="A3648" s="1" t="s">
        <v>12</v>
      </c>
      <c r="B3648" s="1" t="s">
        <v>15</v>
      </c>
      <c r="C3648" s="6">
        <v>45333.25</v>
      </c>
      <c r="D3648" s="6">
        <v>13174.047500000001</v>
      </c>
      <c r="E3648" s="6">
        <v>2724.0475000000001</v>
      </c>
      <c r="F3648" s="6">
        <v>641.625</v>
      </c>
      <c r="G3648" s="7" t="s">
        <v>18</v>
      </c>
      <c r="H3648" s="1">
        <f t="shared" si="57"/>
        <v>0.29060452317007934</v>
      </c>
    </row>
    <row r="3649" spans="1:8" x14ac:dyDescent="0.25">
      <c r="A3649" s="1" t="s">
        <v>12</v>
      </c>
      <c r="B3649" s="1" t="s">
        <v>15</v>
      </c>
      <c r="C3649" s="6">
        <v>23805</v>
      </c>
      <c r="D3649" s="6">
        <v>23805</v>
      </c>
      <c r="E3649" s="6">
        <v>21286.435000000001</v>
      </c>
      <c r="F3649" s="6">
        <v>21286.435000000001</v>
      </c>
      <c r="G3649" s="7" t="s">
        <v>18</v>
      </c>
      <c r="H3649" s="1">
        <f t="shared" si="57"/>
        <v>1</v>
      </c>
    </row>
    <row r="3650" spans="1:8" x14ac:dyDescent="0.25">
      <c r="A3650" s="1" t="s">
        <v>12</v>
      </c>
      <c r="B3650" s="1" t="s">
        <v>15</v>
      </c>
      <c r="C3650" s="6">
        <v>23553.5</v>
      </c>
      <c r="D3650" s="6">
        <v>0</v>
      </c>
      <c r="E3650" s="6">
        <v>0</v>
      </c>
      <c r="F3650" s="6">
        <v>0</v>
      </c>
      <c r="G3650" s="7" t="s">
        <v>18</v>
      </c>
      <c r="H3650" s="1">
        <f t="shared" si="57"/>
        <v>0</v>
      </c>
    </row>
    <row r="3651" spans="1:8" x14ac:dyDescent="0.25">
      <c r="A3651" s="1" t="s">
        <v>12</v>
      </c>
      <c r="B3651" s="1" t="s">
        <v>15</v>
      </c>
      <c r="C3651" s="6">
        <v>7500</v>
      </c>
      <c r="D3651" s="6">
        <v>0</v>
      </c>
      <c r="E3651" s="6">
        <v>0</v>
      </c>
      <c r="F3651" s="6">
        <v>0</v>
      </c>
      <c r="G3651" s="7" t="s">
        <v>18</v>
      </c>
      <c r="H3651" s="1">
        <f t="shared" si="57"/>
        <v>0</v>
      </c>
    </row>
    <row r="3652" spans="1:8" x14ac:dyDescent="0.25">
      <c r="A3652" s="1" t="s">
        <v>12</v>
      </c>
      <c r="B3652" s="1" t="s">
        <v>15</v>
      </c>
      <c r="C3652" s="6">
        <v>7500</v>
      </c>
      <c r="D3652" s="6">
        <v>1888.5</v>
      </c>
      <c r="E3652" s="6">
        <v>1774.5</v>
      </c>
      <c r="F3652" s="6">
        <v>199.5</v>
      </c>
      <c r="G3652" s="7" t="s">
        <v>18</v>
      </c>
      <c r="H3652" s="1">
        <f t="shared" si="57"/>
        <v>0.25180000000000002</v>
      </c>
    </row>
    <row r="3653" spans="1:8" x14ac:dyDescent="0.25">
      <c r="A3653" s="1" t="s">
        <v>12</v>
      </c>
      <c r="B3653" s="1" t="s">
        <v>15</v>
      </c>
      <c r="C3653" s="6">
        <v>7500</v>
      </c>
      <c r="D3653" s="6">
        <v>3989.4225000000001</v>
      </c>
      <c r="E3653" s="6">
        <v>507.42250000000001</v>
      </c>
      <c r="F3653" s="6">
        <v>0</v>
      </c>
      <c r="G3653" s="7" t="s">
        <v>18</v>
      </c>
      <c r="H3653" s="1">
        <f t="shared" si="57"/>
        <v>0.53192300000000003</v>
      </c>
    </row>
    <row r="3654" spans="1:8" x14ac:dyDescent="0.25">
      <c r="A3654" s="1" t="s">
        <v>12</v>
      </c>
      <c r="B3654" s="1" t="s">
        <v>15</v>
      </c>
      <c r="C3654" s="6">
        <v>7500</v>
      </c>
      <c r="D3654" s="6">
        <v>0</v>
      </c>
      <c r="E3654" s="6">
        <v>0</v>
      </c>
      <c r="F3654" s="6">
        <v>0</v>
      </c>
      <c r="G3654" s="7" t="s">
        <v>18</v>
      </c>
      <c r="H3654" s="1">
        <f t="shared" si="57"/>
        <v>0</v>
      </c>
    </row>
    <row r="3655" spans="1:8" x14ac:dyDescent="0.25">
      <c r="A3655" s="1" t="s">
        <v>12</v>
      </c>
      <c r="B3655" s="1" t="s">
        <v>15</v>
      </c>
      <c r="C3655" s="6">
        <v>35000</v>
      </c>
      <c r="D3655" s="6">
        <v>0</v>
      </c>
      <c r="E3655" s="6">
        <v>0</v>
      </c>
      <c r="F3655" s="6">
        <v>0</v>
      </c>
      <c r="G3655" s="7" t="s">
        <v>18</v>
      </c>
      <c r="H3655" s="1">
        <f t="shared" si="57"/>
        <v>0</v>
      </c>
    </row>
    <row r="3656" spans="1:8" x14ac:dyDescent="0.25">
      <c r="A3656" s="1" t="s">
        <v>12</v>
      </c>
      <c r="B3656" s="1" t="s">
        <v>15</v>
      </c>
      <c r="C3656" s="6">
        <v>25000</v>
      </c>
      <c r="D3656" s="6">
        <v>14934.98</v>
      </c>
      <c r="E3656" s="6">
        <v>0</v>
      </c>
      <c r="F3656" s="6">
        <v>0</v>
      </c>
      <c r="G3656" s="7" t="s">
        <v>18</v>
      </c>
      <c r="H3656" s="1">
        <f t="shared" si="57"/>
        <v>0.59739920000000002</v>
      </c>
    </row>
    <row r="3657" spans="1:8" x14ac:dyDescent="0.25">
      <c r="A3657" s="1" t="s">
        <v>12</v>
      </c>
      <c r="B3657" s="1" t="s">
        <v>15</v>
      </c>
      <c r="C3657" s="6">
        <v>25000</v>
      </c>
      <c r="D3657" s="6">
        <v>25000</v>
      </c>
      <c r="E3657" s="6">
        <v>0</v>
      </c>
      <c r="F3657" s="6">
        <v>0</v>
      </c>
      <c r="G3657" s="7" t="s">
        <v>18</v>
      </c>
      <c r="H3657" s="1">
        <f t="shared" si="57"/>
        <v>1</v>
      </c>
    </row>
    <row r="3658" spans="1:8" x14ac:dyDescent="0.25">
      <c r="A3658" s="1" t="s">
        <v>12</v>
      </c>
      <c r="B3658" s="1" t="s">
        <v>15</v>
      </c>
      <c r="C3658" s="6">
        <v>3555</v>
      </c>
      <c r="D3658" s="6">
        <v>0</v>
      </c>
      <c r="E3658" s="6">
        <v>0</v>
      </c>
      <c r="F3658" s="6">
        <v>0</v>
      </c>
      <c r="G3658" s="7" t="s">
        <v>18</v>
      </c>
      <c r="H3658" s="1">
        <f t="shared" si="57"/>
        <v>0</v>
      </c>
    </row>
    <row r="3659" spans="1:8" x14ac:dyDescent="0.25">
      <c r="A3659" s="1" t="s">
        <v>12</v>
      </c>
      <c r="B3659" s="1" t="s">
        <v>15</v>
      </c>
      <c r="C3659" s="6">
        <v>7500</v>
      </c>
      <c r="D3659" s="6">
        <v>1887.5</v>
      </c>
      <c r="E3659" s="6">
        <v>0</v>
      </c>
      <c r="F3659" s="6">
        <v>0</v>
      </c>
      <c r="G3659" s="7" t="s">
        <v>18</v>
      </c>
      <c r="H3659" s="1">
        <f t="shared" si="57"/>
        <v>0.25166666666666665</v>
      </c>
    </row>
    <row r="3660" spans="1:8" x14ac:dyDescent="0.25">
      <c r="A3660" s="1" t="s">
        <v>12</v>
      </c>
      <c r="B3660" s="1" t="s">
        <v>15</v>
      </c>
      <c r="C3660" s="6">
        <v>147000</v>
      </c>
      <c r="D3660" s="6">
        <v>0</v>
      </c>
      <c r="E3660" s="6">
        <v>0</v>
      </c>
      <c r="F3660" s="6">
        <v>0</v>
      </c>
      <c r="G3660" s="7" t="s">
        <v>18</v>
      </c>
      <c r="H3660" s="1">
        <f t="shared" si="57"/>
        <v>0</v>
      </c>
    </row>
    <row r="3661" spans="1:8" x14ac:dyDescent="0.25">
      <c r="A3661" s="1" t="s">
        <v>12</v>
      </c>
      <c r="B3661" s="1" t="s">
        <v>15</v>
      </c>
      <c r="C3661" s="6">
        <v>10000</v>
      </c>
      <c r="D3661" s="6">
        <v>9853.5</v>
      </c>
      <c r="E3661" s="6">
        <v>2062.25</v>
      </c>
      <c r="F3661" s="6">
        <v>487.25</v>
      </c>
      <c r="G3661" s="7" t="s">
        <v>18</v>
      </c>
      <c r="H3661" s="1">
        <f t="shared" si="57"/>
        <v>0.98534999999999995</v>
      </c>
    </row>
    <row r="3662" spans="1:8" x14ac:dyDescent="0.25">
      <c r="A3662" s="1" t="s">
        <v>12</v>
      </c>
      <c r="B3662" s="1" t="s">
        <v>15</v>
      </c>
      <c r="C3662" s="6">
        <v>20749424.5</v>
      </c>
      <c r="D3662" s="6">
        <v>19287430.745000001</v>
      </c>
      <c r="E3662" s="6">
        <v>17360837.967500001</v>
      </c>
      <c r="F3662" s="6">
        <v>17360837.967500001</v>
      </c>
      <c r="G3662" s="7" t="s">
        <v>18</v>
      </c>
      <c r="H3662" s="1">
        <f t="shared" si="57"/>
        <v>0.92954051544899474</v>
      </c>
    </row>
    <row r="3663" spans="1:8" x14ac:dyDescent="0.25">
      <c r="A3663" s="1" t="s">
        <v>12</v>
      </c>
      <c r="B3663" s="1" t="s">
        <v>15</v>
      </c>
      <c r="C3663" s="6">
        <v>13753036.5</v>
      </c>
      <c r="D3663" s="6">
        <v>15461892.715</v>
      </c>
      <c r="E3663" s="6">
        <v>13472908.32</v>
      </c>
      <c r="F3663" s="6">
        <v>13018044.7775</v>
      </c>
      <c r="G3663" s="7" t="s">
        <v>18</v>
      </c>
      <c r="H3663" s="1">
        <f t="shared" si="57"/>
        <v>1.1242530124165671</v>
      </c>
    </row>
    <row r="3664" spans="1:8" x14ac:dyDescent="0.25">
      <c r="A3664" s="1" t="s">
        <v>12</v>
      </c>
      <c r="B3664" s="1" t="s">
        <v>15</v>
      </c>
      <c r="C3664" s="6">
        <v>60368232.5</v>
      </c>
      <c r="D3664" s="6">
        <v>65798471.2425</v>
      </c>
      <c r="E3664" s="6">
        <v>62673735.572499998</v>
      </c>
      <c r="F3664" s="6">
        <v>61077853.420000002</v>
      </c>
      <c r="G3664" s="7" t="s">
        <v>18</v>
      </c>
      <c r="H3664" s="1">
        <f t="shared" si="57"/>
        <v>1.0899519253358958</v>
      </c>
    </row>
    <row r="3665" spans="1:8" x14ac:dyDescent="0.25">
      <c r="A3665" s="1" t="s">
        <v>12</v>
      </c>
      <c r="B3665" s="1" t="s">
        <v>15</v>
      </c>
      <c r="C3665" s="6">
        <v>1828466.75</v>
      </c>
      <c r="D3665" s="6">
        <v>1952144.2649999999</v>
      </c>
      <c r="E3665" s="6">
        <v>1366134.42</v>
      </c>
      <c r="F3665" s="6">
        <v>1309078.3774999999</v>
      </c>
      <c r="G3665" s="7" t="s">
        <v>18</v>
      </c>
      <c r="H3665" s="1">
        <f t="shared" si="57"/>
        <v>1.0676400131421586</v>
      </c>
    </row>
    <row r="3666" spans="1:8" x14ac:dyDescent="0.25">
      <c r="A3666" s="1" t="s">
        <v>12</v>
      </c>
      <c r="B3666" s="1" t="s">
        <v>15</v>
      </c>
      <c r="C3666" s="6">
        <v>4956500</v>
      </c>
      <c r="D3666" s="6">
        <v>2553679.8325</v>
      </c>
      <c r="E3666" s="6">
        <v>2153559.7374999998</v>
      </c>
      <c r="F3666" s="6">
        <v>2019187.3274999999</v>
      </c>
      <c r="G3666" s="7" t="s">
        <v>18</v>
      </c>
      <c r="H3666" s="1">
        <f t="shared" si="57"/>
        <v>0.51521836628669426</v>
      </c>
    </row>
    <row r="3667" spans="1:8" x14ac:dyDescent="0.25">
      <c r="A3667" s="1" t="s">
        <v>12</v>
      </c>
      <c r="B3667" s="1" t="s">
        <v>15</v>
      </c>
      <c r="C3667" s="6">
        <v>119215284.75</v>
      </c>
      <c r="D3667" s="6">
        <v>141607329.79750001</v>
      </c>
      <c r="E3667" s="6">
        <v>122195239.8125</v>
      </c>
      <c r="F3667" s="6">
        <v>112504010.715</v>
      </c>
      <c r="G3667" s="7" t="s">
        <v>18</v>
      </c>
      <c r="H3667" s="1">
        <f t="shared" si="57"/>
        <v>1.1878286420609334</v>
      </c>
    </row>
    <row r="3668" spans="1:8" x14ac:dyDescent="0.25">
      <c r="A3668" s="1" t="s">
        <v>12</v>
      </c>
      <c r="B3668" s="1" t="s">
        <v>15</v>
      </c>
      <c r="C3668" s="6">
        <v>2088437.5</v>
      </c>
      <c r="D3668" s="6">
        <v>1689778.1850000001</v>
      </c>
      <c r="E3668" s="6">
        <v>1585539.1425000001</v>
      </c>
      <c r="F3668" s="6">
        <v>1449450.6875</v>
      </c>
      <c r="G3668" s="7" t="s">
        <v>18</v>
      </c>
      <c r="H3668" s="1">
        <f t="shared" si="57"/>
        <v>0.8091112063444561</v>
      </c>
    </row>
    <row r="3669" spans="1:8" x14ac:dyDescent="0.25">
      <c r="A3669" s="1" t="s">
        <v>12</v>
      </c>
      <c r="B3669" s="1" t="s">
        <v>15</v>
      </c>
      <c r="C3669" s="6">
        <v>36955500</v>
      </c>
      <c r="D3669" s="6">
        <v>34879373.104999997</v>
      </c>
      <c r="E3669" s="6">
        <v>34866873.104999997</v>
      </c>
      <c r="F3669" s="6">
        <v>34866873.104999997</v>
      </c>
      <c r="G3669" s="7" t="s">
        <v>18</v>
      </c>
      <c r="H3669" s="1">
        <f t="shared" si="57"/>
        <v>0.9438208955365236</v>
      </c>
    </row>
    <row r="3670" spans="1:8" x14ac:dyDescent="0.25">
      <c r="A3670" s="1" t="s">
        <v>12</v>
      </c>
      <c r="B3670" s="1" t="s">
        <v>15</v>
      </c>
      <c r="C3670" s="6">
        <v>9706783.25</v>
      </c>
      <c r="D3670" s="6">
        <v>9225107.6074999999</v>
      </c>
      <c r="E3670" s="6">
        <v>7380424.6974999998</v>
      </c>
      <c r="F3670" s="6">
        <v>6878374.5674999999</v>
      </c>
      <c r="G3670" s="7" t="s">
        <v>18</v>
      </c>
      <c r="H3670" s="1">
        <f t="shared" si="57"/>
        <v>0.95037741854388269</v>
      </c>
    </row>
    <row r="3671" spans="1:8" x14ac:dyDescent="0.25">
      <c r="A3671" s="1" t="s">
        <v>12</v>
      </c>
      <c r="B3671" s="1" t="s">
        <v>15</v>
      </c>
      <c r="C3671" s="6">
        <v>100000</v>
      </c>
      <c r="D3671" s="6">
        <v>0</v>
      </c>
      <c r="E3671" s="6">
        <v>0</v>
      </c>
      <c r="F3671" s="6">
        <v>0</v>
      </c>
      <c r="G3671" s="7" t="s">
        <v>18</v>
      </c>
      <c r="H3671" s="1">
        <f t="shared" si="57"/>
        <v>0</v>
      </c>
    </row>
    <row r="3672" spans="1:8" x14ac:dyDescent="0.25">
      <c r="A3672" s="1" t="s">
        <v>12</v>
      </c>
      <c r="B3672" s="1" t="s">
        <v>15</v>
      </c>
      <c r="C3672" s="6">
        <v>100000</v>
      </c>
      <c r="D3672" s="6">
        <v>21033.5</v>
      </c>
      <c r="E3672" s="6">
        <v>21033.5</v>
      </c>
      <c r="F3672" s="6">
        <v>21033.5</v>
      </c>
      <c r="G3672" s="7" t="s">
        <v>18</v>
      </c>
      <c r="H3672" s="1">
        <f t="shared" si="57"/>
        <v>0.21033499999999999</v>
      </c>
    </row>
    <row r="3673" spans="1:8" x14ac:dyDescent="0.25">
      <c r="A3673" s="1" t="s">
        <v>12</v>
      </c>
      <c r="B3673" s="1" t="s">
        <v>15</v>
      </c>
      <c r="C3673" s="6">
        <v>633750</v>
      </c>
      <c r="D3673" s="6">
        <v>592149.3175</v>
      </c>
      <c r="E3673" s="6">
        <v>366590.41749999998</v>
      </c>
      <c r="F3673" s="6">
        <v>366590.41749999998</v>
      </c>
      <c r="G3673" s="7" t="s">
        <v>18</v>
      </c>
      <c r="H3673" s="1">
        <f t="shared" si="57"/>
        <v>0.93435789743589748</v>
      </c>
    </row>
    <row r="3674" spans="1:8" x14ac:dyDescent="0.25">
      <c r="A3674" s="1" t="s">
        <v>12</v>
      </c>
      <c r="B3674" s="1" t="s">
        <v>15</v>
      </c>
      <c r="C3674" s="6">
        <v>300000</v>
      </c>
      <c r="D3674" s="6">
        <v>0</v>
      </c>
      <c r="E3674" s="6">
        <v>0</v>
      </c>
      <c r="F3674" s="6">
        <v>0</v>
      </c>
      <c r="G3674" s="7" t="s">
        <v>18</v>
      </c>
      <c r="H3674" s="1">
        <f t="shared" ref="H3674:H3737" si="58">IF(OR(ISNA($D3674),ISNA($C3674),$C3674=0),0,$D3674/$C3674)</f>
        <v>0</v>
      </c>
    </row>
    <row r="3675" spans="1:8" x14ac:dyDescent="0.25">
      <c r="A3675" s="1" t="s">
        <v>12</v>
      </c>
      <c r="B3675" s="1" t="s">
        <v>15</v>
      </c>
      <c r="C3675" s="6">
        <v>50000</v>
      </c>
      <c r="D3675" s="6">
        <v>50000</v>
      </c>
      <c r="E3675" s="6">
        <v>0</v>
      </c>
      <c r="F3675" s="6">
        <v>0</v>
      </c>
      <c r="G3675" s="7" t="s">
        <v>18</v>
      </c>
      <c r="H3675" s="1">
        <f t="shared" si="58"/>
        <v>1</v>
      </c>
    </row>
    <row r="3676" spans="1:8" x14ac:dyDescent="0.25">
      <c r="A3676" s="1" t="s">
        <v>12</v>
      </c>
      <c r="B3676" s="1" t="s">
        <v>15</v>
      </c>
      <c r="C3676" s="6">
        <v>250000</v>
      </c>
      <c r="D3676" s="6">
        <v>250000</v>
      </c>
      <c r="E3676" s="6">
        <v>250000</v>
      </c>
      <c r="F3676" s="6">
        <v>250000</v>
      </c>
      <c r="G3676" s="7" t="s">
        <v>18</v>
      </c>
      <c r="H3676" s="1">
        <f t="shared" si="58"/>
        <v>1</v>
      </c>
    </row>
    <row r="3677" spans="1:8" x14ac:dyDescent="0.25">
      <c r="A3677" s="1" t="s">
        <v>12</v>
      </c>
      <c r="B3677" s="1" t="s">
        <v>15</v>
      </c>
      <c r="C3677" s="6">
        <v>322305</v>
      </c>
      <c r="D3677" s="6">
        <v>322305</v>
      </c>
      <c r="E3677" s="6">
        <v>0</v>
      </c>
      <c r="F3677" s="6">
        <v>0</v>
      </c>
      <c r="G3677" s="7" t="s">
        <v>18</v>
      </c>
      <c r="H3677" s="1">
        <f t="shared" si="58"/>
        <v>1</v>
      </c>
    </row>
    <row r="3678" spans="1:8" x14ac:dyDescent="0.25">
      <c r="A3678" s="1" t="s">
        <v>12</v>
      </c>
      <c r="B3678" s="1" t="s">
        <v>15</v>
      </c>
      <c r="C3678" s="6">
        <v>266079.75</v>
      </c>
      <c r="D3678" s="6">
        <v>266079.75</v>
      </c>
      <c r="E3678" s="6">
        <v>266079.75</v>
      </c>
      <c r="F3678" s="6">
        <v>80561.55</v>
      </c>
      <c r="G3678" s="7" t="s">
        <v>18</v>
      </c>
      <c r="H3678" s="1">
        <f t="shared" si="58"/>
        <v>1</v>
      </c>
    </row>
    <row r="3679" spans="1:8" x14ac:dyDescent="0.25">
      <c r="A3679" s="1" t="s">
        <v>12</v>
      </c>
      <c r="B3679" s="1" t="s">
        <v>15</v>
      </c>
      <c r="C3679" s="6">
        <v>6152.5</v>
      </c>
      <c r="D3679" s="6">
        <v>6152.5</v>
      </c>
      <c r="E3679" s="6">
        <v>6152.5</v>
      </c>
      <c r="F3679" s="6">
        <v>6152.5</v>
      </c>
      <c r="G3679" s="7" t="s">
        <v>18</v>
      </c>
      <c r="H3679" s="1">
        <f t="shared" si="58"/>
        <v>1</v>
      </c>
    </row>
    <row r="3680" spans="1:8" x14ac:dyDescent="0.25">
      <c r="A3680" s="1" t="s">
        <v>12</v>
      </c>
      <c r="B3680" s="1" t="s">
        <v>15</v>
      </c>
      <c r="C3680" s="6">
        <v>25000</v>
      </c>
      <c r="D3680" s="6">
        <v>0</v>
      </c>
      <c r="E3680" s="6">
        <v>0</v>
      </c>
      <c r="F3680" s="6">
        <v>0</v>
      </c>
      <c r="G3680" s="7" t="s">
        <v>18</v>
      </c>
      <c r="H3680" s="1">
        <f t="shared" si="58"/>
        <v>0</v>
      </c>
    </row>
    <row r="3681" spans="1:8" x14ac:dyDescent="0.25">
      <c r="A3681" s="1" t="s">
        <v>12</v>
      </c>
      <c r="B3681" s="1" t="s">
        <v>15</v>
      </c>
      <c r="C3681" s="6">
        <v>147250</v>
      </c>
      <c r="D3681" s="6">
        <v>147250</v>
      </c>
      <c r="E3681" s="6">
        <v>106533.23</v>
      </c>
      <c r="F3681" s="6">
        <v>89628.772500000006</v>
      </c>
      <c r="G3681" s="7" t="s">
        <v>18</v>
      </c>
      <c r="H3681" s="1">
        <f t="shared" si="58"/>
        <v>1</v>
      </c>
    </row>
    <row r="3682" spans="1:8" x14ac:dyDescent="0.25">
      <c r="A3682" s="1" t="s">
        <v>12</v>
      </c>
      <c r="B3682" s="1" t="s">
        <v>15</v>
      </c>
      <c r="C3682" s="6">
        <v>20000</v>
      </c>
      <c r="D3682" s="6">
        <v>0</v>
      </c>
      <c r="E3682" s="6">
        <v>0</v>
      </c>
      <c r="F3682" s="6">
        <v>0</v>
      </c>
      <c r="G3682" s="7" t="s">
        <v>18</v>
      </c>
      <c r="H3682" s="1">
        <f t="shared" si="58"/>
        <v>0</v>
      </c>
    </row>
    <row r="3683" spans="1:8" x14ac:dyDescent="0.25">
      <c r="A3683" s="1" t="s">
        <v>12</v>
      </c>
      <c r="B3683" s="1" t="s">
        <v>15</v>
      </c>
      <c r="C3683" s="6">
        <v>20000</v>
      </c>
      <c r="D3683" s="6">
        <v>0</v>
      </c>
      <c r="E3683" s="6">
        <v>0</v>
      </c>
      <c r="F3683" s="6">
        <v>0</v>
      </c>
      <c r="G3683" s="7" t="s">
        <v>18</v>
      </c>
      <c r="H3683" s="1">
        <f t="shared" si="58"/>
        <v>0</v>
      </c>
    </row>
    <row r="3684" spans="1:8" x14ac:dyDescent="0.25">
      <c r="A3684" s="1" t="s">
        <v>12</v>
      </c>
      <c r="B3684" s="1" t="s">
        <v>15</v>
      </c>
      <c r="C3684" s="6">
        <v>20000</v>
      </c>
      <c r="D3684" s="6">
        <v>0</v>
      </c>
      <c r="E3684" s="6">
        <v>0</v>
      </c>
      <c r="F3684" s="6">
        <v>0</v>
      </c>
      <c r="G3684" s="7" t="s">
        <v>18</v>
      </c>
      <c r="H3684" s="1">
        <f t="shared" si="58"/>
        <v>0</v>
      </c>
    </row>
    <row r="3685" spans="1:8" x14ac:dyDescent="0.25">
      <c r="A3685" s="1" t="s">
        <v>12</v>
      </c>
      <c r="B3685" s="1" t="s">
        <v>15</v>
      </c>
      <c r="C3685" s="6">
        <v>20000</v>
      </c>
      <c r="D3685" s="6">
        <v>0</v>
      </c>
      <c r="E3685" s="6">
        <v>0</v>
      </c>
      <c r="F3685" s="6">
        <v>0</v>
      </c>
      <c r="G3685" s="7" t="s">
        <v>18</v>
      </c>
      <c r="H3685" s="1">
        <f t="shared" si="58"/>
        <v>0</v>
      </c>
    </row>
    <row r="3686" spans="1:8" x14ac:dyDescent="0.25">
      <c r="A3686" s="1" t="s">
        <v>12</v>
      </c>
      <c r="B3686" s="1" t="s">
        <v>15</v>
      </c>
      <c r="C3686" s="6">
        <v>20000</v>
      </c>
      <c r="D3686" s="6">
        <v>0</v>
      </c>
      <c r="E3686" s="6">
        <v>0</v>
      </c>
      <c r="F3686" s="6">
        <v>0</v>
      </c>
      <c r="G3686" s="7" t="s">
        <v>18</v>
      </c>
      <c r="H3686" s="1">
        <f t="shared" si="58"/>
        <v>0</v>
      </c>
    </row>
    <row r="3687" spans="1:8" x14ac:dyDescent="0.25">
      <c r="A3687" s="1" t="s">
        <v>12</v>
      </c>
      <c r="B3687" s="1" t="s">
        <v>15</v>
      </c>
      <c r="C3687" s="6">
        <v>20000</v>
      </c>
      <c r="D3687" s="6">
        <v>0</v>
      </c>
      <c r="E3687" s="6">
        <v>0</v>
      </c>
      <c r="F3687" s="6">
        <v>0</v>
      </c>
      <c r="G3687" s="7" t="s">
        <v>18</v>
      </c>
      <c r="H3687" s="1">
        <f t="shared" si="58"/>
        <v>0</v>
      </c>
    </row>
    <row r="3688" spans="1:8" x14ac:dyDescent="0.25">
      <c r="A3688" s="1" t="s">
        <v>12</v>
      </c>
      <c r="B3688" s="1" t="s">
        <v>15</v>
      </c>
      <c r="C3688" s="6">
        <v>10000</v>
      </c>
      <c r="D3688" s="6">
        <v>0</v>
      </c>
      <c r="E3688" s="6">
        <v>0</v>
      </c>
      <c r="F3688" s="6">
        <v>0</v>
      </c>
      <c r="G3688" s="7" t="s">
        <v>18</v>
      </c>
      <c r="H3688" s="1">
        <f t="shared" si="58"/>
        <v>0</v>
      </c>
    </row>
    <row r="3689" spans="1:8" x14ac:dyDescent="0.25">
      <c r="A3689" s="1" t="s">
        <v>12</v>
      </c>
      <c r="B3689" s="1" t="s">
        <v>15</v>
      </c>
      <c r="C3689" s="6">
        <v>20000</v>
      </c>
      <c r="D3689" s="6">
        <v>0</v>
      </c>
      <c r="E3689" s="6">
        <v>0</v>
      </c>
      <c r="F3689" s="6">
        <v>0</v>
      </c>
      <c r="G3689" s="7" t="s">
        <v>18</v>
      </c>
      <c r="H3689" s="1">
        <f t="shared" si="58"/>
        <v>0</v>
      </c>
    </row>
    <row r="3690" spans="1:8" x14ac:dyDescent="0.25">
      <c r="A3690" s="1" t="s">
        <v>12</v>
      </c>
      <c r="B3690" s="1" t="s">
        <v>15</v>
      </c>
      <c r="C3690" s="6">
        <v>12000</v>
      </c>
      <c r="D3690" s="6">
        <v>12000</v>
      </c>
      <c r="E3690" s="6">
        <v>12000</v>
      </c>
      <c r="F3690" s="6">
        <v>12000</v>
      </c>
      <c r="G3690" s="7" t="s">
        <v>18</v>
      </c>
      <c r="H3690" s="1">
        <f t="shared" si="58"/>
        <v>1</v>
      </c>
    </row>
    <row r="3691" spans="1:8" x14ac:dyDescent="0.25">
      <c r="A3691" s="1" t="s">
        <v>12</v>
      </c>
      <c r="B3691" s="1" t="s">
        <v>15</v>
      </c>
      <c r="C3691" s="6">
        <v>61152.5</v>
      </c>
      <c r="D3691" s="6">
        <v>0</v>
      </c>
      <c r="E3691" s="6">
        <v>0</v>
      </c>
      <c r="F3691" s="6">
        <v>0</v>
      </c>
      <c r="G3691" s="7" t="s">
        <v>18</v>
      </c>
      <c r="H3691" s="1">
        <f t="shared" si="58"/>
        <v>0</v>
      </c>
    </row>
    <row r="3692" spans="1:8" x14ac:dyDescent="0.25">
      <c r="A3692" s="1" t="s">
        <v>12</v>
      </c>
      <c r="B3692" s="1" t="s">
        <v>15</v>
      </c>
      <c r="C3692" s="6">
        <v>56225.25</v>
      </c>
      <c r="D3692" s="6">
        <v>56225.25</v>
      </c>
      <c r="E3692" s="6">
        <v>56225.25</v>
      </c>
      <c r="F3692" s="6">
        <v>56225.25</v>
      </c>
      <c r="G3692" s="7" t="s">
        <v>18</v>
      </c>
      <c r="H3692" s="1">
        <f t="shared" si="58"/>
        <v>1</v>
      </c>
    </row>
    <row r="3693" spans="1:8" x14ac:dyDescent="0.25">
      <c r="A3693" s="1" t="s">
        <v>12</v>
      </c>
      <c r="B3693" s="1" t="s">
        <v>15</v>
      </c>
      <c r="C3693" s="6">
        <v>25000</v>
      </c>
      <c r="D3693" s="6">
        <v>25000</v>
      </c>
      <c r="E3693" s="6">
        <v>25000</v>
      </c>
      <c r="F3693" s="6">
        <v>25000</v>
      </c>
      <c r="G3693" s="7" t="s">
        <v>18</v>
      </c>
      <c r="H3693" s="1">
        <f t="shared" si="58"/>
        <v>1</v>
      </c>
    </row>
    <row r="3694" spans="1:8" x14ac:dyDescent="0.25">
      <c r="A3694" s="1" t="s">
        <v>12</v>
      </c>
      <c r="B3694" s="1" t="s">
        <v>15</v>
      </c>
      <c r="C3694" s="6">
        <v>50000</v>
      </c>
      <c r="D3694" s="6">
        <v>0</v>
      </c>
      <c r="E3694" s="6">
        <v>0</v>
      </c>
      <c r="F3694" s="6">
        <v>0</v>
      </c>
      <c r="G3694" s="7" t="s">
        <v>18</v>
      </c>
      <c r="H3694" s="1">
        <f t="shared" si="58"/>
        <v>0</v>
      </c>
    </row>
    <row r="3695" spans="1:8" x14ac:dyDescent="0.25">
      <c r="A3695" s="1" t="s">
        <v>12</v>
      </c>
      <c r="B3695" s="1" t="s">
        <v>15</v>
      </c>
      <c r="C3695" s="6">
        <v>50000</v>
      </c>
      <c r="D3695" s="6">
        <v>0</v>
      </c>
      <c r="E3695" s="6">
        <v>0</v>
      </c>
      <c r="F3695" s="6">
        <v>0</v>
      </c>
      <c r="G3695" s="7" t="s">
        <v>18</v>
      </c>
      <c r="H3695" s="1">
        <f t="shared" si="58"/>
        <v>0</v>
      </c>
    </row>
    <row r="3696" spans="1:8" x14ac:dyDescent="0.25">
      <c r="A3696" s="1" t="s">
        <v>12</v>
      </c>
      <c r="B3696" s="1" t="s">
        <v>15</v>
      </c>
      <c r="C3696" s="6">
        <v>25889017</v>
      </c>
      <c r="D3696" s="6">
        <v>19248838.8675</v>
      </c>
      <c r="E3696" s="6">
        <v>15645512.619999999</v>
      </c>
      <c r="F3696" s="6">
        <v>13224149.615</v>
      </c>
      <c r="G3696" s="7" t="s">
        <v>18</v>
      </c>
      <c r="H3696" s="1">
        <f t="shared" si="58"/>
        <v>0.74351370187211052</v>
      </c>
    </row>
    <row r="3697" spans="1:8" x14ac:dyDescent="0.25">
      <c r="A3697" s="1" t="s">
        <v>12</v>
      </c>
      <c r="B3697" s="1" t="s">
        <v>15</v>
      </c>
      <c r="C3697" s="6">
        <v>2985125</v>
      </c>
      <c r="D3697" s="6">
        <v>2663068.7875000001</v>
      </c>
      <c r="E3697" s="6">
        <v>2443558.6074999999</v>
      </c>
      <c r="F3697" s="6">
        <v>1982872.2975000001</v>
      </c>
      <c r="G3697" s="7" t="s">
        <v>18</v>
      </c>
      <c r="H3697" s="1">
        <f t="shared" si="58"/>
        <v>0.89211298940580386</v>
      </c>
    </row>
    <row r="3698" spans="1:8" x14ac:dyDescent="0.25">
      <c r="A3698" s="1" t="s">
        <v>12</v>
      </c>
      <c r="B3698" s="1" t="s">
        <v>15</v>
      </c>
      <c r="C3698" s="6">
        <v>5051613.5</v>
      </c>
      <c r="D3698" s="6">
        <v>4407586.7450000001</v>
      </c>
      <c r="E3698" s="6">
        <v>4032911.8075000001</v>
      </c>
      <c r="F3698" s="6">
        <v>3485255.8174999999</v>
      </c>
      <c r="G3698" s="7" t="s">
        <v>18</v>
      </c>
      <c r="H3698" s="1">
        <f t="shared" si="58"/>
        <v>0.87251068297287593</v>
      </c>
    </row>
    <row r="3699" spans="1:8" x14ac:dyDescent="0.25">
      <c r="A3699" s="1" t="s">
        <v>12</v>
      </c>
      <c r="B3699" s="1" t="s">
        <v>15</v>
      </c>
      <c r="C3699" s="6">
        <v>80444100</v>
      </c>
      <c r="D3699" s="6">
        <v>60906171.482500002</v>
      </c>
      <c r="E3699" s="6">
        <v>57591302.297499999</v>
      </c>
      <c r="F3699" s="6">
        <v>57587532.064999998</v>
      </c>
      <c r="G3699" s="7" t="s">
        <v>18</v>
      </c>
      <c r="H3699" s="1">
        <f t="shared" si="58"/>
        <v>0.75712415804888122</v>
      </c>
    </row>
    <row r="3700" spans="1:8" x14ac:dyDescent="0.25">
      <c r="A3700" s="1" t="s">
        <v>12</v>
      </c>
      <c r="B3700" s="1" t="s">
        <v>15</v>
      </c>
      <c r="C3700" s="6">
        <v>2378000</v>
      </c>
      <c r="D3700" s="6">
        <v>10074405.737500001</v>
      </c>
      <c r="E3700" s="6">
        <v>10038693.875</v>
      </c>
      <c r="F3700" s="6">
        <v>10038693.875</v>
      </c>
      <c r="G3700" s="7" t="s">
        <v>18</v>
      </c>
      <c r="H3700" s="1">
        <f t="shared" si="58"/>
        <v>4.2365036743061397</v>
      </c>
    </row>
    <row r="3701" spans="1:8" x14ac:dyDescent="0.25">
      <c r="A3701" s="1" t="s">
        <v>12</v>
      </c>
      <c r="B3701" s="1" t="s">
        <v>15</v>
      </c>
      <c r="C3701" s="6">
        <v>16250</v>
      </c>
      <c r="D3701" s="6">
        <v>0</v>
      </c>
      <c r="E3701" s="6">
        <v>0</v>
      </c>
      <c r="F3701" s="6">
        <v>0</v>
      </c>
      <c r="G3701" s="7" t="s">
        <v>18</v>
      </c>
      <c r="H3701" s="1">
        <f t="shared" si="58"/>
        <v>0</v>
      </c>
    </row>
    <row r="3702" spans="1:8" x14ac:dyDescent="0.25">
      <c r="A3702" s="1" t="s">
        <v>12</v>
      </c>
      <c r="B3702" s="1" t="s">
        <v>15</v>
      </c>
      <c r="C3702" s="6">
        <v>20000</v>
      </c>
      <c r="D3702" s="6">
        <v>0</v>
      </c>
      <c r="E3702" s="6">
        <v>0</v>
      </c>
      <c r="F3702" s="6">
        <v>0</v>
      </c>
      <c r="G3702" s="7" t="s">
        <v>18</v>
      </c>
      <c r="H3702" s="1">
        <f t="shared" si="58"/>
        <v>0</v>
      </c>
    </row>
    <row r="3703" spans="1:8" x14ac:dyDescent="0.25">
      <c r="A3703" s="1" t="s">
        <v>12</v>
      </c>
      <c r="B3703" s="1" t="s">
        <v>15</v>
      </c>
      <c r="C3703" s="6">
        <v>80576.25</v>
      </c>
      <c r="D3703" s="6">
        <v>0</v>
      </c>
      <c r="E3703" s="6">
        <v>0</v>
      </c>
      <c r="F3703" s="6">
        <v>0</v>
      </c>
      <c r="G3703" s="7" t="s">
        <v>18</v>
      </c>
      <c r="H3703" s="1">
        <f t="shared" si="58"/>
        <v>0</v>
      </c>
    </row>
    <row r="3704" spans="1:8" x14ac:dyDescent="0.25">
      <c r="A3704" s="1" t="s">
        <v>12</v>
      </c>
      <c r="B3704" s="1" t="s">
        <v>15</v>
      </c>
      <c r="C3704" s="6">
        <v>25000</v>
      </c>
      <c r="D3704" s="6">
        <v>24951.53</v>
      </c>
      <c r="E3704" s="6">
        <v>7505.6750000000002</v>
      </c>
      <c r="F3704" s="6">
        <v>5069.4250000000002</v>
      </c>
      <c r="G3704" s="7" t="s">
        <v>18</v>
      </c>
      <c r="H3704" s="1">
        <f t="shared" si="58"/>
        <v>0.99806119999999998</v>
      </c>
    </row>
    <row r="3705" spans="1:8" x14ac:dyDescent="0.25">
      <c r="A3705" s="1" t="s">
        <v>12</v>
      </c>
      <c r="B3705" s="1" t="s">
        <v>15</v>
      </c>
      <c r="C3705" s="6">
        <v>25000</v>
      </c>
      <c r="D3705" s="6">
        <v>24817.037499999999</v>
      </c>
      <c r="E3705" s="6">
        <v>7606.5375000000004</v>
      </c>
      <c r="F3705" s="6">
        <v>5069.4250000000002</v>
      </c>
      <c r="G3705" s="7" t="s">
        <v>18</v>
      </c>
      <c r="H3705" s="1">
        <f t="shared" si="58"/>
        <v>0.99268149999999999</v>
      </c>
    </row>
    <row r="3706" spans="1:8" x14ac:dyDescent="0.25">
      <c r="A3706" s="1" t="s">
        <v>12</v>
      </c>
      <c r="B3706" s="1" t="s">
        <v>15</v>
      </c>
      <c r="C3706" s="6">
        <v>80576.25</v>
      </c>
      <c r="D3706" s="6">
        <v>0</v>
      </c>
      <c r="E3706" s="6">
        <v>0</v>
      </c>
      <c r="F3706" s="6">
        <v>0</v>
      </c>
      <c r="G3706" s="7" t="s">
        <v>18</v>
      </c>
      <c r="H3706" s="1">
        <f t="shared" si="58"/>
        <v>0</v>
      </c>
    </row>
    <row r="3707" spans="1:8" x14ac:dyDescent="0.25">
      <c r="A3707" s="1" t="s">
        <v>12</v>
      </c>
      <c r="B3707" s="1" t="s">
        <v>15</v>
      </c>
      <c r="C3707" s="6">
        <v>37500</v>
      </c>
      <c r="D3707" s="6">
        <v>0</v>
      </c>
      <c r="E3707" s="6">
        <v>0</v>
      </c>
      <c r="F3707" s="6">
        <v>0</v>
      </c>
      <c r="G3707" s="7" t="s">
        <v>18</v>
      </c>
      <c r="H3707" s="1">
        <f t="shared" si="58"/>
        <v>0</v>
      </c>
    </row>
    <row r="3708" spans="1:8" x14ac:dyDescent="0.25">
      <c r="A3708" s="1" t="s">
        <v>12</v>
      </c>
      <c r="B3708" s="1" t="s">
        <v>15</v>
      </c>
      <c r="C3708" s="6">
        <v>307663253.5</v>
      </c>
      <c r="D3708" s="6">
        <v>375192176.87</v>
      </c>
      <c r="E3708" s="6">
        <v>338795729.125</v>
      </c>
      <c r="F3708" s="6">
        <v>322716983.685</v>
      </c>
      <c r="G3708" s="7" t="s">
        <v>18</v>
      </c>
      <c r="H3708" s="1">
        <f t="shared" si="58"/>
        <v>1.2194897265168523</v>
      </c>
    </row>
    <row r="3709" spans="1:8" x14ac:dyDescent="0.25">
      <c r="A3709" s="1" t="s">
        <v>12</v>
      </c>
      <c r="B3709" s="1" t="s">
        <v>15</v>
      </c>
      <c r="C3709" s="6">
        <v>86783550.5</v>
      </c>
      <c r="D3709" s="6">
        <v>89861130.629999995</v>
      </c>
      <c r="E3709" s="6">
        <v>87713164.557500005</v>
      </c>
      <c r="F3709" s="6">
        <v>86360078.3125</v>
      </c>
      <c r="G3709" s="7" t="s">
        <v>18</v>
      </c>
      <c r="H3709" s="1">
        <f t="shared" si="58"/>
        <v>1.0354627128328886</v>
      </c>
    </row>
    <row r="3710" spans="1:8" x14ac:dyDescent="0.25">
      <c r="A3710" s="1" t="s">
        <v>12</v>
      </c>
      <c r="B3710" s="1" t="s">
        <v>15</v>
      </c>
      <c r="C3710" s="6">
        <v>39990879.25</v>
      </c>
      <c r="D3710" s="6">
        <v>45316441.68</v>
      </c>
      <c r="E3710" s="6">
        <v>42491966.68</v>
      </c>
      <c r="F3710" s="6">
        <v>42294806.017499998</v>
      </c>
      <c r="G3710" s="7" t="s">
        <v>18</v>
      </c>
      <c r="H3710" s="1">
        <f t="shared" si="58"/>
        <v>1.1331694258760265</v>
      </c>
    </row>
    <row r="3711" spans="1:8" x14ac:dyDescent="0.25">
      <c r="A3711" s="1" t="s">
        <v>12</v>
      </c>
      <c r="B3711" s="1" t="s">
        <v>15</v>
      </c>
      <c r="C3711" s="6">
        <v>50010750</v>
      </c>
      <c r="D3711" s="6">
        <v>12001831.3125</v>
      </c>
      <c r="E3711" s="6">
        <v>11833998.4275</v>
      </c>
      <c r="F3711" s="6">
        <v>11554165.5425</v>
      </c>
      <c r="G3711" s="7" t="s">
        <v>18</v>
      </c>
      <c r="H3711" s="1">
        <f t="shared" si="58"/>
        <v>0.23998502946866423</v>
      </c>
    </row>
    <row r="3712" spans="1:8" x14ac:dyDescent="0.25">
      <c r="A3712" s="1" t="s">
        <v>12</v>
      </c>
      <c r="B3712" s="1" t="s">
        <v>15</v>
      </c>
      <c r="C3712" s="6">
        <v>37500</v>
      </c>
      <c r="D3712" s="6">
        <v>37500</v>
      </c>
      <c r="E3712" s="6">
        <v>37500</v>
      </c>
      <c r="F3712" s="6">
        <v>37500</v>
      </c>
      <c r="G3712" s="7" t="s">
        <v>18</v>
      </c>
      <c r="H3712" s="1">
        <f t="shared" si="58"/>
        <v>1</v>
      </c>
    </row>
    <row r="3713" spans="1:8" x14ac:dyDescent="0.25">
      <c r="A3713" s="1" t="s">
        <v>12</v>
      </c>
      <c r="B3713" s="1" t="s">
        <v>15</v>
      </c>
      <c r="C3713" s="6">
        <v>50000</v>
      </c>
      <c r="D3713" s="6">
        <v>50000</v>
      </c>
      <c r="E3713" s="6">
        <v>50000</v>
      </c>
      <c r="F3713" s="6">
        <v>50000</v>
      </c>
      <c r="G3713" s="7" t="s">
        <v>18</v>
      </c>
      <c r="H3713" s="1">
        <f t="shared" si="58"/>
        <v>1</v>
      </c>
    </row>
    <row r="3714" spans="1:8" x14ac:dyDescent="0.25">
      <c r="A3714" s="1" t="s">
        <v>12</v>
      </c>
      <c r="B3714" s="1" t="s">
        <v>15</v>
      </c>
      <c r="C3714" s="6">
        <v>161152.5</v>
      </c>
      <c r="D3714" s="6">
        <v>161152.5</v>
      </c>
      <c r="E3714" s="6">
        <v>161152.5</v>
      </c>
      <c r="F3714" s="6">
        <v>161152.5</v>
      </c>
      <c r="G3714" s="7" t="s">
        <v>18</v>
      </c>
      <c r="H3714" s="1">
        <f t="shared" si="58"/>
        <v>1</v>
      </c>
    </row>
    <row r="3715" spans="1:8" x14ac:dyDescent="0.25">
      <c r="A3715" s="1" t="s">
        <v>12</v>
      </c>
      <c r="B3715" s="1" t="s">
        <v>15</v>
      </c>
      <c r="C3715" s="6">
        <v>80576.25</v>
      </c>
      <c r="D3715" s="6">
        <v>80576.25</v>
      </c>
      <c r="E3715" s="6">
        <v>80576.25</v>
      </c>
      <c r="F3715" s="6">
        <v>80576.25</v>
      </c>
      <c r="G3715" s="7" t="s">
        <v>18</v>
      </c>
      <c r="H3715" s="1">
        <f t="shared" si="58"/>
        <v>1</v>
      </c>
    </row>
    <row r="3716" spans="1:8" x14ac:dyDescent="0.25">
      <c r="A3716" s="1" t="s">
        <v>12</v>
      </c>
      <c r="B3716" s="1" t="s">
        <v>15</v>
      </c>
      <c r="C3716" s="6">
        <v>75000</v>
      </c>
      <c r="D3716" s="6">
        <v>75000</v>
      </c>
      <c r="E3716" s="6">
        <v>75000</v>
      </c>
      <c r="F3716" s="6">
        <v>75000</v>
      </c>
      <c r="G3716" s="7" t="s">
        <v>18</v>
      </c>
      <c r="H3716" s="1">
        <f t="shared" si="58"/>
        <v>1</v>
      </c>
    </row>
    <row r="3717" spans="1:8" x14ac:dyDescent="0.25">
      <c r="A3717" s="1" t="s">
        <v>12</v>
      </c>
      <c r="B3717" s="1" t="s">
        <v>15</v>
      </c>
      <c r="C3717" s="6">
        <v>75000</v>
      </c>
      <c r="D3717" s="6">
        <v>75000</v>
      </c>
      <c r="E3717" s="6">
        <v>75000</v>
      </c>
      <c r="F3717" s="6">
        <v>75000</v>
      </c>
      <c r="G3717" s="7" t="s">
        <v>18</v>
      </c>
      <c r="H3717" s="1">
        <f t="shared" si="58"/>
        <v>1</v>
      </c>
    </row>
    <row r="3718" spans="1:8" x14ac:dyDescent="0.25">
      <c r="A3718" s="1" t="s">
        <v>12</v>
      </c>
      <c r="B3718" s="1" t="s">
        <v>15</v>
      </c>
      <c r="C3718" s="6">
        <v>11000</v>
      </c>
      <c r="D3718" s="6">
        <v>11000</v>
      </c>
      <c r="E3718" s="6">
        <v>11000</v>
      </c>
      <c r="F3718" s="6">
        <v>11000</v>
      </c>
      <c r="G3718" s="7" t="s">
        <v>18</v>
      </c>
      <c r="H3718" s="1">
        <f t="shared" si="58"/>
        <v>1</v>
      </c>
    </row>
    <row r="3719" spans="1:8" x14ac:dyDescent="0.25">
      <c r="A3719" s="1" t="s">
        <v>12</v>
      </c>
      <c r="B3719" s="1" t="s">
        <v>15</v>
      </c>
      <c r="C3719" s="6">
        <v>15000</v>
      </c>
      <c r="D3719" s="6">
        <v>15000</v>
      </c>
      <c r="E3719" s="6">
        <v>15000</v>
      </c>
      <c r="F3719" s="6">
        <v>15000</v>
      </c>
      <c r="G3719" s="7" t="s">
        <v>18</v>
      </c>
      <c r="H3719" s="1">
        <f t="shared" si="58"/>
        <v>1</v>
      </c>
    </row>
    <row r="3720" spans="1:8" x14ac:dyDescent="0.25">
      <c r="A3720" s="1" t="s">
        <v>12</v>
      </c>
      <c r="B3720" s="1" t="s">
        <v>15</v>
      </c>
      <c r="C3720" s="6">
        <v>15000</v>
      </c>
      <c r="D3720" s="6">
        <v>15000</v>
      </c>
      <c r="E3720" s="6">
        <v>15000</v>
      </c>
      <c r="F3720" s="6">
        <v>15000</v>
      </c>
      <c r="G3720" s="7" t="s">
        <v>18</v>
      </c>
      <c r="H3720" s="1">
        <f t="shared" si="58"/>
        <v>1</v>
      </c>
    </row>
    <row r="3721" spans="1:8" x14ac:dyDescent="0.25">
      <c r="A3721" s="1" t="s">
        <v>12</v>
      </c>
      <c r="B3721" s="1" t="s">
        <v>15</v>
      </c>
      <c r="C3721" s="6">
        <v>15000</v>
      </c>
      <c r="D3721" s="6">
        <v>15000</v>
      </c>
      <c r="E3721" s="6">
        <v>15000</v>
      </c>
      <c r="F3721" s="6">
        <v>15000</v>
      </c>
      <c r="G3721" s="7" t="s">
        <v>18</v>
      </c>
      <c r="H3721" s="1">
        <f t="shared" si="58"/>
        <v>1</v>
      </c>
    </row>
    <row r="3722" spans="1:8" x14ac:dyDescent="0.25">
      <c r="A3722" s="1" t="s">
        <v>12</v>
      </c>
      <c r="B3722" s="1" t="s">
        <v>15</v>
      </c>
      <c r="C3722" s="6">
        <v>15000</v>
      </c>
      <c r="D3722" s="6">
        <v>15000</v>
      </c>
      <c r="E3722" s="6">
        <v>15000</v>
      </c>
      <c r="F3722" s="6">
        <v>15000</v>
      </c>
      <c r="G3722" s="7" t="s">
        <v>18</v>
      </c>
      <c r="H3722" s="1">
        <f t="shared" si="58"/>
        <v>1</v>
      </c>
    </row>
    <row r="3723" spans="1:8" x14ac:dyDescent="0.25">
      <c r="A3723" s="1" t="s">
        <v>12</v>
      </c>
      <c r="B3723" s="1" t="s">
        <v>15</v>
      </c>
      <c r="C3723" s="6">
        <v>15000</v>
      </c>
      <c r="D3723" s="6">
        <v>15000</v>
      </c>
      <c r="E3723" s="6">
        <v>15000</v>
      </c>
      <c r="F3723" s="6">
        <v>15000</v>
      </c>
      <c r="G3723" s="7" t="s">
        <v>18</v>
      </c>
      <c r="H3723" s="1">
        <f t="shared" si="58"/>
        <v>1</v>
      </c>
    </row>
    <row r="3724" spans="1:8" x14ac:dyDescent="0.25">
      <c r="A3724" s="1" t="s">
        <v>12</v>
      </c>
      <c r="B3724" s="1" t="s">
        <v>15</v>
      </c>
      <c r="C3724" s="6">
        <v>36305</v>
      </c>
      <c r="D3724" s="6">
        <v>36305</v>
      </c>
      <c r="E3724" s="6">
        <v>36305</v>
      </c>
      <c r="F3724" s="6">
        <v>36305</v>
      </c>
      <c r="G3724" s="7" t="s">
        <v>18</v>
      </c>
      <c r="H3724" s="1">
        <f t="shared" si="58"/>
        <v>1</v>
      </c>
    </row>
    <row r="3725" spans="1:8" x14ac:dyDescent="0.25">
      <c r="A3725" s="1" t="s">
        <v>12</v>
      </c>
      <c r="B3725" s="1" t="s">
        <v>15</v>
      </c>
      <c r="C3725" s="6">
        <v>37500</v>
      </c>
      <c r="D3725" s="6">
        <v>37500</v>
      </c>
      <c r="E3725" s="6">
        <v>37500</v>
      </c>
      <c r="F3725" s="6">
        <v>37500</v>
      </c>
      <c r="G3725" s="7" t="s">
        <v>18</v>
      </c>
      <c r="H3725" s="1">
        <f t="shared" si="58"/>
        <v>1</v>
      </c>
    </row>
    <row r="3726" spans="1:8" x14ac:dyDescent="0.25">
      <c r="A3726" s="1" t="s">
        <v>12</v>
      </c>
      <c r="B3726" s="1" t="s">
        <v>15</v>
      </c>
      <c r="C3726" s="6">
        <v>37500</v>
      </c>
      <c r="D3726" s="6">
        <v>37500</v>
      </c>
      <c r="E3726" s="6">
        <v>37500</v>
      </c>
      <c r="F3726" s="6">
        <v>37500</v>
      </c>
      <c r="G3726" s="7" t="s">
        <v>18</v>
      </c>
      <c r="H3726" s="1">
        <f t="shared" si="58"/>
        <v>1</v>
      </c>
    </row>
    <row r="3727" spans="1:8" x14ac:dyDescent="0.25">
      <c r="A3727" s="1" t="s">
        <v>12</v>
      </c>
      <c r="B3727" s="1" t="s">
        <v>15</v>
      </c>
      <c r="C3727" s="6">
        <v>10000</v>
      </c>
      <c r="D3727" s="6">
        <v>10000</v>
      </c>
      <c r="E3727" s="6">
        <v>10000</v>
      </c>
      <c r="F3727" s="6">
        <v>10000</v>
      </c>
      <c r="G3727" s="7" t="s">
        <v>18</v>
      </c>
      <c r="H3727" s="1">
        <f t="shared" si="58"/>
        <v>1</v>
      </c>
    </row>
    <row r="3728" spans="1:8" x14ac:dyDescent="0.25">
      <c r="A3728" s="1" t="s">
        <v>12</v>
      </c>
      <c r="B3728" s="1" t="s">
        <v>15</v>
      </c>
      <c r="C3728" s="6">
        <v>25000</v>
      </c>
      <c r="D3728" s="6">
        <v>25000</v>
      </c>
      <c r="E3728" s="6">
        <v>25000</v>
      </c>
      <c r="F3728" s="6">
        <v>25000</v>
      </c>
      <c r="G3728" s="7" t="s">
        <v>18</v>
      </c>
      <c r="H3728" s="1">
        <f t="shared" si="58"/>
        <v>1</v>
      </c>
    </row>
    <row r="3729" spans="1:8" x14ac:dyDescent="0.25">
      <c r="A3729" s="1" t="s">
        <v>12</v>
      </c>
      <c r="B3729" s="1" t="s">
        <v>15</v>
      </c>
      <c r="C3729" s="6">
        <v>127500</v>
      </c>
      <c r="D3729" s="6">
        <v>127500</v>
      </c>
      <c r="E3729" s="6">
        <v>127500</v>
      </c>
      <c r="F3729" s="6">
        <v>127500</v>
      </c>
      <c r="G3729" s="7" t="s">
        <v>18</v>
      </c>
      <c r="H3729" s="1">
        <f t="shared" si="58"/>
        <v>1</v>
      </c>
    </row>
    <row r="3730" spans="1:8" x14ac:dyDescent="0.25">
      <c r="A3730" s="1" t="s">
        <v>12</v>
      </c>
      <c r="B3730" s="1" t="s">
        <v>15</v>
      </c>
      <c r="C3730" s="6">
        <v>135000</v>
      </c>
      <c r="D3730" s="6">
        <v>135000</v>
      </c>
      <c r="E3730" s="6">
        <v>135000</v>
      </c>
      <c r="F3730" s="6">
        <v>135000</v>
      </c>
      <c r="G3730" s="7" t="s">
        <v>18</v>
      </c>
      <c r="H3730" s="1">
        <f t="shared" si="58"/>
        <v>1</v>
      </c>
    </row>
    <row r="3731" spans="1:8" x14ac:dyDescent="0.25">
      <c r="A3731" s="1" t="s">
        <v>12</v>
      </c>
      <c r="B3731" s="1" t="s">
        <v>15</v>
      </c>
      <c r="C3731" s="6">
        <v>272305</v>
      </c>
      <c r="D3731" s="6">
        <v>272305</v>
      </c>
      <c r="E3731" s="6">
        <v>272305</v>
      </c>
      <c r="F3731" s="6">
        <v>272305</v>
      </c>
      <c r="G3731" s="7" t="s">
        <v>18</v>
      </c>
      <c r="H3731" s="1">
        <f t="shared" si="58"/>
        <v>1</v>
      </c>
    </row>
    <row r="3732" spans="1:8" x14ac:dyDescent="0.25">
      <c r="A3732" s="1" t="s">
        <v>12</v>
      </c>
      <c r="B3732" s="1" t="s">
        <v>15</v>
      </c>
      <c r="C3732" s="6">
        <v>62500</v>
      </c>
      <c r="D3732" s="6">
        <v>62500</v>
      </c>
      <c r="E3732" s="6">
        <v>62500</v>
      </c>
      <c r="F3732" s="6">
        <v>62500</v>
      </c>
      <c r="G3732" s="7" t="s">
        <v>18</v>
      </c>
      <c r="H3732" s="1">
        <f t="shared" si="58"/>
        <v>1</v>
      </c>
    </row>
    <row r="3733" spans="1:8" x14ac:dyDescent="0.25">
      <c r="A3733" s="1" t="s">
        <v>12</v>
      </c>
      <c r="B3733" s="1" t="s">
        <v>15</v>
      </c>
      <c r="C3733" s="6">
        <v>37500</v>
      </c>
      <c r="D3733" s="6">
        <v>37500</v>
      </c>
      <c r="E3733" s="6">
        <v>37500</v>
      </c>
      <c r="F3733" s="6">
        <v>37500</v>
      </c>
      <c r="G3733" s="7" t="s">
        <v>18</v>
      </c>
      <c r="H3733" s="1">
        <f t="shared" si="58"/>
        <v>1</v>
      </c>
    </row>
    <row r="3734" spans="1:8" x14ac:dyDescent="0.25">
      <c r="A3734" s="1" t="s">
        <v>12</v>
      </c>
      <c r="B3734" s="1" t="s">
        <v>15</v>
      </c>
      <c r="C3734" s="6">
        <v>50000</v>
      </c>
      <c r="D3734" s="6">
        <v>50000</v>
      </c>
      <c r="E3734" s="6">
        <v>50000</v>
      </c>
      <c r="F3734" s="6">
        <v>50000</v>
      </c>
      <c r="G3734" s="7" t="s">
        <v>18</v>
      </c>
      <c r="H3734" s="1">
        <f t="shared" si="58"/>
        <v>1</v>
      </c>
    </row>
    <row r="3735" spans="1:8" x14ac:dyDescent="0.25">
      <c r="A3735" s="1" t="s">
        <v>12</v>
      </c>
      <c r="B3735" s="1" t="s">
        <v>15</v>
      </c>
      <c r="C3735" s="6">
        <v>37250</v>
      </c>
      <c r="D3735" s="6">
        <v>37250</v>
      </c>
      <c r="E3735" s="6">
        <v>37250</v>
      </c>
      <c r="F3735" s="6">
        <v>37250</v>
      </c>
      <c r="G3735" s="7" t="s">
        <v>18</v>
      </c>
      <c r="H3735" s="1">
        <f t="shared" si="58"/>
        <v>1</v>
      </c>
    </row>
    <row r="3736" spans="1:8" x14ac:dyDescent="0.25">
      <c r="A3736" s="1" t="s">
        <v>12</v>
      </c>
      <c r="B3736" s="1" t="s">
        <v>15</v>
      </c>
      <c r="C3736" s="6">
        <v>12500</v>
      </c>
      <c r="D3736" s="6">
        <v>12500</v>
      </c>
      <c r="E3736" s="6">
        <v>12500</v>
      </c>
      <c r="F3736" s="6">
        <v>12500</v>
      </c>
      <c r="G3736" s="7" t="s">
        <v>18</v>
      </c>
      <c r="H3736" s="1">
        <f t="shared" si="58"/>
        <v>1</v>
      </c>
    </row>
    <row r="3737" spans="1:8" x14ac:dyDescent="0.25">
      <c r="A3737" s="1" t="s">
        <v>12</v>
      </c>
      <c r="B3737" s="1" t="s">
        <v>15</v>
      </c>
      <c r="C3737" s="6">
        <v>12500</v>
      </c>
      <c r="D3737" s="6">
        <v>12500</v>
      </c>
      <c r="E3737" s="6">
        <v>12500</v>
      </c>
      <c r="F3737" s="6">
        <v>12500</v>
      </c>
      <c r="G3737" s="7" t="s">
        <v>18</v>
      </c>
      <c r="H3737" s="1">
        <f t="shared" si="58"/>
        <v>1</v>
      </c>
    </row>
    <row r="3738" spans="1:8" x14ac:dyDescent="0.25">
      <c r="A3738" s="1" t="s">
        <v>12</v>
      </c>
      <c r="B3738" s="1" t="s">
        <v>15</v>
      </c>
      <c r="C3738" s="6">
        <v>12500</v>
      </c>
      <c r="D3738" s="6">
        <v>12500</v>
      </c>
      <c r="E3738" s="6">
        <v>12500</v>
      </c>
      <c r="F3738" s="6">
        <v>12500</v>
      </c>
      <c r="G3738" s="7" t="s">
        <v>18</v>
      </c>
      <c r="H3738" s="1">
        <f t="shared" ref="H3738:H3805" si="59">IF(OR(ISNA($D3738),ISNA($C3738),$C3738=0),0,$D3738/$C3738)</f>
        <v>1</v>
      </c>
    </row>
    <row r="3739" spans="1:8" x14ac:dyDescent="0.25">
      <c r="A3739" s="1" t="s">
        <v>12</v>
      </c>
      <c r="B3739" s="1" t="s">
        <v>15</v>
      </c>
      <c r="C3739" s="6">
        <v>12500</v>
      </c>
      <c r="D3739" s="6">
        <v>12500</v>
      </c>
      <c r="E3739" s="6">
        <v>12500</v>
      </c>
      <c r="F3739" s="6">
        <v>12500</v>
      </c>
      <c r="G3739" s="7" t="s">
        <v>18</v>
      </c>
      <c r="H3739" s="1">
        <f t="shared" si="59"/>
        <v>1</v>
      </c>
    </row>
    <row r="3740" spans="1:8" x14ac:dyDescent="0.25">
      <c r="A3740" s="1" t="s">
        <v>12</v>
      </c>
      <c r="B3740" s="1" t="s">
        <v>15</v>
      </c>
      <c r="C3740" s="6">
        <v>50000</v>
      </c>
      <c r="D3740" s="6">
        <v>50000</v>
      </c>
      <c r="E3740" s="6">
        <v>50000</v>
      </c>
      <c r="F3740" s="6">
        <v>50000</v>
      </c>
      <c r="G3740" s="7" t="s">
        <v>18</v>
      </c>
      <c r="H3740" s="1">
        <f t="shared" si="59"/>
        <v>1</v>
      </c>
    </row>
    <row r="3741" spans="1:8" x14ac:dyDescent="0.25">
      <c r="A3741" s="1" t="s">
        <v>12</v>
      </c>
      <c r="B3741" s="1" t="s">
        <v>15</v>
      </c>
      <c r="C3741" s="6">
        <v>50152.5</v>
      </c>
      <c r="D3741" s="6">
        <v>50152.5</v>
      </c>
      <c r="E3741" s="6">
        <v>50152.5</v>
      </c>
      <c r="F3741" s="6">
        <v>50152.5</v>
      </c>
      <c r="G3741" s="7" t="s">
        <v>18</v>
      </c>
      <c r="H3741" s="1">
        <f t="shared" si="59"/>
        <v>1</v>
      </c>
    </row>
    <row r="3742" spans="1:8" x14ac:dyDescent="0.25">
      <c r="A3742" s="1" t="s">
        <v>12</v>
      </c>
      <c r="B3742" s="1" t="s">
        <v>15</v>
      </c>
      <c r="C3742" s="6">
        <v>50000</v>
      </c>
      <c r="D3742" s="6">
        <v>50000</v>
      </c>
      <c r="E3742" s="6">
        <v>50000</v>
      </c>
      <c r="F3742" s="6">
        <v>50000</v>
      </c>
      <c r="G3742" s="7" t="s">
        <v>18</v>
      </c>
      <c r="H3742" s="1">
        <f t="shared" si="59"/>
        <v>1</v>
      </c>
    </row>
    <row r="3743" spans="1:8" x14ac:dyDescent="0.25">
      <c r="A3743" s="1" t="s">
        <v>12</v>
      </c>
      <c r="B3743" s="1" t="s">
        <v>15</v>
      </c>
      <c r="C3743" s="6">
        <v>7500</v>
      </c>
      <c r="D3743" s="6">
        <v>7500</v>
      </c>
      <c r="E3743" s="6">
        <v>7500</v>
      </c>
      <c r="F3743" s="6">
        <v>7500</v>
      </c>
      <c r="G3743" s="7" t="s">
        <v>18</v>
      </c>
      <c r="H3743" s="1">
        <f t="shared" si="59"/>
        <v>1</v>
      </c>
    </row>
    <row r="3744" spans="1:8" x14ac:dyDescent="0.25">
      <c r="A3744" s="1" t="s">
        <v>12</v>
      </c>
      <c r="B3744" s="1" t="s">
        <v>15</v>
      </c>
      <c r="C3744" s="6">
        <v>37500</v>
      </c>
      <c r="D3744" s="6">
        <v>37500</v>
      </c>
      <c r="E3744" s="6">
        <v>37500</v>
      </c>
      <c r="F3744" s="6">
        <v>37500</v>
      </c>
      <c r="G3744" s="7" t="s">
        <v>18</v>
      </c>
      <c r="H3744" s="1">
        <f t="shared" si="59"/>
        <v>1</v>
      </c>
    </row>
    <row r="3745" spans="1:8" x14ac:dyDescent="0.25">
      <c r="A3745" s="1" t="s">
        <v>12</v>
      </c>
      <c r="B3745" s="1" t="s">
        <v>15</v>
      </c>
      <c r="C3745" s="6">
        <v>25000</v>
      </c>
      <c r="D3745" s="6">
        <v>25000</v>
      </c>
      <c r="E3745" s="6">
        <v>25000</v>
      </c>
      <c r="F3745" s="6">
        <v>25000</v>
      </c>
      <c r="G3745" s="7" t="s">
        <v>18</v>
      </c>
      <c r="H3745" s="1">
        <f t="shared" si="59"/>
        <v>1</v>
      </c>
    </row>
    <row r="3746" spans="1:8" x14ac:dyDescent="0.25">
      <c r="A3746" s="1" t="s">
        <v>12</v>
      </c>
      <c r="B3746" s="1" t="s">
        <v>15</v>
      </c>
      <c r="C3746" s="6">
        <v>12500</v>
      </c>
      <c r="D3746" s="6">
        <v>12500</v>
      </c>
      <c r="E3746" s="6">
        <v>12500</v>
      </c>
      <c r="F3746" s="6">
        <v>12500</v>
      </c>
      <c r="G3746" s="7" t="s">
        <v>18</v>
      </c>
      <c r="H3746" s="1">
        <f t="shared" si="59"/>
        <v>1</v>
      </c>
    </row>
    <row r="3747" spans="1:8" x14ac:dyDescent="0.25">
      <c r="A3747" s="1" t="s">
        <v>12</v>
      </c>
      <c r="B3747" s="1" t="s">
        <v>15</v>
      </c>
      <c r="C3747" s="6">
        <v>12500</v>
      </c>
      <c r="D3747" s="6">
        <v>12500</v>
      </c>
      <c r="E3747" s="6">
        <v>12500</v>
      </c>
      <c r="F3747" s="6">
        <v>12500</v>
      </c>
      <c r="G3747" s="7" t="s">
        <v>18</v>
      </c>
      <c r="H3747" s="1">
        <f t="shared" si="59"/>
        <v>1</v>
      </c>
    </row>
    <row r="3748" spans="1:8" x14ac:dyDescent="0.25">
      <c r="A3748" s="1" t="s">
        <v>12</v>
      </c>
      <c r="B3748" s="1" t="s">
        <v>15</v>
      </c>
      <c r="C3748" s="6">
        <v>12500</v>
      </c>
      <c r="D3748" s="6">
        <v>12500</v>
      </c>
      <c r="E3748" s="6">
        <v>12500</v>
      </c>
      <c r="F3748" s="6">
        <v>12500</v>
      </c>
      <c r="G3748" s="7" t="s">
        <v>18</v>
      </c>
      <c r="H3748" s="1">
        <f t="shared" si="59"/>
        <v>1</v>
      </c>
    </row>
    <row r="3749" spans="1:8" x14ac:dyDescent="0.25">
      <c r="A3749" s="1" t="s">
        <v>12</v>
      </c>
      <c r="B3749" s="1" t="s">
        <v>15</v>
      </c>
      <c r="C3749" s="6">
        <v>11000</v>
      </c>
      <c r="D3749" s="6">
        <v>11000</v>
      </c>
      <c r="E3749" s="6">
        <v>11000</v>
      </c>
      <c r="F3749" s="6">
        <v>11000</v>
      </c>
      <c r="G3749" s="7" t="s">
        <v>18</v>
      </c>
      <c r="H3749" s="1">
        <f t="shared" si="59"/>
        <v>1</v>
      </c>
    </row>
    <row r="3750" spans="1:8" x14ac:dyDescent="0.25">
      <c r="A3750" s="1" t="s">
        <v>12</v>
      </c>
      <c r="B3750" s="1" t="s">
        <v>15</v>
      </c>
      <c r="C3750" s="6">
        <v>62500</v>
      </c>
      <c r="D3750" s="6">
        <v>62500</v>
      </c>
      <c r="E3750" s="6">
        <v>62500</v>
      </c>
      <c r="F3750" s="6">
        <v>62500</v>
      </c>
      <c r="G3750" s="7" t="s">
        <v>18</v>
      </c>
      <c r="H3750" s="1">
        <f t="shared" si="59"/>
        <v>1</v>
      </c>
    </row>
    <row r="3751" spans="1:8" x14ac:dyDescent="0.25">
      <c r="A3751" s="1" t="s">
        <v>12</v>
      </c>
      <c r="B3751" s="1" t="s">
        <v>15</v>
      </c>
      <c r="C3751" s="6">
        <v>62500</v>
      </c>
      <c r="D3751" s="6">
        <v>62500</v>
      </c>
      <c r="E3751" s="6">
        <v>62500</v>
      </c>
      <c r="F3751" s="6">
        <v>62500</v>
      </c>
      <c r="G3751" s="7" t="s">
        <v>18</v>
      </c>
      <c r="H3751" s="1">
        <f t="shared" si="59"/>
        <v>1</v>
      </c>
    </row>
    <row r="3752" spans="1:8" x14ac:dyDescent="0.25">
      <c r="A3752" s="1" t="s">
        <v>12</v>
      </c>
      <c r="B3752" s="1" t="s">
        <v>15</v>
      </c>
      <c r="C3752" s="6">
        <v>62500</v>
      </c>
      <c r="D3752" s="6">
        <v>62500</v>
      </c>
      <c r="E3752" s="6">
        <v>62500</v>
      </c>
      <c r="F3752" s="6">
        <v>62500</v>
      </c>
      <c r="G3752" s="7" t="s">
        <v>18</v>
      </c>
      <c r="H3752" s="1">
        <f t="shared" si="59"/>
        <v>1</v>
      </c>
    </row>
    <row r="3753" spans="1:8" x14ac:dyDescent="0.25">
      <c r="A3753" s="1" t="s">
        <v>12</v>
      </c>
      <c r="B3753" s="1" t="s">
        <v>15</v>
      </c>
      <c r="C3753" s="6">
        <v>15000</v>
      </c>
      <c r="D3753" s="6">
        <v>15000</v>
      </c>
      <c r="E3753" s="6">
        <v>15000</v>
      </c>
      <c r="F3753" s="6">
        <v>15000</v>
      </c>
      <c r="G3753" s="7" t="s">
        <v>18</v>
      </c>
      <c r="H3753" s="1">
        <f t="shared" si="59"/>
        <v>1</v>
      </c>
    </row>
    <row r="3754" spans="1:8" x14ac:dyDescent="0.25">
      <c r="A3754" s="1" t="s">
        <v>12</v>
      </c>
      <c r="B3754" s="1" t="s">
        <v>15</v>
      </c>
      <c r="C3754" s="6">
        <v>15000</v>
      </c>
      <c r="D3754" s="6">
        <v>15000</v>
      </c>
      <c r="E3754" s="6">
        <v>15000</v>
      </c>
      <c r="F3754" s="6">
        <v>15000</v>
      </c>
      <c r="G3754" s="7" t="s">
        <v>18</v>
      </c>
      <c r="H3754" s="1">
        <f t="shared" si="59"/>
        <v>1</v>
      </c>
    </row>
    <row r="3755" spans="1:8" x14ac:dyDescent="0.25">
      <c r="A3755" s="1" t="s">
        <v>12</v>
      </c>
      <c r="B3755" s="1" t="s">
        <v>15</v>
      </c>
      <c r="C3755" s="6">
        <v>15000</v>
      </c>
      <c r="D3755" s="6">
        <v>15000</v>
      </c>
      <c r="E3755" s="6">
        <v>15000</v>
      </c>
      <c r="F3755" s="6">
        <v>15000</v>
      </c>
      <c r="G3755" s="7" t="s">
        <v>18</v>
      </c>
      <c r="H3755" s="1">
        <f t="shared" si="59"/>
        <v>1</v>
      </c>
    </row>
    <row r="3756" spans="1:8" x14ac:dyDescent="0.25">
      <c r="A3756" s="1" t="s">
        <v>12</v>
      </c>
      <c r="B3756" s="1" t="s">
        <v>15</v>
      </c>
      <c r="C3756" s="6">
        <v>37500</v>
      </c>
      <c r="D3756" s="6">
        <v>37500</v>
      </c>
      <c r="E3756" s="6">
        <v>37500</v>
      </c>
      <c r="F3756" s="6">
        <v>37500</v>
      </c>
      <c r="G3756" s="7" t="s">
        <v>18</v>
      </c>
      <c r="H3756" s="1">
        <f t="shared" si="59"/>
        <v>1</v>
      </c>
    </row>
    <row r="3757" spans="1:8" x14ac:dyDescent="0.25">
      <c r="A3757" s="1" t="s">
        <v>12</v>
      </c>
      <c r="B3757" s="1" t="s">
        <v>15</v>
      </c>
      <c r="C3757" s="6">
        <v>37500</v>
      </c>
      <c r="D3757" s="6">
        <v>37500</v>
      </c>
      <c r="E3757" s="6">
        <v>37500</v>
      </c>
      <c r="F3757" s="6">
        <v>37500</v>
      </c>
      <c r="G3757" s="7" t="s">
        <v>18</v>
      </c>
      <c r="H3757" s="1">
        <f t="shared" si="59"/>
        <v>1</v>
      </c>
    </row>
    <row r="3758" spans="1:8" x14ac:dyDescent="0.25">
      <c r="A3758" s="1" t="s">
        <v>12</v>
      </c>
      <c r="B3758" s="1" t="s">
        <v>15</v>
      </c>
      <c r="C3758" s="6">
        <v>50000</v>
      </c>
      <c r="D3758" s="6">
        <v>50000</v>
      </c>
      <c r="E3758" s="6">
        <v>50000</v>
      </c>
      <c r="F3758" s="6">
        <v>50000</v>
      </c>
      <c r="G3758" s="7" t="s">
        <v>18</v>
      </c>
      <c r="H3758" s="1">
        <f t="shared" si="59"/>
        <v>1</v>
      </c>
    </row>
    <row r="3759" spans="1:8" x14ac:dyDescent="0.25">
      <c r="A3759" s="1" t="s">
        <v>12</v>
      </c>
      <c r="B3759" s="1" t="s">
        <v>15</v>
      </c>
      <c r="C3759" s="6">
        <v>25000</v>
      </c>
      <c r="D3759" s="6">
        <v>25000</v>
      </c>
      <c r="E3759" s="6">
        <v>25000</v>
      </c>
      <c r="F3759" s="6">
        <v>25000</v>
      </c>
      <c r="G3759" s="7" t="s">
        <v>18</v>
      </c>
      <c r="H3759" s="1">
        <f t="shared" si="59"/>
        <v>1</v>
      </c>
    </row>
    <row r="3760" spans="1:8" x14ac:dyDescent="0.25">
      <c r="A3760" s="1" t="s">
        <v>12</v>
      </c>
      <c r="B3760" s="1" t="s">
        <v>15</v>
      </c>
      <c r="C3760" s="6">
        <v>25000</v>
      </c>
      <c r="D3760" s="6">
        <v>25000</v>
      </c>
      <c r="E3760" s="6">
        <v>25000</v>
      </c>
      <c r="F3760" s="6">
        <v>25000</v>
      </c>
      <c r="G3760" s="7" t="s">
        <v>18</v>
      </c>
      <c r="H3760" s="1">
        <f t="shared" si="59"/>
        <v>1</v>
      </c>
    </row>
    <row r="3761" spans="1:8" x14ac:dyDescent="0.25">
      <c r="A3761" s="1" t="s">
        <v>12</v>
      </c>
      <c r="B3761" s="1" t="s">
        <v>15</v>
      </c>
      <c r="C3761" s="6">
        <v>25000</v>
      </c>
      <c r="D3761" s="6">
        <v>25000</v>
      </c>
      <c r="E3761" s="6">
        <v>25000</v>
      </c>
      <c r="F3761" s="6">
        <v>25000</v>
      </c>
      <c r="G3761" s="7" t="s">
        <v>18</v>
      </c>
      <c r="H3761" s="1">
        <f t="shared" si="59"/>
        <v>1</v>
      </c>
    </row>
    <row r="3762" spans="1:8" x14ac:dyDescent="0.25">
      <c r="A3762" s="1" t="s">
        <v>12</v>
      </c>
      <c r="B3762" s="1" t="s">
        <v>15</v>
      </c>
      <c r="C3762" s="6">
        <v>72250</v>
      </c>
      <c r="D3762" s="6">
        <v>72250</v>
      </c>
      <c r="E3762" s="6">
        <v>72250</v>
      </c>
      <c r="F3762" s="6">
        <v>72250</v>
      </c>
      <c r="G3762" s="7" t="s">
        <v>18</v>
      </c>
      <c r="H3762" s="1">
        <f t="shared" si="59"/>
        <v>1</v>
      </c>
    </row>
    <row r="3763" spans="1:8" x14ac:dyDescent="0.25">
      <c r="A3763" s="1" t="s">
        <v>12</v>
      </c>
      <c r="B3763" s="1" t="s">
        <v>15</v>
      </c>
      <c r="C3763" s="6">
        <v>37500</v>
      </c>
      <c r="D3763" s="6">
        <v>37500</v>
      </c>
      <c r="E3763" s="6">
        <v>37500</v>
      </c>
      <c r="F3763" s="6">
        <v>37500</v>
      </c>
      <c r="G3763" s="7" t="s">
        <v>18</v>
      </c>
      <c r="H3763" s="1">
        <f t="shared" si="59"/>
        <v>1</v>
      </c>
    </row>
    <row r="3764" spans="1:8" x14ac:dyDescent="0.25">
      <c r="A3764" s="1" t="s">
        <v>12</v>
      </c>
      <c r="B3764" s="1" t="s">
        <v>15</v>
      </c>
      <c r="C3764" s="6">
        <v>25000</v>
      </c>
      <c r="D3764" s="6">
        <v>25000</v>
      </c>
      <c r="E3764" s="6">
        <v>25000</v>
      </c>
      <c r="F3764" s="6">
        <v>25000</v>
      </c>
      <c r="G3764" s="7" t="s">
        <v>18</v>
      </c>
      <c r="H3764" s="1">
        <f t="shared" si="59"/>
        <v>1</v>
      </c>
    </row>
    <row r="3765" spans="1:8" x14ac:dyDescent="0.25">
      <c r="A3765" s="1" t="s">
        <v>12</v>
      </c>
      <c r="B3765" s="1" t="s">
        <v>15</v>
      </c>
      <c r="C3765" s="6">
        <v>25000</v>
      </c>
      <c r="D3765" s="6">
        <v>25000</v>
      </c>
      <c r="E3765" s="6">
        <v>25000</v>
      </c>
      <c r="F3765" s="6">
        <v>25000</v>
      </c>
      <c r="G3765" s="7" t="s">
        <v>18</v>
      </c>
      <c r="H3765" s="1">
        <f t="shared" si="59"/>
        <v>1</v>
      </c>
    </row>
    <row r="3766" spans="1:8" x14ac:dyDescent="0.25">
      <c r="A3766" s="1" t="s">
        <v>12</v>
      </c>
      <c r="B3766" s="1" t="s">
        <v>15</v>
      </c>
      <c r="C3766" s="6">
        <v>25000</v>
      </c>
      <c r="D3766" s="6">
        <v>25000</v>
      </c>
      <c r="E3766" s="6">
        <v>25000</v>
      </c>
      <c r="F3766" s="6">
        <v>25000</v>
      </c>
      <c r="G3766" s="7" t="s">
        <v>18</v>
      </c>
      <c r="H3766" s="1">
        <f t="shared" si="59"/>
        <v>1</v>
      </c>
    </row>
    <row r="3767" spans="1:8" x14ac:dyDescent="0.25">
      <c r="A3767" s="1" t="s">
        <v>12</v>
      </c>
      <c r="B3767" s="1" t="s">
        <v>15</v>
      </c>
      <c r="C3767" s="6">
        <v>135000</v>
      </c>
      <c r="D3767" s="6">
        <v>135000</v>
      </c>
      <c r="E3767" s="6">
        <v>135000</v>
      </c>
      <c r="F3767" s="6">
        <v>135000</v>
      </c>
      <c r="G3767" s="7" t="s">
        <v>18</v>
      </c>
      <c r="H3767" s="1">
        <f t="shared" si="59"/>
        <v>1</v>
      </c>
    </row>
    <row r="3768" spans="1:8" x14ac:dyDescent="0.25">
      <c r="A3768" s="1" t="s">
        <v>12</v>
      </c>
      <c r="B3768" s="1" t="s">
        <v>15</v>
      </c>
      <c r="C3768" s="6">
        <v>161000</v>
      </c>
      <c r="D3768" s="6">
        <v>161000</v>
      </c>
      <c r="E3768" s="6">
        <v>161000</v>
      </c>
      <c r="F3768" s="6">
        <v>161000</v>
      </c>
      <c r="G3768" s="7" t="s">
        <v>18</v>
      </c>
      <c r="H3768" s="1">
        <f t="shared" si="59"/>
        <v>1</v>
      </c>
    </row>
    <row r="3769" spans="1:8" x14ac:dyDescent="0.25">
      <c r="A3769" s="1" t="s">
        <v>12</v>
      </c>
      <c r="B3769" s="1" t="s">
        <v>15</v>
      </c>
      <c r="C3769" s="6">
        <v>80500</v>
      </c>
      <c r="D3769" s="6">
        <v>80500</v>
      </c>
      <c r="E3769" s="6">
        <v>80500</v>
      </c>
      <c r="F3769" s="6">
        <v>80500</v>
      </c>
      <c r="G3769" s="7" t="s">
        <v>18</v>
      </c>
      <c r="H3769" s="1">
        <f t="shared" si="59"/>
        <v>1</v>
      </c>
    </row>
    <row r="3770" spans="1:8" x14ac:dyDescent="0.25">
      <c r="A3770" s="1" t="s">
        <v>12</v>
      </c>
      <c r="B3770" s="1" t="s">
        <v>15</v>
      </c>
      <c r="C3770" s="6">
        <v>23750</v>
      </c>
      <c r="D3770" s="6">
        <v>23750</v>
      </c>
      <c r="E3770" s="6">
        <v>23750</v>
      </c>
      <c r="F3770" s="6">
        <v>23750</v>
      </c>
      <c r="G3770" s="7" t="s">
        <v>18</v>
      </c>
      <c r="H3770" s="1">
        <f t="shared" si="59"/>
        <v>1</v>
      </c>
    </row>
    <row r="3771" spans="1:8" x14ac:dyDescent="0.25">
      <c r="A3771" s="1" t="s">
        <v>12</v>
      </c>
      <c r="B3771" s="1" t="s">
        <v>15</v>
      </c>
      <c r="C3771" s="6">
        <v>12500</v>
      </c>
      <c r="D3771" s="6">
        <v>12500</v>
      </c>
      <c r="E3771" s="6">
        <v>12500</v>
      </c>
      <c r="F3771" s="6">
        <v>12500</v>
      </c>
      <c r="G3771" s="7" t="s">
        <v>18</v>
      </c>
      <c r="H3771" s="1">
        <f t="shared" si="59"/>
        <v>1</v>
      </c>
    </row>
    <row r="3772" spans="1:8" x14ac:dyDescent="0.25">
      <c r="A3772" s="1" t="s">
        <v>12</v>
      </c>
      <c r="B3772" s="1" t="s">
        <v>15</v>
      </c>
      <c r="C3772" s="6">
        <v>12500</v>
      </c>
      <c r="D3772" s="6">
        <v>12500</v>
      </c>
      <c r="E3772" s="6">
        <v>12500</v>
      </c>
      <c r="F3772" s="6">
        <v>12500</v>
      </c>
      <c r="G3772" s="7" t="s">
        <v>18</v>
      </c>
      <c r="H3772" s="1">
        <f t="shared" si="59"/>
        <v>1</v>
      </c>
    </row>
    <row r="3773" spans="1:8" x14ac:dyDescent="0.25">
      <c r="A3773" s="1" t="s">
        <v>12</v>
      </c>
      <c r="B3773" s="1" t="s">
        <v>15</v>
      </c>
      <c r="C3773" s="6">
        <v>37500</v>
      </c>
      <c r="D3773" s="6">
        <v>37500</v>
      </c>
      <c r="E3773" s="6">
        <v>37500</v>
      </c>
      <c r="F3773" s="6">
        <v>37500</v>
      </c>
      <c r="G3773" s="7" t="s">
        <v>18</v>
      </c>
      <c r="H3773" s="1">
        <f t="shared" si="59"/>
        <v>1</v>
      </c>
    </row>
    <row r="3774" spans="1:8" x14ac:dyDescent="0.25">
      <c r="A3774" s="1" t="s">
        <v>12</v>
      </c>
      <c r="B3774" s="1" t="s">
        <v>15</v>
      </c>
      <c r="C3774" s="6">
        <v>161152.5</v>
      </c>
      <c r="D3774" s="6">
        <v>161152.5</v>
      </c>
      <c r="E3774" s="6">
        <v>161152.5</v>
      </c>
      <c r="F3774" s="6">
        <v>161152.5</v>
      </c>
      <c r="G3774" s="7" t="s">
        <v>18</v>
      </c>
      <c r="H3774" s="1">
        <f t="shared" si="59"/>
        <v>1</v>
      </c>
    </row>
    <row r="3775" spans="1:8" x14ac:dyDescent="0.25">
      <c r="A3775" s="1" t="s">
        <v>12</v>
      </c>
      <c r="B3775" s="1" t="s">
        <v>15</v>
      </c>
      <c r="C3775" s="6">
        <v>39500</v>
      </c>
      <c r="D3775" s="6">
        <v>39500</v>
      </c>
      <c r="E3775" s="6">
        <v>39500</v>
      </c>
      <c r="F3775" s="6">
        <v>39500</v>
      </c>
      <c r="G3775" s="7" t="s">
        <v>18</v>
      </c>
      <c r="H3775" s="1">
        <f t="shared" si="59"/>
        <v>1</v>
      </c>
    </row>
    <row r="3776" spans="1:8" x14ac:dyDescent="0.25">
      <c r="A3776" s="1" t="s">
        <v>12</v>
      </c>
      <c r="B3776" s="1" t="s">
        <v>15</v>
      </c>
      <c r="C3776" s="6">
        <v>30250</v>
      </c>
      <c r="D3776" s="6">
        <v>30250</v>
      </c>
      <c r="E3776" s="6">
        <v>30250</v>
      </c>
      <c r="F3776" s="6">
        <v>30250</v>
      </c>
      <c r="G3776" s="7" t="s">
        <v>18</v>
      </c>
      <c r="H3776" s="1">
        <f t="shared" si="59"/>
        <v>1</v>
      </c>
    </row>
    <row r="3777" spans="1:8" x14ac:dyDescent="0.25">
      <c r="A3777" s="1" t="s">
        <v>12</v>
      </c>
      <c r="B3777" s="1" t="s">
        <v>15</v>
      </c>
      <c r="C3777" s="6">
        <v>37500</v>
      </c>
      <c r="D3777" s="6">
        <v>37500</v>
      </c>
      <c r="E3777" s="6">
        <v>37500</v>
      </c>
      <c r="F3777" s="6">
        <v>37500</v>
      </c>
      <c r="G3777" s="7" t="s">
        <v>18</v>
      </c>
      <c r="H3777" s="1">
        <f t="shared" si="59"/>
        <v>1</v>
      </c>
    </row>
    <row r="3778" spans="1:8" x14ac:dyDescent="0.25">
      <c r="A3778" s="1" t="s">
        <v>12</v>
      </c>
      <c r="B3778" s="1" t="s">
        <v>15</v>
      </c>
      <c r="C3778" s="6">
        <v>10000</v>
      </c>
      <c r="D3778" s="6">
        <v>10000</v>
      </c>
      <c r="E3778" s="6">
        <v>10000</v>
      </c>
      <c r="F3778" s="6">
        <v>10000</v>
      </c>
      <c r="G3778" s="7" t="s">
        <v>18</v>
      </c>
      <c r="H3778" s="1">
        <f t="shared" si="59"/>
        <v>1</v>
      </c>
    </row>
    <row r="3779" spans="1:8" x14ac:dyDescent="0.25">
      <c r="A3779" s="1" t="s">
        <v>12</v>
      </c>
      <c r="B3779" s="1" t="s">
        <v>15</v>
      </c>
      <c r="C3779" s="6">
        <v>50000</v>
      </c>
      <c r="D3779" s="6">
        <v>50000</v>
      </c>
      <c r="E3779" s="6">
        <v>50000</v>
      </c>
      <c r="F3779" s="6">
        <v>50000</v>
      </c>
      <c r="G3779" s="7" t="s">
        <v>18</v>
      </c>
      <c r="H3779" s="1">
        <f t="shared" si="59"/>
        <v>1</v>
      </c>
    </row>
    <row r="3780" spans="1:8" x14ac:dyDescent="0.25">
      <c r="A3780" s="1" t="s">
        <v>12</v>
      </c>
      <c r="B3780" s="1" t="s">
        <v>15</v>
      </c>
      <c r="C3780" s="6">
        <v>38500</v>
      </c>
      <c r="D3780" s="6">
        <v>38500</v>
      </c>
      <c r="E3780" s="6">
        <v>38500</v>
      </c>
      <c r="F3780" s="6">
        <v>38500</v>
      </c>
      <c r="G3780" s="7" t="s">
        <v>18</v>
      </c>
      <c r="H3780" s="1">
        <f t="shared" si="59"/>
        <v>1</v>
      </c>
    </row>
    <row r="3781" spans="1:8" x14ac:dyDescent="0.25">
      <c r="A3781" s="1" t="s">
        <v>12</v>
      </c>
      <c r="B3781" s="1" t="s">
        <v>15</v>
      </c>
      <c r="C3781" s="6">
        <v>37500</v>
      </c>
      <c r="D3781" s="6">
        <v>37500</v>
      </c>
      <c r="E3781" s="6">
        <v>37500</v>
      </c>
      <c r="F3781" s="6">
        <v>37500</v>
      </c>
      <c r="G3781" s="7" t="s">
        <v>18</v>
      </c>
      <c r="H3781" s="1">
        <f t="shared" si="59"/>
        <v>1</v>
      </c>
    </row>
    <row r="3782" spans="1:8" x14ac:dyDescent="0.25">
      <c r="A3782" s="1" t="s">
        <v>12</v>
      </c>
      <c r="B3782" s="1" t="s">
        <v>15</v>
      </c>
      <c r="C3782" s="6">
        <v>62500</v>
      </c>
      <c r="D3782" s="6">
        <v>62500</v>
      </c>
      <c r="E3782" s="6">
        <v>62500</v>
      </c>
      <c r="F3782" s="6">
        <v>62500</v>
      </c>
      <c r="G3782" s="7" t="s">
        <v>18</v>
      </c>
      <c r="H3782" s="1">
        <f t="shared" si="59"/>
        <v>1</v>
      </c>
    </row>
    <row r="3783" spans="1:8" x14ac:dyDescent="0.25">
      <c r="A3783" s="1" t="s">
        <v>12</v>
      </c>
      <c r="B3783" s="1" t="s">
        <v>15</v>
      </c>
      <c r="C3783" s="6">
        <v>29671578</v>
      </c>
      <c r="D3783" s="6">
        <v>30447478.640000001</v>
      </c>
      <c r="E3783" s="6">
        <v>27666491.397500001</v>
      </c>
      <c r="F3783" s="6">
        <v>27666491.397500001</v>
      </c>
      <c r="G3783" s="7" t="s">
        <v>18</v>
      </c>
      <c r="H3783" s="1">
        <f t="shared" si="59"/>
        <v>1.026149625072182</v>
      </c>
    </row>
    <row r="3784" spans="1:8" x14ac:dyDescent="0.25">
      <c r="A3784" s="1" t="s">
        <v>12</v>
      </c>
      <c r="B3784" s="1" t="s">
        <v>15</v>
      </c>
      <c r="C3784" s="6">
        <v>250000</v>
      </c>
      <c r="D3784" s="6">
        <v>21321.5975</v>
      </c>
      <c r="E3784" s="6">
        <v>21321.5975</v>
      </c>
      <c r="F3784" s="6">
        <v>21321.5975</v>
      </c>
      <c r="G3784" s="7" t="s">
        <v>18</v>
      </c>
      <c r="H3784" s="1">
        <f t="shared" si="59"/>
        <v>8.5286390000000004E-2</v>
      </c>
    </row>
    <row r="3785" spans="1:8" x14ac:dyDescent="0.25">
      <c r="A3785" s="1" t="s">
        <v>12</v>
      </c>
      <c r="B3785" s="1" t="s">
        <v>15</v>
      </c>
      <c r="C3785" s="6">
        <v>8654417.5</v>
      </c>
      <c r="D3785" s="6">
        <v>8041767.3099999996</v>
      </c>
      <c r="E3785" s="6">
        <v>6201962.2050000001</v>
      </c>
      <c r="F3785" s="6">
        <v>5192772.0525000002</v>
      </c>
      <c r="G3785" s="7" t="s">
        <v>18</v>
      </c>
      <c r="H3785" s="1">
        <f t="shared" si="59"/>
        <v>0.92920954067676997</v>
      </c>
    </row>
    <row r="3786" spans="1:8" x14ac:dyDescent="0.25">
      <c r="A3786" s="1" t="s">
        <v>12</v>
      </c>
      <c r="B3786" s="1" t="s">
        <v>15</v>
      </c>
      <c r="C3786" s="6">
        <v>10000</v>
      </c>
      <c r="D3786" s="6">
        <v>0</v>
      </c>
      <c r="E3786" s="6">
        <v>0</v>
      </c>
      <c r="F3786" s="6">
        <v>0</v>
      </c>
      <c r="G3786" s="7" t="s">
        <v>18</v>
      </c>
      <c r="H3786" s="1">
        <f t="shared" si="59"/>
        <v>0</v>
      </c>
    </row>
    <row r="3787" spans="1:8" x14ac:dyDescent="0.25">
      <c r="A3787" s="1" t="s">
        <v>12</v>
      </c>
      <c r="B3787" s="1" t="s">
        <v>15</v>
      </c>
      <c r="C3787" s="6">
        <v>50000</v>
      </c>
      <c r="D3787" s="6">
        <v>0</v>
      </c>
      <c r="E3787" s="6">
        <v>0</v>
      </c>
      <c r="F3787" s="6">
        <v>0</v>
      </c>
      <c r="G3787" s="7" t="s">
        <v>18</v>
      </c>
      <c r="H3787" s="1">
        <f t="shared" si="59"/>
        <v>0</v>
      </c>
    </row>
    <row r="3788" spans="1:8" x14ac:dyDescent="0.25">
      <c r="A3788" s="1" t="s">
        <v>12</v>
      </c>
      <c r="B3788" s="1" t="s">
        <v>15</v>
      </c>
      <c r="C3788" s="6">
        <v>10000</v>
      </c>
      <c r="D3788" s="6">
        <v>0</v>
      </c>
      <c r="E3788" s="6">
        <v>0</v>
      </c>
      <c r="F3788" s="6">
        <v>0</v>
      </c>
      <c r="G3788" s="7" t="s">
        <v>18</v>
      </c>
      <c r="H3788" s="1">
        <f t="shared" si="59"/>
        <v>0</v>
      </c>
    </row>
    <row r="3789" spans="1:8" x14ac:dyDescent="0.25">
      <c r="A3789" s="1" t="s">
        <v>12</v>
      </c>
      <c r="B3789" s="1" t="s">
        <v>15</v>
      </c>
      <c r="C3789" s="6">
        <v>8750</v>
      </c>
      <c r="D3789" s="6">
        <v>0</v>
      </c>
      <c r="E3789" s="6">
        <v>0</v>
      </c>
      <c r="F3789" s="6">
        <v>0</v>
      </c>
      <c r="G3789" s="7" t="s">
        <v>18</v>
      </c>
      <c r="H3789" s="1">
        <f t="shared" si="59"/>
        <v>0</v>
      </c>
    </row>
    <row r="3790" spans="1:8" x14ac:dyDescent="0.25">
      <c r="A3790" s="1" t="s">
        <v>12</v>
      </c>
      <c r="B3790" s="1" t="s">
        <v>15</v>
      </c>
      <c r="C3790" s="6">
        <v>7500</v>
      </c>
      <c r="D3790" s="6">
        <v>0</v>
      </c>
      <c r="E3790" s="6">
        <v>0</v>
      </c>
      <c r="F3790" s="6">
        <v>0</v>
      </c>
      <c r="G3790" s="7" t="s">
        <v>18</v>
      </c>
      <c r="H3790" s="1">
        <f t="shared" si="59"/>
        <v>0</v>
      </c>
    </row>
    <row r="3791" spans="1:8" x14ac:dyDescent="0.25">
      <c r="A3791" s="1" t="s">
        <v>12</v>
      </c>
      <c r="B3791" s="1" t="s">
        <v>15</v>
      </c>
      <c r="C3791" s="6">
        <v>108798</v>
      </c>
      <c r="D3791" s="6">
        <v>94783.294999999998</v>
      </c>
      <c r="E3791" s="6">
        <v>68836.472500000003</v>
      </c>
      <c r="F3791" s="6">
        <v>54350.462500000001</v>
      </c>
      <c r="G3791" s="7" t="s">
        <v>18</v>
      </c>
      <c r="H3791" s="1">
        <f t="shared" si="59"/>
        <v>0.8711860052574496</v>
      </c>
    </row>
    <row r="3792" spans="1:8" x14ac:dyDescent="0.25">
      <c r="A3792" s="1" t="s">
        <v>12</v>
      </c>
      <c r="B3792" s="1" t="s">
        <v>15</v>
      </c>
      <c r="C3792" s="6">
        <v>30000</v>
      </c>
      <c r="D3792" s="6">
        <v>0</v>
      </c>
      <c r="E3792" s="6">
        <v>0</v>
      </c>
      <c r="F3792" s="6">
        <v>0</v>
      </c>
      <c r="G3792" s="7" t="s">
        <v>18</v>
      </c>
      <c r="H3792" s="1">
        <f t="shared" si="59"/>
        <v>0</v>
      </c>
    </row>
    <row r="3793" spans="1:8" x14ac:dyDescent="0.25">
      <c r="A3793" s="1" t="s">
        <v>12</v>
      </c>
      <c r="B3793" s="1" t="s">
        <v>15</v>
      </c>
      <c r="C3793" s="6">
        <v>153555</v>
      </c>
      <c r="D3793" s="6">
        <v>82603.73</v>
      </c>
      <c r="E3793" s="6">
        <v>14587.165000000001</v>
      </c>
      <c r="F3793" s="6">
        <v>14587.165000000001</v>
      </c>
      <c r="G3793" s="7" t="s">
        <v>18</v>
      </c>
      <c r="H3793" s="1">
        <f t="shared" si="59"/>
        <v>0.53794230080427208</v>
      </c>
    </row>
    <row r="3794" spans="1:8" x14ac:dyDescent="0.25">
      <c r="A3794" s="1" t="s">
        <v>12</v>
      </c>
      <c r="B3794" s="1" t="s">
        <v>15</v>
      </c>
      <c r="C3794" s="6">
        <v>10000</v>
      </c>
      <c r="D3794" s="6">
        <v>0</v>
      </c>
      <c r="E3794" s="6">
        <v>0</v>
      </c>
      <c r="F3794" s="6">
        <v>0</v>
      </c>
      <c r="G3794" s="7" t="s">
        <v>18</v>
      </c>
      <c r="H3794" s="1">
        <f t="shared" si="59"/>
        <v>0</v>
      </c>
    </row>
    <row r="3795" spans="1:8" x14ac:dyDescent="0.25">
      <c r="A3795" s="1" t="s">
        <v>12</v>
      </c>
      <c r="B3795" s="1" t="s">
        <v>15</v>
      </c>
      <c r="C3795" s="6">
        <v>10000</v>
      </c>
      <c r="D3795" s="6">
        <v>4999.335</v>
      </c>
      <c r="E3795" s="6">
        <v>4999.335</v>
      </c>
      <c r="F3795" s="6">
        <v>4999.335</v>
      </c>
      <c r="G3795" s="7" t="s">
        <v>18</v>
      </c>
      <c r="H3795" s="1">
        <f t="shared" si="59"/>
        <v>0.49993350000000003</v>
      </c>
    </row>
    <row r="3796" spans="1:8" x14ac:dyDescent="0.25">
      <c r="A3796" s="1" t="s">
        <v>12</v>
      </c>
      <c r="B3796" s="1" t="s">
        <v>15</v>
      </c>
      <c r="C3796" s="6">
        <v>40000</v>
      </c>
      <c r="D3796" s="6">
        <v>0</v>
      </c>
      <c r="E3796" s="6">
        <v>0</v>
      </c>
      <c r="F3796" s="6">
        <v>0</v>
      </c>
      <c r="G3796" s="7" t="s">
        <v>18</v>
      </c>
      <c r="H3796" s="1">
        <f t="shared" si="59"/>
        <v>0</v>
      </c>
    </row>
    <row r="3797" spans="1:8" x14ac:dyDescent="0.25">
      <c r="A3797" s="1" t="s">
        <v>12</v>
      </c>
      <c r="B3797" s="1" t="s">
        <v>15</v>
      </c>
      <c r="C3797" s="6">
        <v>40000</v>
      </c>
      <c r="D3797" s="6">
        <v>0</v>
      </c>
      <c r="E3797" s="6">
        <v>0</v>
      </c>
      <c r="F3797" s="6">
        <v>0</v>
      </c>
      <c r="G3797" s="7" t="s">
        <v>18</v>
      </c>
      <c r="H3797" s="1">
        <f t="shared" si="59"/>
        <v>0</v>
      </c>
    </row>
    <row r="3798" spans="1:8" x14ac:dyDescent="0.25">
      <c r="A3798" s="1" t="s">
        <v>12</v>
      </c>
      <c r="B3798" s="1" t="s">
        <v>15</v>
      </c>
      <c r="C3798" s="6">
        <v>6250</v>
      </c>
      <c r="D3798" s="6">
        <v>0</v>
      </c>
      <c r="E3798" s="6">
        <v>0</v>
      </c>
      <c r="F3798" s="6">
        <v>0</v>
      </c>
      <c r="G3798" s="7" t="s">
        <v>18</v>
      </c>
      <c r="H3798" s="1">
        <f t="shared" si="59"/>
        <v>0</v>
      </c>
    </row>
    <row r="3799" spans="1:8" x14ac:dyDescent="0.25">
      <c r="A3799" s="1" t="s">
        <v>12</v>
      </c>
      <c r="B3799" s="1" t="s">
        <v>15</v>
      </c>
      <c r="C3799" s="6">
        <v>894830.5</v>
      </c>
      <c r="D3799" s="6">
        <v>738435.3125</v>
      </c>
      <c r="E3799" s="6">
        <v>635407.3125</v>
      </c>
      <c r="F3799" s="6">
        <v>567463.79</v>
      </c>
      <c r="G3799" s="7" t="s">
        <v>18</v>
      </c>
      <c r="H3799" s="1">
        <f t="shared" si="59"/>
        <v>0.82522367364545579</v>
      </c>
    </row>
    <row r="3800" spans="1:8" x14ac:dyDescent="0.25">
      <c r="A3800" s="1" t="s">
        <v>12</v>
      </c>
      <c r="B3800" s="1" t="s">
        <v>15</v>
      </c>
      <c r="C3800" s="6">
        <v>4434369.5</v>
      </c>
      <c r="D3800" s="6">
        <v>3563180.3174999999</v>
      </c>
      <c r="E3800" s="6">
        <v>2986931.3275000001</v>
      </c>
      <c r="F3800" s="6">
        <v>2647023.1225000001</v>
      </c>
      <c r="G3800" s="7" t="s">
        <v>18</v>
      </c>
      <c r="H3800" s="1">
        <f t="shared" si="59"/>
        <v>0.80353707951040165</v>
      </c>
    </row>
    <row r="3801" spans="1:8" x14ac:dyDescent="0.25">
      <c r="A3801" s="1" t="s">
        <v>12</v>
      </c>
      <c r="B3801" s="1" t="s">
        <v>15</v>
      </c>
      <c r="C3801" s="6">
        <v>26550650</v>
      </c>
      <c r="D3801" s="6">
        <v>27632663.837499999</v>
      </c>
      <c r="E3801" s="6">
        <v>27628539.289999999</v>
      </c>
      <c r="F3801" s="6">
        <v>27628519.227499999</v>
      </c>
      <c r="G3801" s="7" t="s">
        <v>18</v>
      </c>
      <c r="H3801" s="1">
        <f t="shared" si="59"/>
        <v>1.040752819140021</v>
      </c>
    </row>
    <row r="3802" spans="1:8" x14ac:dyDescent="0.25">
      <c r="A3802" s="1" t="s">
        <v>12</v>
      </c>
      <c r="B3802" s="1" t="s">
        <v>15</v>
      </c>
      <c r="C3802" s="6">
        <v>3154249.75</v>
      </c>
      <c r="D3802" s="6">
        <v>2753325.46</v>
      </c>
      <c r="E3802" s="6">
        <v>2221329.4474999998</v>
      </c>
      <c r="F3802" s="6">
        <v>2019046.5549999999</v>
      </c>
      <c r="G3802" s="7" t="s">
        <v>18</v>
      </c>
      <c r="H3802" s="1">
        <f t="shared" si="59"/>
        <v>0.87289392984813585</v>
      </c>
    </row>
    <row r="3803" spans="1:8" x14ac:dyDescent="0.25">
      <c r="A3803" s="1" t="s">
        <v>12</v>
      </c>
      <c r="B3803" s="1" t="s">
        <v>15</v>
      </c>
      <c r="C3803" s="6">
        <v>927865.5</v>
      </c>
      <c r="D3803" s="6">
        <v>648525.03749999998</v>
      </c>
      <c r="E3803" s="6">
        <v>570541.54749999999</v>
      </c>
      <c r="F3803" s="6">
        <v>496934.92</v>
      </c>
      <c r="G3803" s="7" t="s">
        <v>18</v>
      </c>
      <c r="H3803" s="1">
        <f t="shared" si="59"/>
        <v>0.69894293677262487</v>
      </c>
    </row>
    <row r="3804" spans="1:8" x14ac:dyDescent="0.25">
      <c r="A3804" s="1" t="s">
        <v>12</v>
      </c>
      <c r="B3804" s="1" t="s">
        <v>15</v>
      </c>
      <c r="C3804" s="6">
        <v>461750</v>
      </c>
      <c r="D3804" s="6">
        <v>3471591.5750000002</v>
      </c>
      <c r="E3804" s="6">
        <v>3471591.5750000002</v>
      </c>
      <c r="F3804" s="6">
        <v>3471591.5750000002</v>
      </c>
      <c r="G3804" s="7" t="s">
        <v>18</v>
      </c>
      <c r="H3804" s="1">
        <f t="shared" si="59"/>
        <v>7.5183358419057935</v>
      </c>
    </row>
    <row r="3805" spans="1:8" x14ac:dyDescent="0.25">
      <c r="A3805" s="1" t="s">
        <v>12</v>
      </c>
      <c r="B3805" s="1" t="s">
        <v>15</v>
      </c>
      <c r="C3805" s="6">
        <v>75000</v>
      </c>
      <c r="D3805" s="6">
        <v>0</v>
      </c>
      <c r="E3805" s="6">
        <v>0</v>
      </c>
      <c r="F3805" s="6">
        <v>0</v>
      </c>
      <c r="G3805" s="7" t="s">
        <v>18</v>
      </c>
      <c r="H3805" s="1">
        <f t="shared" si="59"/>
        <v>0</v>
      </c>
    </row>
  </sheetData>
  <pageMargins left="0.78740157499999996" right="0.78740157499999996" top="0.984251969" bottom="0.984251969" header="0.5" footer="0.5"/>
  <pageSetup orientation="portrait" horizontalDpi="300" verticalDpi="300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final</vt:lpstr>
      <vt:lpstr>Principal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do Nascimento</dc:creator>
  <cp:lastModifiedBy>Lucas do Nascimento</cp:lastModifiedBy>
  <cp:lastPrinted>2025-12-22T23:17:36Z</cp:lastPrinted>
  <dcterms:created xsi:type="dcterms:W3CDTF">2025-12-22T22:21:56Z</dcterms:created>
  <dcterms:modified xsi:type="dcterms:W3CDTF">2025-12-22T23:31:51Z</dcterms:modified>
</cp:coreProperties>
</file>